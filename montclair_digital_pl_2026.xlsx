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Client Ad Fund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0.0%;\(0.0%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FF"/>
      <sz val="10"/>
    </font>
    <font>
      <name val="Arial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AE3F3"/>
        <bgColor rgb="FFD5E8D4"/>
      </patternFill>
    </fill>
    <fill>
      <patternFill patternType="solid">
        <fgColor rgb="FFF5F5F5"/>
        <bgColor rgb="FFFFFFFF"/>
      </patternFill>
    </fill>
    <fill>
      <patternFill patternType="solid">
        <fgColor rgb="FFD5E8D4"/>
        <bgColor rgb="FFE2EFDA"/>
      </patternFill>
    </fill>
    <fill>
      <patternFill patternType="solid">
        <fgColor rgb="FFE2EFDA"/>
        <bgColor rgb="FFD5E8D4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2"/>
    </xf>
    <xf numFmtId="164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2"/>
    </xf>
    <xf numFmtId="164" fontId="9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2"/>
    </xf>
    <xf numFmtId="165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164" fontId="11" fillId="2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 indent="1"/>
    </xf>
    <xf numFmtId="0" fontId="11" fillId="2" borderId="2" applyAlignment="1" pivotButton="0" quotePrefix="0" xfId="0">
      <alignment horizontal="left" vertical="center" indent="1"/>
    </xf>
    <xf numFmtId="0" fontId="0" fillId="2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2"/>
    </xf>
    <xf numFmtId="164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2"/>
    </xf>
    <xf numFmtId="164" fontId="9" fillId="4" borderId="0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2"/>
    </xf>
    <xf numFmtId="165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164" fontId="11" fillId="2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 indent="1"/>
    </xf>
    <xf numFmtId="0" fontId="11" fillId="2" borderId="2" applyAlignment="1" pivotButton="0" quotePrefix="0" xfId="0">
      <alignment horizontal="left" vertical="center" indent="1"/>
    </xf>
    <xf numFmtId="0" fontId="0" fillId="2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D5E8D4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2" customWidth="1" style="36" min="1" max="1"/>
    <col width="11" customWidth="1" style="36" min="2" max="15"/>
  </cols>
  <sheetData>
    <row r="1" ht="24" customHeight="1" s="37">
      <c r="A1" s="38" t="inlineStr">
        <is>
          <t>Montclair Digital — Profit &amp; Loss 2026</t>
        </is>
      </c>
    </row>
    <row r="2" ht="6" customHeight="1" s="37"/>
    <row r="3" ht="15" customHeight="1" s="37">
      <c r="A3" s="39" t="inlineStr">
        <is>
          <t>Color key:  Blue = enter your data   |   Black = calculated   |   Green = linked from another sheet</t>
        </is>
      </c>
    </row>
    <row r="4" ht="6" customHeight="1" s="37"/>
    <row r="5" ht="19.5" customHeight="1" s="37">
      <c r="A5" s="40" t="n"/>
      <c r="B5" s="41" t="inlineStr">
        <is>
          <t>Jan</t>
        </is>
      </c>
      <c r="C5" s="41" t="inlineStr">
        <is>
          <t>Feb</t>
        </is>
      </c>
      <c r="D5" s="41" t="inlineStr">
        <is>
          <t>Mar</t>
        </is>
      </c>
      <c r="E5" s="41" t="inlineStr">
        <is>
          <t>Apr</t>
        </is>
      </c>
      <c r="F5" s="41" t="inlineStr">
        <is>
          <t>May</t>
        </is>
      </c>
      <c r="G5" s="41" t="inlineStr">
        <is>
          <t>Jun</t>
        </is>
      </c>
      <c r="H5" s="41" t="inlineStr">
        <is>
          <t>Jul</t>
        </is>
      </c>
      <c r="I5" s="41" t="inlineStr">
        <is>
          <t>Aug</t>
        </is>
      </c>
      <c r="J5" s="41" t="inlineStr">
        <is>
          <t>Sep</t>
        </is>
      </c>
      <c r="K5" s="41" t="inlineStr">
        <is>
          <t>Oct</t>
        </is>
      </c>
      <c r="L5" s="41" t="inlineStr">
        <is>
          <t>Nov</t>
        </is>
      </c>
      <c r="M5" s="41" t="inlineStr">
        <is>
          <t>Dec</t>
        </is>
      </c>
      <c r="N5" s="41" t="inlineStr">
        <is>
          <t>Full Year</t>
        </is>
      </c>
    </row>
    <row r="6" ht="15.75" customHeight="1" s="37">
      <c r="A6" s="42" t="inlineStr">
        <is>
          <t>REVENUE</t>
        </is>
      </c>
    </row>
    <row r="7" ht="15" customHeight="1" s="37">
      <c r="A7" s="43" t="inlineStr">
        <is>
          <t>Retainer Fees</t>
        </is>
      </c>
      <c r="B7" s="44" t="n">
        <v>2250</v>
      </c>
      <c r="C7" s="44" t="n"/>
      <c r="D7" s="44" t="n">
        <v>6750</v>
      </c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5">
        <f>SUM(B7:M7)</f>
        <v/>
      </c>
    </row>
    <row r="8" ht="15" customHeight="1" s="37">
      <c r="A8" s="46" t="inlineStr">
        <is>
          <t>Project / One-Time Fees</t>
        </is>
      </c>
      <c r="B8" s="47" t="n"/>
      <c r="C8" s="47" t="n"/>
      <c r="D8" s="47" t="n">
        <v>4119.77</v>
      </c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8">
        <f>SUM(B8:M8)</f>
        <v/>
      </c>
    </row>
    <row r="9" ht="15" customHeight="1" s="37">
      <c r="A9" s="43" t="inlineStr">
        <is>
          <t>Ad Management Fees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>
        <f>SUM(B9:M9)</f>
        <v/>
      </c>
    </row>
    <row r="10" ht="15" customHeight="1" s="37">
      <c r="A10" s="46" t="inlineStr">
        <is>
          <t>Other Income</t>
        </is>
      </c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8">
        <f>SUM(B10:M10)</f>
        <v/>
      </c>
    </row>
    <row r="11" ht="15.75" customHeight="1" s="37">
      <c r="A11" s="49" t="inlineStr">
        <is>
          <t>Total Revenue</t>
        </is>
      </c>
      <c r="B11" s="50">
        <f>B7+B8+B9+B10</f>
        <v/>
      </c>
      <c r="C11" s="50">
        <f>C7+C8+C9+C10</f>
        <v/>
      </c>
      <c r="D11" s="50">
        <f>D7+D8+D9+D10</f>
        <v/>
      </c>
      <c r="E11" s="50">
        <f>E7+E8+E9+E10</f>
        <v/>
      </c>
      <c r="F11" s="50">
        <f>F7+F8+F9+F10</f>
        <v/>
      </c>
      <c r="G11" s="50">
        <f>G7+G8+G9+G10</f>
        <v/>
      </c>
      <c r="H11" s="50">
        <f>H7+H8+H9+H10</f>
        <v/>
      </c>
      <c r="I11" s="50">
        <f>I7+I8+I9+I10</f>
        <v/>
      </c>
      <c r="J11" s="50">
        <f>J7+J8+J9+J10</f>
        <v/>
      </c>
      <c r="K11" s="50">
        <f>K7+K8+K9+K10</f>
        <v/>
      </c>
      <c r="L11" s="50">
        <f>L7+L8+L9+L10</f>
        <v/>
      </c>
      <c r="M11" s="50">
        <f>M7+M8+M9+M10</f>
        <v/>
      </c>
      <c r="N11" s="50">
        <f>N7+N8+N9+N10</f>
        <v/>
      </c>
    </row>
    <row r="12" ht="7.5" customHeight="1" s="37"/>
    <row r="13" ht="15.75" customHeight="1" s="37">
      <c r="A13" s="42" t="inlineStr">
        <is>
          <t>COST OF REVENUE</t>
        </is>
      </c>
    </row>
    <row r="14" ht="15" customHeight="1" s="37">
      <c r="A14" s="43" t="inlineStr">
        <is>
          <t>Contractors / Freelancers</t>
        </is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5">
        <f>SUM(B14:M14)</f>
        <v/>
      </c>
    </row>
    <row r="15" ht="15" customHeight="1" s="37">
      <c r="A15" s="46" t="inlineStr">
        <is>
          <t>Software &amp; Tools</t>
        </is>
      </c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  <c r="M15" s="47" t="n"/>
      <c r="N15" s="48">
        <f>SUM(B15:M15)</f>
        <v/>
      </c>
    </row>
    <row r="16" ht="15.75" customHeight="1" s="37">
      <c r="A16" s="51" t="inlineStr">
        <is>
          <t>Total Cost of Revenue</t>
        </is>
      </c>
      <c r="B16" s="52">
        <f>B14+B15</f>
        <v/>
      </c>
      <c r="C16" s="52">
        <f>C14+C15</f>
        <v/>
      </c>
      <c r="D16" s="52">
        <f>D14+D15</f>
        <v/>
      </c>
      <c r="E16" s="52">
        <f>E14+E15</f>
        <v/>
      </c>
      <c r="F16" s="52">
        <f>F14+F15</f>
        <v/>
      </c>
      <c r="G16" s="52">
        <f>G14+G15</f>
        <v/>
      </c>
      <c r="H16" s="52">
        <f>H14+H15</f>
        <v/>
      </c>
      <c r="I16" s="52">
        <f>I14+I15</f>
        <v/>
      </c>
      <c r="J16" s="52">
        <f>J14+J15</f>
        <v/>
      </c>
      <c r="K16" s="52">
        <f>K14+K15</f>
        <v/>
      </c>
      <c r="L16" s="52">
        <f>L14+L15</f>
        <v/>
      </c>
      <c r="M16" s="52">
        <f>M14+M15</f>
        <v/>
      </c>
      <c r="N16" s="52">
        <f>N14+N15</f>
        <v/>
      </c>
    </row>
    <row r="17" ht="7.5" customHeight="1" s="37"/>
    <row r="18" ht="15.75" customHeight="1" s="37">
      <c r="A18" s="53" t="inlineStr">
        <is>
          <t>Gross Profit</t>
        </is>
      </c>
      <c r="B18" s="54">
        <f>B11-B16</f>
        <v/>
      </c>
      <c r="C18" s="54">
        <f>C11-C16</f>
        <v/>
      </c>
      <c r="D18" s="54">
        <f>D11-D16</f>
        <v/>
      </c>
      <c r="E18" s="54">
        <f>E11-E16</f>
        <v/>
      </c>
      <c r="F18" s="54">
        <f>F11-F16</f>
        <v/>
      </c>
      <c r="G18" s="54">
        <f>G11-G16</f>
        <v/>
      </c>
      <c r="H18" s="54">
        <f>H11-H16</f>
        <v/>
      </c>
      <c r="I18" s="54">
        <f>I11-I16</f>
        <v/>
      </c>
      <c r="J18" s="54">
        <f>J11-J16</f>
        <v/>
      </c>
      <c r="K18" s="54">
        <f>K11-K16</f>
        <v/>
      </c>
      <c r="L18" s="54">
        <f>L11-L16</f>
        <v/>
      </c>
      <c r="M18" s="54">
        <f>M11-M16</f>
        <v/>
      </c>
      <c r="N18" s="54">
        <f>N11-N16</f>
        <v/>
      </c>
    </row>
    <row r="19" ht="13.5" customHeight="1" s="37">
      <c r="A19" s="55" t="inlineStr">
        <is>
          <t>Gross Margin %</t>
        </is>
      </c>
      <c r="B19" s="56">
        <f>IFERROR(B18/B11,"-")</f>
        <v/>
      </c>
      <c r="C19" s="56">
        <f>IFERROR(C18/C11,"-")</f>
        <v/>
      </c>
      <c r="D19" s="56">
        <f>IFERROR(D18/D11,"-")</f>
        <v/>
      </c>
      <c r="E19" s="56">
        <f>IFERROR(E18/E11,"-")</f>
        <v/>
      </c>
      <c r="F19" s="56">
        <f>IFERROR(F18/F11,"-")</f>
        <v/>
      </c>
      <c r="G19" s="56">
        <f>IFERROR(G18/G11,"-")</f>
        <v/>
      </c>
      <c r="H19" s="56">
        <f>IFERROR(H18/H11,"-")</f>
        <v/>
      </c>
      <c r="I19" s="56">
        <f>IFERROR(I18/I11,"-")</f>
        <v/>
      </c>
      <c r="J19" s="56">
        <f>IFERROR(J18/J11,"-")</f>
        <v/>
      </c>
      <c r="K19" s="56">
        <f>IFERROR(K18/K11,"-")</f>
        <v/>
      </c>
      <c r="L19" s="56">
        <f>IFERROR(L18/L11,"-")</f>
        <v/>
      </c>
      <c r="M19" s="56">
        <f>IFERROR(M18/M11,"-")</f>
        <v/>
      </c>
      <c r="N19" s="56">
        <f>IFERROR(N18/N11,"-")</f>
        <v/>
      </c>
    </row>
    <row r="20" ht="7.5" customHeight="1" s="37"/>
    <row r="21" ht="15.75" customHeight="1" s="37">
      <c r="A21" s="42" t="inlineStr">
        <is>
          <t>OPERATING EXPENSES</t>
        </is>
      </c>
    </row>
    <row r="22" ht="15" customHeight="1" s="37">
      <c r="A22" s="43" t="inlineStr">
        <is>
          <t>Owner Pay / Salary</t>
        </is>
      </c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5">
        <f>SUM(B22:M22)</f>
        <v/>
      </c>
    </row>
    <row r="23" ht="15" customHeight="1" s="37">
      <c r="A23" s="46" t="inlineStr">
        <is>
          <t>Payroll / Self-Employment Tax</t>
        </is>
      </c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8">
        <f>SUM(B23:M23)</f>
        <v/>
      </c>
    </row>
    <row r="24" ht="15" customHeight="1" s="37">
      <c r="A24" s="43" t="inlineStr">
        <is>
          <t>Marketing &amp; Advertising</t>
        </is>
      </c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5">
        <f>SUM(B24:M24)</f>
        <v/>
      </c>
    </row>
    <row r="25" ht="15" customHeight="1" s="37">
      <c r="A25" s="46" t="inlineStr">
        <is>
          <t>Travel &amp; Entertainment</t>
        </is>
      </c>
      <c r="B25" s="47" t="n"/>
      <c r="C25" s="47" t="n"/>
      <c r="D25" s="47" t="n">
        <v>10.93</v>
      </c>
      <c r="E25" s="47" t="n"/>
      <c r="F25" s="47" t="n"/>
      <c r="G25" s="47" t="n"/>
      <c r="H25" s="47" t="n"/>
      <c r="I25" s="47" t="n"/>
      <c r="J25" s="47" t="n"/>
      <c r="K25" s="47" t="n"/>
      <c r="L25" s="47" t="n"/>
      <c r="M25" s="47" t="n"/>
      <c r="N25" s="48">
        <f>SUM(B25:M25)</f>
        <v/>
      </c>
    </row>
    <row r="26" ht="15" customHeight="1" s="37">
      <c r="A26" s="43" t="inlineStr">
        <is>
          <t>Office / Coworking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5">
        <f>SUM(B26:M26)</f>
        <v/>
      </c>
    </row>
    <row r="27" ht="15" customHeight="1" s="37">
      <c r="A27" s="46" t="inlineStr">
        <is>
          <t>Professional Services (Legal, Accounting)</t>
        </is>
      </c>
      <c r="B27" s="47" t="n"/>
      <c r="C27" s="47" t="n">
        <v>500</v>
      </c>
      <c r="D27" s="47" t="n">
        <v>1653</v>
      </c>
      <c r="E27" s="47" t="n"/>
      <c r="F27" s="47" t="n"/>
      <c r="G27" s="47" t="n"/>
      <c r="H27" s="47" t="n"/>
      <c r="I27" s="47" t="n"/>
      <c r="J27" s="47" t="n"/>
      <c r="K27" s="47" t="n"/>
      <c r="L27" s="47" t="n"/>
      <c r="M27" s="47" t="n"/>
      <c r="N27" s="48">
        <f>SUM(B27:M27)</f>
        <v/>
      </c>
    </row>
    <row r="28" ht="15" customHeight="1" s="37">
      <c r="A28" s="43" t="inlineStr">
        <is>
          <t>Insurance</t>
        </is>
      </c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5">
        <f>SUM(B28:M28)</f>
        <v/>
      </c>
    </row>
    <row r="29" ht="15" customHeight="1" s="37">
      <c r="A29" s="46" t="inlineStr">
        <is>
          <t>Miscellaneous</t>
        </is>
      </c>
      <c r="B29" s="47" t="n">
        <v>261.88</v>
      </c>
      <c r="C29" s="47" t="n">
        <v>472.37</v>
      </c>
      <c r="D29" s="47" t="n">
        <v>1052.83</v>
      </c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8">
        <f>SUM(B29:M29)</f>
        <v/>
      </c>
    </row>
    <row r="30" ht="15.75" customHeight="1" s="37">
      <c r="A30" s="51" t="inlineStr">
        <is>
          <t>Total Operating Expenses</t>
        </is>
      </c>
      <c r="B30" s="52">
        <f>B22+B23+B24+B25+B26+B27+B28+B29</f>
        <v/>
      </c>
      <c r="C30" s="52">
        <f>C22+C23+C24+C25+C26+C27+C28+C29</f>
        <v/>
      </c>
      <c r="D30" s="52">
        <f>D22+D23+D24+D25+D26+D27+D28+D29</f>
        <v/>
      </c>
      <c r="E30" s="52">
        <f>E22+E23+E24+E25+E26+E27+E28+E29</f>
        <v/>
      </c>
      <c r="F30" s="52">
        <f>F22+F23+F24+F25+F26+F27+F28+F29</f>
        <v/>
      </c>
      <c r="G30" s="52">
        <f>G22+G23+G24+G25+G26+G27+G28+G29</f>
        <v/>
      </c>
      <c r="H30" s="52">
        <f>H22+H23+H24+H25+H26+H27+H28+H29</f>
        <v/>
      </c>
      <c r="I30" s="52">
        <f>I22+I23+I24+I25+I26+I27+I28+I29</f>
        <v/>
      </c>
      <c r="J30" s="52">
        <f>J22+J23+J24+J25+J26+J27+J28+J29</f>
        <v/>
      </c>
      <c r="K30" s="52">
        <f>K22+K23+K24+K25+K26+K27+K28+K29</f>
        <v/>
      </c>
      <c r="L30" s="52">
        <f>L22+L23+L24+L25+L26+L27+L28+L29</f>
        <v/>
      </c>
      <c r="M30" s="52">
        <f>M22+M23+M24+M25+M26+M27+M28+M29</f>
        <v/>
      </c>
      <c r="N30" s="52">
        <f>N22+N23+N24+N25+N26+N27+N28+N29</f>
        <v/>
      </c>
    </row>
    <row r="31" ht="7.5" customHeight="1" s="37"/>
    <row r="32" ht="18" customHeight="1" s="37">
      <c r="A32" s="57" t="inlineStr">
        <is>
          <t>Net Income</t>
        </is>
      </c>
      <c r="B32" s="58">
        <f>B18-B30</f>
        <v/>
      </c>
      <c r="C32" s="58">
        <f>C18-C30</f>
        <v/>
      </c>
      <c r="D32" s="58">
        <f>D18-D30</f>
        <v/>
      </c>
      <c r="E32" s="58">
        <f>E18-E30</f>
        <v/>
      </c>
      <c r="F32" s="58">
        <f>F18-F30</f>
        <v/>
      </c>
      <c r="G32" s="58">
        <f>G18-G30</f>
        <v/>
      </c>
      <c r="H32" s="58">
        <f>H18-H30</f>
        <v/>
      </c>
      <c r="I32" s="58">
        <f>I18-I30</f>
        <v/>
      </c>
      <c r="J32" s="58">
        <f>J18-J30</f>
        <v/>
      </c>
      <c r="K32" s="58">
        <f>K18-K30</f>
        <v/>
      </c>
      <c r="L32" s="58">
        <f>L18-L30</f>
        <v/>
      </c>
      <c r="M32" s="58">
        <f>M18-M30</f>
        <v/>
      </c>
      <c r="N32" s="58">
        <f>N18-N30</f>
        <v/>
      </c>
    </row>
    <row r="33" ht="7.5" customHeight="1" s="37"/>
    <row r="34" ht="13.5" customHeight="1" s="37">
      <c r="A34" s="55" t="inlineStr">
        <is>
          <t>Net Margin %</t>
        </is>
      </c>
      <c r="B34" s="56">
        <f>IFERROR(B32/B11,"-")</f>
        <v/>
      </c>
      <c r="C34" s="56">
        <f>IFERROR(C32/C11,"-")</f>
        <v/>
      </c>
      <c r="D34" s="56">
        <f>IFERROR(D32/D11,"-")</f>
        <v/>
      </c>
      <c r="E34" s="56">
        <f>IFERROR(E32/E11,"-")</f>
        <v/>
      </c>
      <c r="F34" s="56">
        <f>IFERROR(F32/F11,"-")</f>
        <v/>
      </c>
      <c r="G34" s="56">
        <f>IFERROR(G32/G11,"-")</f>
        <v/>
      </c>
      <c r="H34" s="56">
        <f>IFERROR(H32/H11,"-")</f>
        <v/>
      </c>
      <c r="I34" s="56">
        <f>IFERROR(I32/I11,"-")</f>
        <v/>
      </c>
      <c r="J34" s="56">
        <f>IFERROR(J32/J11,"-")</f>
        <v/>
      </c>
      <c r="K34" s="56">
        <f>IFERROR(K32/K11,"-")</f>
        <v/>
      </c>
      <c r="L34" s="56">
        <f>IFERROR(L32/L11,"-")</f>
        <v/>
      </c>
      <c r="M34" s="56">
        <f>IFERROR(M32/M11,"-")</f>
        <v/>
      </c>
      <c r="N34" s="56">
        <f>IFERROR(N32/N11,"-")</f>
        <v/>
      </c>
    </row>
  </sheetData>
  <mergeCells count="5">
    <mergeCell ref="A6:N6"/>
    <mergeCell ref="A21:N21"/>
    <mergeCell ref="A1:O1"/>
    <mergeCell ref="A13:N13"/>
    <mergeCell ref="A3:O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7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36" min="1" max="1"/>
    <col width="10" customWidth="1" style="36" min="2" max="2"/>
    <col width="14" customWidth="1" style="36" min="3" max="5"/>
    <col width="30" customWidth="1" style="36" min="6" max="6"/>
  </cols>
  <sheetData>
    <row r="1" ht="24" customHeight="1" s="37">
      <c r="A1" s="38" t="inlineStr">
        <is>
          <t>Montclair Digital — Client Ad Funds Tracker</t>
        </is>
      </c>
    </row>
    <row r="2" ht="6" customHeight="1" s="37"/>
    <row r="3" ht="15" customHeight="1" s="37">
      <c r="A3" s="39" t="inlineStr">
        <is>
          <t>Track client ad budget receipts and disbursements here. Balance = cumulative receipts minus cumulative spend per client.</t>
        </is>
      </c>
    </row>
    <row r="4" ht="6" customHeight="1" s="37"/>
    <row r="5" ht="19.5" customHeight="1" s="37">
      <c r="A5" s="41" t="inlineStr">
        <is>
          <t>Client</t>
        </is>
      </c>
      <c r="B5" s="41" t="inlineStr">
        <is>
          <t>Month</t>
        </is>
      </c>
      <c r="C5" s="41" t="inlineStr">
        <is>
          <t>Receipts ($)</t>
        </is>
      </c>
      <c r="D5" s="41" t="inlineStr">
        <is>
          <t>Spend ($)</t>
        </is>
      </c>
      <c r="E5" s="41" t="inlineStr">
        <is>
          <t>Balance ($)</t>
        </is>
      </c>
      <c r="F5" s="41" t="inlineStr">
        <is>
          <t>Notes</t>
        </is>
      </c>
    </row>
    <row r="6" ht="15" customHeight="1" s="37">
      <c r="A6" s="59" t="inlineStr">
        <is>
          <t>Einhorn</t>
        </is>
      </c>
      <c r="B6" s="60" t="inlineStr">
        <is>
          <t>Jan</t>
        </is>
      </c>
      <c r="C6" s="44" t="n">
        <v>3000</v>
      </c>
      <c r="D6" s="44" t="n"/>
      <c r="E6" s="45">
        <f>IFERROR(C6-D6,"-")</f>
        <v/>
      </c>
      <c r="F6" s="61" t="inlineStr">
        <is>
          <t>Einhorn Ad Fund deposit (1/27)</t>
        </is>
      </c>
    </row>
    <row r="7" ht="15" customHeight="1" s="37">
      <c r="A7" s="62" t="n"/>
      <c r="B7" s="63" t="inlineStr">
        <is>
          <t>Feb</t>
        </is>
      </c>
      <c r="C7" s="47" t="n"/>
      <c r="D7" s="47" t="n"/>
      <c r="E7" s="48">
        <f>IFERROR(E6+C7-D7,"-")</f>
        <v/>
      </c>
      <c r="F7" s="64" t="n"/>
    </row>
    <row r="8" ht="15" customHeight="1" s="37">
      <c r="A8" s="65" t="n"/>
      <c r="B8" s="66" t="inlineStr">
        <is>
          <t>Mar</t>
        </is>
      </c>
      <c r="C8" s="44" t="n">
        <v>9000</v>
      </c>
      <c r="D8" s="67" t="n">
        <v>5337.53</v>
      </c>
      <c r="E8" s="45">
        <f>IFERROR(E7+C8-D8,"-")</f>
        <v/>
      </c>
      <c r="F8" s="61" t="inlineStr">
        <is>
          <t>3 deposits (3/1, 3/10, 3/29); Google ad spend: $2,817.38 (3/2) + $1,653.88 (3/18) + $350.00 (3/27) + $516.27 (4/3)</t>
        </is>
      </c>
    </row>
    <row r="9" ht="15" customHeight="1" s="37">
      <c r="A9" s="62" t="n"/>
      <c r="B9" s="63" t="inlineStr">
        <is>
          <t>Apr</t>
        </is>
      </c>
      <c r="C9" s="47" t="n"/>
      <c r="D9" s="47" t="n"/>
      <c r="E9" s="48">
        <f>IFERROR(E8+C9-D9,"-")</f>
        <v/>
      </c>
      <c r="F9" s="64" t="n"/>
    </row>
    <row r="10" ht="15" customHeight="1" s="37">
      <c r="A10" s="65" t="n"/>
      <c r="B10" s="66" t="inlineStr">
        <is>
          <t>May</t>
        </is>
      </c>
      <c r="C10" s="44" t="n"/>
      <c r="D10" s="44" t="n"/>
      <c r="E10" s="45">
        <f>IFERROR(E9+C10-D10,"-")</f>
        <v/>
      </c>
      <c r="F10" s="61" t="n"/>
    </row>
    <row r="11" ht="15" customHeight="1" s="37">
      <c r="A11" s="62" t="n"/>
      <c r="B11" s="63" t="inlineStr">
        <is>
          <t>Jun</t>
        </is>
      </c>
      <c r="C11" s="47" t="n"/>
      <c r="D11" s="47" t="n"/>
      <c r="E11" s="48">
        <f>IFERROR(E10+C11-D11,"-")</f>
        <v/>
      </c>
      <c r="F11" s="64" t="n"/>
    </row>
    <row r="12" ht="15" customHeight="1" s="37">
      <c r="A12" s="65" t="n"/>
      <c r="B12" s="66" t="inlineStr">
        <is>
          <t>Jul</t>
        </is>
      </c>
      <c r="C12" s="44" t="n"/>
      <c r="D12" s="44" t="n"/>
      <c r="E12" s="45">
        <f>IFERROR(E11+C12-D12,"-")</f>
        <v/>
      </c>
      <c r="F12" s="61" t="n"/>
    </row>
    <row r="13" ht="15" customHeight="1" s="37">
      <c r="A13" s="62" t="n"/>
      <c r="B13" s="63" t="inlineStr">
        <is>
          <t>Aug</t>
        </is>
      </c>
      <c r="C13" s="47" t="n"/>
      <c r="D13" s="47" t="n"/>
      <c r="E13" s="48">
        <f>IFERROR(E12+C13-D13,"-")</f>
        <v/>
      </c>
      <c r="F13" s="64" t="n"/>
    </row>
    <row r="14" ht="15" customHeight="1" s="37">
      <c r="A14" s="65" t="n"/>
      <c r="B14" s="66" t="inlineStr">
        <is>
          <t>Sep</t>
        </is>
      </c>
      <c r="C14" s="44" t="n"/>
      <c r="D14" s="44" t="n"/>
      <c r="E14" s="45">
        <f>IFERROR(E13+C14-D14,"-")</f>
        <v/>
      </c>
      <c r="F14" s="61" t="n"/>
    </row>
    <row r="15" ht="15" customHeight="1" s="37">
      <c r="A15" s="62" t="n"/>
      <c r="B15" s="63" t="inlineStr">
        <is>
          <t>Oct</t>
        </is>
      </c>
      <c r="C15" s="47" t="n"/>
      <c r="D15" s="47" t="n"/>
      <c r="E15" s="48">
        <f>IFERROR(E14+C15-D15,"-")</f>
        <v/>
      </c>
      <c r="F15" s="64" t="n"/>
    </row>
    <row r="16" ht="15" customHeight="1" s="37">
      <c r="A16" s="65" t="n"/>
      <c r="B16" s="66" t="inlineStr">
        <is>
          <t>Nov</t>
        </is>
      </c>
      <c r="C16" s="44" t="n"/>
      <c r="D16" s="44" t="n"/>
      <c r="E16" s="45">
        <f>IFERROR(E15+C16-D16,"-")</f>
        <v/>
      </c>
      <c r="F16" s="61" t="n"/>
    </row>
    <row r="17" ht="15" customHeight="1" s="37">
      <c r="A17" s="62" t="n"/>
      <c r="B17" s="63" t="inlineStr">
        <is>
          <t>Dec</t>
        </is>
      </c>
      <c r="C17" s="47" t="n"/>
      <c r="D17" s="47" t="n"/>
      <c r="E17" s="48">
        <f>IFERROR(E16+C17-D17,"-")</f>
        <v/>
      </c>
      <c r="F17" s="64" t="n"/>
    </row>
    <row r="18" ht="15.75" customHeight="1" s="37">
      <c r="A18" s="68" t="inlineStr">
        <is>
          <t>Einhorn Total</t>
        </is>
      </c>
      <c r="B18" s="69" t="n"/>
      <c r="C18" s="52">
        <f>SUM(C6:C17)</f>
        <v/>
      </c>
      <c r="D18" s="52">
        <f>SUM(D6:D17)</f>
        <v/>
      </c>
      <c r="E18" s="52">
        <f>C18-D18</f>
        <v/>
      </c>
      <c r="F18" s="69" t="n"/>
    </row>
    <row r="19" ht="7.5" customHeight="1" s="37"/>
    <row r="20" ht="15" customHeight="1" s="37">
      <c r="A20" s="70" t="inlineStr">
        <is>
          <t>Client B</t>
        </is>
      </c>
      <c r="B20" s="60" t="inlineStr">
        <is>
          <t>Jan</t>
        </is>
      </c>
      <c r="C20" s="44" t="n"/>
      <c r="D20" s="44" t="n"/>
      <c r="E20" s="45">
        <f>IFERROR(C20-D20,"-")</f>
        <v/>
      </c>
      <c r="F20" s="61" t="n"/>
    </row>
    <row r="21" ht="15" customHeight="1" s="37">
      <c r="A21" s="62" t="n"/>
      <c r="B21" s="63" t="inlineStr">
        <is>
          <t>Feb</t>
        </is>
      </c>
      <c r="C21" s="47" t="n"/>
      <c r="D21" s="47" t="n"/>
      <c r="E21" s="48">
        <f>IFERROR(E20+C21-D21,"-")</f>
        <v/>
      </c>
      <c r="F21" s="64" t="n"/>
    </row>
    <row r="22" ht="15" customHeight="1" s="37">
      <c r="A22" s="65" t="n"/>
      <c r="B22" s="66" t="inlineStr">
        <is>
          <t>Mar</t>
        </is>
      </c>
      <c r="C22" s="44" t="n"/>
      <c r="D22" s="44" t="n"/>
      <c r="E22" s="45">
        <f>IFERROR(E21+C22-D22,"-")</f>
        <v/>
      </c>
      <c r="F22" s="61" t="n"/>
    </row>
    <row r="23" ht="15" customHeight="1" s="37">
      <c r="A23" s="62" t="n"/>
      <c r="B23" s="63" t="inlineStr">
        <is>
          <t>Apr</t>
        </is>
      </c>
      <c r="C23" s="47" t="n"/>
      <c r="D23" s="47" t="n"/>
      <c r="E23" s="48">
        <f>IFERROR(E22+C23-D23,"-")</f>
        <v/>
      </c>
      <c r="F23" s="64" t="n"/>
    </row>
    <row r="24" ht="15" customHeight="1" s="37">
      <c r="A24" s="65" t="n"/>
      <c r="B24" s="66" t="inlineStr">
        <is>
          <t>May</t>
        </is>
      </c>
      <c r="C24" s="44" t="n"/>
      <c r="D24" s="44" t="n"/>
      <c r="E24" s="45">
        <f>IFERROR(E23+C24-D24,"-")</f>
        <v/>
      </c>
      <c r="F24" s="61" t="n"/>
    </row>
    <row r="25" ht="15" customHeight="1" s="37">
      <c r="A25" s="62" t="n"/>
      <c r="B25" s="63" t="inlineStr">
        <is>
          <t>Jun</t>
        </is>
      </c>
      <c r="C25" s="47" t="n"/>
      <c r="D25" s="47" t="n"/>
      <c r="E25" s="48">
        <f>IFERROR(E24+C25-D25,"-")</f>
        <v/>
      </c>
      <c r="F25" s="64" t="n"/>
    </row>
    <row r="26" ht="15" customHeight="1" s="37">
      <c r="A26" s="65" t="n"/>
      <c r="B26" s="66" t="inlineStr">
        <is>
          <t>Jul</t>
        </is>
      </c>
      <c r="C26" s="44" t="n"/>
      <c r="D26" s="44" t="n"/>
      <c r="E26" s="45">
        <f>IFERROR(E25+C26-D26,"-")</f>
        <v/>
      </c>
      <c r="F26" s="61" t="n"/>
    </row>
    <row r="27" ht="15" customHeight="1" s="37">
      <c r="A27" s="62" t="n"/>
      <c r="B27" s="63" t="inlineStr">
        <is>
          <t>Aug</t>
        </is>
      </c>
      <c r="C27" s="47" t="n"/>
      <c r="D27" s="47" t="n"/>
      <c r="E27" s="48">
        <f>IFERROR(E26+C27-D27,"-")</f>
        <v/>
      </c>
      <c r="F27" s="64" t="n"/>
    </row>
    <row r="28" ht="15" customHeight="1" s="37">
      <c r="A28" s="65" t="n"/>
      <c r="B28" s="66" t="inlineStr">
        <is>
          <t>Sep</t>
        </is>
      </c>
      <c r="C28" s="44" t="n"/>
      <c r="D28" s="44" t="n"/>
      <c r="E28" s="45">
        <f>IFERROR(E27+C28-D28,"-")</f>
        <v/>
      </c>
      <c r="F28" s="61" t="n"/>
    </row>
    <row r="29" ht="15" customHeight="1" s="37">
      <c r="A29" s="62" t="n"/>
      <c r="B29" s="63" t="inlineStr">
        <is>
          <t>Oct</t>
        </is>
      </c>
      <c r="C29" s="47" t="n"/>
      <c r="D29" s="47" t="n"/>
      <c r="E29" s="48">
        <f>IFERROR(E28+C29-D29,"-")</f>
        <v/>
      </c>
      <c r="F29" s="64" t="n"/>
    </row>
    <row r="30" ht="15" customHeight="1" s="37">
      <c r="A30" s="65" t="n"/>
      <c r="B30" s="66" t="inlineStr">
        <is>
          <t>Nov</t>
        </is>
      </c>
      <c r="C30" s="44" t="n"/>
      <c r="D30" s="44" t="n"/>
      <c r="E30" s="45">
        <f>IFERROR(E29+C30-D30,"-")</f>
        <v/>
      </c>
      <c r="F30" s="61" t="n"/>
    </row>
    <row r="31" ht="15" customHeight="1" s="37">
      <c r="A31" s="62" t="n"/>
      <c r="B31" s="63" t="inlineStr">
        <is>
          <t>Dec</t>
        </is>
      </c>
      <c r="C31" s="47" t="n"/>
      <c r="D31" s="47" t="n"/>
      <c r="E31" s="48">
        <f>IFERROR(E30+C31-D31,"-")</f>
        <v/>
      </c>
      <c r="F31" s="64" t="n"/>
    </row>
    <row r="32" ht="15.75" customHeight="1" s="37">
      <c r="A32" s="68" t="inlineStr">
        <is>
          <t>Client B Total</t>
        </is>
      </c>
      <c r="B32" s="69" t="n"/>
      <c r="C32" s="52">
        <f>SUM(C20:C31)</f>
        <v/>
      </c>
      <c r="D32" s="52">
        <f>SUM(D20:D31)</f>
        <v/>
      </c>
      <c r="E32" s="52">
        <f>C32-D32</f>
        <v/>
      </c>
      <c r="F32" s="69" t="n"/>
    </row>
    <row r="33" ht="7.5" customHeight="1" s="37"/>
    <row r="34" ht="15" customHeight="1" s="37">
      <c r="A34" s="70" t="inlineStr">
        <is>
          <t>Client C</t>
        </is>
      </c>
      <c r="B34" s="60" t="inlineStr">
        <is>
          <t>Jan</t>
        </is>
      </c>
      <c r="C34" s="44" t="n"/>
      <c r="D34" s="44" t="n"/>
      <c r="E34" s="45">
        <f>IFERROR(C34-D34,"-")</f>
        <v/>
      </c>
      <c r="F34" s="61" t="n"/>
    </row>
    <row r="35" ht="15" customHeight="1" s="37">
      <c r="A35" s="62" t="n"/>
      <c r="B35" s="63" t="inlineStr">
        <is>
          <t>Feb</t>
        </is>
      </c>
      <c r="C35" s="47" t="n"/>
      <c r="D35" s="47" t="n"/>
      <c r="E35" s="48">
        <f>IFERROR(E34+C35-D35,"-")</f>
        <v/>
      </c>
      <c r="F35" s="64" t="n"/>
    </row>
    <row r="36" ht="15" customHeight="1" s="37">
      <c r="A36" s="65" t="n"/>
      <c r="B36" s="66" t="inlineStr">
        <is>
          <t>Mar</t>
        </is>
      </c>
      <c r="C36" s="44" t="n"/>
      <c r="D36" s="44" t="n"/>
      <c r="E36" s="45">
        <f>IFERROR(E35+C36-D36,"-")</f>
        <v/>
      </c>
      <c r="F36" s="61" t="n"/>
    </row>
    <row r="37" ht="15" customHeight="1" s="37">
      <c r="A37" s="62" t="n"/>
      <c r="B37" s="63" t="inlineStr">
        <is>
          <t>Apr</t>
        </is>
      </c>
      <c r="C37" s="47" t="n"/>
      <c r="D37" s="47" t="n"/>
      <c r="E37" s="48">
        <f>IFERROR(E36+C37-D37,"-")</f>
        <v/>
      </c>
      <c r="F37" s="64" t="n"/>
    </row>
    <row r="38" ht="15" customHeight="1" s="37">
      <c r="A38" s="65" t="n"/>
      <c r="B38" s="66" t="inlineStr">
        <is>
          <t>May</t>
        </is>
      </c>
      <c r="C38" s="44" t="n"/>
      <c r="D38" s="44" t="n"/>
      <c r="E38" s="45">
        <f>IFERROR(E37+C38-D38,"-")</f>
        <v/>
      </c>
      <c r="F38" s="61" t="n"/>
    </row>
    <row r="39" ht="15" customHeight="1" s="37">
      <c r="A39" s="62" t="n"/>
      <c r="B39" s="63" t="inlineStr">
        <is>
          <t>Jun</t>
        </is>
      </c>
      <c r="C39" s="47" t="n"/>
      <c r="D39" s="47" t="n"/>
      <c r="E39" s="48">
        <f>IFERROR(E38+C39-D39,"-")</f>
        <v/>
      </c>
      <c r="F39" s="64" t="n"/>
    </row>
    <row r="40" ht="15" customHeight="1" s="37">
      <c r="A40" s="65" t="n"/>
      <c r="B40" s="66" t="inlineStr">
        <is>
          <t>Jul</t>
        </is>
      </c>
      <c r="C40" s="44" t="n"/>
      <c r="D40" s="44" t="n"/>
      <c r="E40" s="45">
        <f>IFERROR(E39+C40-D40,"-")</f>
        <v/>
      </c>
      <c r="F40" s="61" t="n"/>
    </row>
    <row r="41" ht="15" customHeight="1" s="37">
      <c r="A41" s="62" t="n"/>
      <c r="B41" s="63" t="inlineStr">
        <is>
          <t>Aug</t>
        </is>
      </c>
      <c r="C41" s="47" t="n"/>
      <c r="D41" s="47" t="n"/>
      <c r="E41" s="48">
        <f>IFERROR(E40+C41-D41,"-")</f>
        <v/>
      </c>
      <c r="F41" s="64" t="n"/>
    </row>
    <row r="42" ht="15" customHeight="1" s="37">
      <c r="A42" s="65" t="n"/>
      <c r="B42" s="66" t="inlineStr">
        <is>
          <t>Sep</t>
        </is>
      </c>
      <c r="C42" s="44" t="n"/>
      <c r="D42" s="44" t="n"/>
      <c r="E42" s="45">
        <f>IFERROR(E41+C42-D42,"-")</f>
        <v/>
      </c>
      <c r="F42" s="61" t="n"/>
    </row>
    <row r="43" ht="15" customHeight="1" s="37">
      <c r="A43" s="62" t="n"/>
      <c r="B43" s="63" t="inlineStr">
        <is>
          <t>Oct</t>
        </is>
      </c>
      <c r="C43" s="47" t="n"/>
      <c r="D43" s="47" t="n"/>
      <c r="E43" s="48">
        <f>IFERROR(E42+C43-D43,"-")</f>
        <v/>
      </c>
      <c r="F43" s="64" t="n"/>
    </row>
    <row r="44" ht="15" customHeight="1" s="37">
      <c r="A44" s="65" t="n"/>
      <c r="B44" s="66" t="inlineStr">
        <is>
          <t>Nov</t>
        </is>
      </c>
      <c r="C44" s="44" t="n"/>
      <c r="D44" s="44" t="n"/>
      <c r="E44" s="45">
        <f>IFERROR(E43+C44-D44,"-")</f>
        <v/>
      </c>
      <c r="F44" s="61" t="n"/>
    </row>
    <row r="45" ht="15" customHeight="1" s="37">
      <c r="A45" s="62" t="n"/>
      <c r="B45" s="63" t="inlineStr">
        <is>
          <t>Dec</t>
        </is>
      </c>
      <c r="C45" s="47" t="n"/>
      <c r="D45" s="47" t="n"/>
      <c r="E45" s="48">
        <f>IFERROR(E44+C45-D45,"-")</f>
        <v/>
      </c>
      <c r="F45" s="64" t="n"/>
    </row>
    <row r="46" ht="15.75" customHeight="1" s="37">
      <c r="A46" s="68" t="inlineStr">
        <is>
          <t>Client C Total</t>
        </is>
      </c>
      <c r="B46" s="69" t="n"/>
      <c r="C46" s="52">
        <f>SUM(C34:C45)</f>
        <v/>
      </c>
      <c r="D46" s="52">
        <f>SUM(D34:D45)</f>
        <v/>
      </c>
      <c r="E46" s="52">
        <f>C46-D46</f>
        <v/>
      </c>
      <c r="F46" s="69" t="n"/>
    </row>
    <row r="47" ht="7.5" customHeight="1" s="37"/>
    <row r="48" ht="15" customHeight="1" s="37">
      <c r="A48" s="70" t="inlineStr">
        <is>
          <t>Client D</t>
        </is>
      </c>
      <c r="B48" s="60" t="inlineStr">
        <is>
          <t>Jan</t>
        </is>
      </c>
      <c r="C48" s="44" t="n"/>
      <c r="D48" s="44" t="n"/>
      <c r="E48" s="45">
        <f>IFERROR(C48-D48,"-")</f>
        <v/>
      </c>
      <c r="F48" s="61" t="n"/>
    </row>
    <row r="49" ht="15" customHeight="1" s="37">
      <c r="A49" s="62" t="n"/>
      <c r="B49" s="63" t="inlineStr">
        <is>
          <t>Feb</t>
        </is>
      </c>
      <c r="C49" s="47" t="n"/>
      <c r="D49" s="47" t="n"/>
      <c r="E49" s="48">
        <f>IFERROR(E48+C49-D49,"-")</f>
        <v/>
      </c>
      <c r="F49" s="64" t="n"/>
    </row>
    <row r="50" ht="15" customHeight="1" s="37">
      <c r="A50" s="65" t="n"/>
      <c r="B50" s="66" t="inlineStr">
        <is>
          <t>Mar</t>
        </is>
      </c>
      <c r="C50" s="44" t="n"/>
      <c r="D50" s="44" t="n"/>
      <c r="E50" s="45">
        <f>IFERROR(E49+C50-D50,"-")</f>
        <v/>
      </c>
      <c r="F50" s="61" t="n"/>
    </row>
    <row r="51" ht="15" customHeight="1" s="37">
      <c r="A51" s="62" t="n"/>
      <c r="B51" s="63" t="inlineStr">
        <is>
          <t>Apr</t>
        </is>
      </c>
      <c r="C51" s="47" t="n"/>
      <c r="D51" s="47" t="n"/>
      <c r="E51" s="48">
        <f>IFERROR(E50+C51-D51,"-")</f>
        <v/>
      </c>
      <c r="F51" s="64" t="n"/>
    </row>
    <row r="52" ht="15" customHeight="1" s="37">
      <c r="A52" s="65" t="n"/>
      <c r="B52" s="66" t="inlineStr">
        <is>
          <t>May</t>
        </is>
      </c>
      <c r="C52" s="44" t="n"/>
      <c r="D52" s="44" t="n"/>
      <c r="E52" s="45">
        <f>IFERROR(E51+C52-D52,"-")</f>
        <v/>
      </c>
      <c r="F52" s="61" t="n"/>
    </row>
    <row r="53" ht="15" customHeight="1" s="37">
      <c r="A53" s="62" t="n"/>
      <c r="B53" s="63" t="inlineStr">
        <is>
          <t>Jun</t>
        </is>
      </c>
      <c r="C53" s="47" t="n"/>
      <c r="D53" s="47" t="n"/>
      <c r="E53" s="48">
        <f>IFERROR(E52+C53-D53,"-")</f>
        <v/>
      </c>
      <c r="F53" s="64" t="n"/>
    </row>
    <row r="54" ht="15" customHeight="1" s="37">
      <c r="A54" s="65" t="n"/>
      <c r="B54" s="66" t="inlineStr">
        <is>
          <t>Jul</t>
        </is>
      </c>
      <c r="C54" s="44" t="n"/>
      <c r="D54" s="44" t="n"/>
      <c r="E54" s="45">
        <f>IFERROR(E53+C54-D54,"-")</f>
        <v/>
      </c>
      <c r="F54" s="61" t="n"/>
    </row>
    <row r="55" ht="15" customHeight="1" s="37">
      <c r="A55" s="62" t="n"/>
      <c r="B55" s="63" t="inlineStr">
        <is>
          <t>Aug</t>
        </is>
      </c>
      <c r="C55" s="47" t="n"/>
      <c r="D55" s="47" t="n"/>
      <c r="E55" s="48">
        <f>IFERROR(E54+C55-D55,"-")</f>
        <v/>
      </c>
      <c r="F55" s="64" t="n"/>
    </row>
    <row r="56" ht="15" customHeight="1" s="37">
      <c r="A56" s="65" t="n"/>
      <c r="B56" s="66" t="inlineStr">
        <is>
          <t>Sep</t>
        </is>
      </c>
      <c r="C56" s="44" t="n"/>
      <c r="D56" s="44" t="n"/>
      <c r="E56" s="45">
        <f>IFERROR(E55+C56-D56,"-")</f>
        <v/>
      </c>
      <c r="F56" s="61" t="n"/>
    </row>
    <row r="57" ht="15" customHeight="1" s="37">
      <c r="A57" s="62" t="n"/>
      <c r="B57" s="63" t="inlineStr">
        <is>
          <t>Oct</t>
        </is>
      </c>
      <c r="C57" s="47" t="n"/>
      <c r="D57" s="47" t="n"/>
      <c r="E57" s="48">
        <f>IFERROR(E56+C57-D57,"-")</f>
        <v/>
      </c>
      <c r="F57" s="64" t="n"/>
    </row>
    <row r="58" ht="15" customHeight="1" s="37">
      <c r="A58" s="65" t="n"/>
      <c r="B58" s="66" t="inlineStr">
        <is>
          <t>Nov</t>
        </is>
      </c>
      <c r="C58" s="44" t="n"/>
      <c r="D58" s="44" t="n"/>
      <c r="E58" s="45">
        <f>IFERROR(E57+C58-D58,"-")</f>
        <v/>
      </c>
      <c r="F58" s="61" t="n"/>
    </row>
    <row r="59" ht="15" customHeight="1" s="37">
      <c r="A59" s="62" t="n"/>
      <c r="B59" s="63" t="inlineStr">
        <is>
          <t>Dec</t>
        </is>
      </c>
      <c r="C59" s="47" t="n"/>
      <c r="D59" s="47" t="n"/>
      <c r="E59" s="48">
        <f>IFERROR(E58+C59-D59,"-")</f>
        <v/>
      </c>
      <c r="F59" s="64" t="n"/>
    </row>
    <row r="60" ht="15.75" customHeight="1" s="37">
      <c r="A60" s="68" t="inlineStr">
        <is>
          <t>Client D Total</t>
        </is>
      </c>
      <c r="B60" s="69" t="n"/>
      <c r="C60" s="52">
        <f>SUM(C48:C59)</f>
        <v/>
      </c>
      <c r="D60" s="52">
        <f>SUM(D48:D59)</f>
        <v/>
      </c>
      <c r="E60" s="52">
        <f>C60-D60</f>
        <v/>
      </c>
      <c r="F60" s="69" t="n"/>
    </row>
    <row r="61" ht="7.5" customHeight="1" s="37"/>
    <row r="62" ht="15" customHeight="1" s="37">
      <c r="A62" s="70" t="inlineStr">
        <is>
          <t>Client E</t>
        </is>
      </c>
      <c r="B62" s="60" t="inlineStr">
        <is>
          <t>Jan</t>
        </is>
      </c>
      <c r="C62" s="44" t="n"/>
      <c r="D62" s="44" t="n"/>
      <c r="E62" s="45">
        <f>IFERROR(C62-D62,"-")</f>
        <v/>
      </c>
      <c r="F62" s="61" t="n"/>
    </row>
    <row r="63" ht="15" customHeight="1" s="37">
      <c r="A63" s="62" t="n"/>
      <c r="B63" s="63" t="inlineStr">
        <is>
          <t>Feb</t>
        </is>
      </c>
      <c r="C63" s="47" t="n"/>
      <c r="D63" s="47" t="n"/>
      <c r="E63" s="48">
        <f>IFERROR(E62+C63-D63,"-")</f>
        <v/>
      </c>
      <c r="F63" s="64" t="n"/>
    </row>
    <row r="64" ht="15" customHeight="1" s="37">
      <c r="A64" s="65" t="n"/>
      <c r="B64" s="66" t="inlineStr">
        <is>
          <t>Mar</t>
        </is>
      </c>
      <c r="C64" s="44" t="n"/>
      <c r="D64" s="44" t="n"/>
      <c r="E64" s="45">
        <f>IFERROR(E63+C64-D64,"-")</f>
        <v/>
      </c>
      <c r="F64" s="61" t="n"/>
    </row>
    <row r="65" ht="15" customHeight="1" s="37">
      <c r="A65" s="62" t="n"/>
      <c r="B65" s="63" t="inlineStr">
        <is>
          <t>Apr</t>
        </is>
      </c>
      <c r="C65" s="47" t="n"/>
      <c r="D65" s="47" t="n"/>
      <c r="E65" s="48">
        <f>IFERROR(E64+C65-D65,"-")</f>
        <v/>
      </c>
      <c r="F65" s="64" t="n"/>
    </row>
    <row r="66" ht="15" customHeight="1" s="37">
      <c r="A66" s="65" t="n"/>
      <c r="B66" s="66" t="inlineStr">
        <is>
          <t>May</t>
        </is>
      </c>
      <c r="C66" s="44" t="n"/>
      <c r="D66" s="44" t="n"/>
      <c r="E66" s="45">
        <f>IFERROR(E65+C66-D66,"-")</f>
        <v/>
      </c>
      <c r="F66" s="61" t="n"/>
    </row>
    <row r="67" ht="15" customHeight="1" s="37">
      <c r="A67" s="62" t="n"/>
      <c r="B67" s="63" t="inlineStr">
        <is>
          <t>Jun</t>
        </is>
      </c>
      <c r="C67" s="47" t="n"/>
      <c r="D67" s="47" t="n"/>
      <c r="E67" s="48">
        <f>IFERROR(E66+C67-D67,"-")</f>
        <v/>
      </c>
      <c r="F67" s="64" t="n"/>
    </row>
    <row r="68" ht="15" customHeight="1" s="37">
      <c r="A68" s="65" t="n"/>
      <c r="B68" s="66" t="inlineStr">
        <is>
          <t>Jul</t>
        </is>
      </c>
      <c r="C68" s="44" t="n"/>
      <c r="D68" s="44" t="n"/>
      <c r="E68" s="45">
        <f>IFERROR(E67+C68-D68,"-")</f>
        <v/>
      </c>
      <c r="F68" s="61" t="n"/>
    </row>
    <row r="69" ht="15" customHeight="1" s="37">
      <c r="A69" s="62" t="n"/>
      <c r="B69" s="63" t="inlineStr">
        <is>
          <t>Aug</t>
        </is>
      </c>
      <c r="C69" s="47" t="n"/>
      <c r="D69" s="47" t="n"/>
      <c r="E69" s="48">
        <f>IFERROR(E68+C69-D69,"-")</f>
        <v/>
      </c>
      <c r="F69" s="64" t="n"/>
    </row>
    <row r="70" ht="15" customHeight="1" s="37">
      <c r="A70" s="65" t="n"/>
      <c r="B70" s="66" t="inlineStr">
        <is>
          <t>Sep</t>
        </is>
      </c>
      <c r="C70" s="44" t="n"/>
      <c r="D70" s="44" t="n"/>
      <c r="E70" s="45">
        <f>IFERROR(E69+C70-D70,"-")</f>
        <v/>
      </c>
      <c r="F70" s="61" t="n"/>
    </row>
    <row r="71" ht="15" customHeight="1" s="37">
      <c r="A71" s="62" t="n"/>
      <c r="B71" s="63" t="inlineStr">
        <is>
          <t>Oct</t>
        </is>
      </c>
      <c r="C71" s="47" t="n"/>
      <c r="D71" s="47" t="n"/>
      <c r="E71" s="48">
        <f>IFERROR(E70+C71-D71,"-")</f>
        <v/>
      </c>
      <c r="F71" s="64" t="n"/>
    </row>
    <row r="72" ht="15" customHeight="1" s="37">
      <c r="A72" s="65" t="n"/>
      <c r="B72" s="66" t="inlineStr">
        <is>
          <t>Nov</t>
        </is>
      </c>
      <c r="C72" s="44" t="n"/>
      <c r="D72" s="44" t="n"/>
      <c r="E72" s="45">
        <f>IFERROR(E71+C72-D72,"-")</f>
        <v/>
      </c>
      <c r="F72" s="61" t="n"/>
    </row>
    <row r="73" ht="15" customHeight="1" s="37">
      <c r="A73" s="62" t="n"/>
      <c r="B73" s="63" t="inlineStr">
        <is>
          <t>Dec</t>
        </is>
      </c>
      <c r="C73" s="47" t="n"/>
      <c r="D73" s="47" t="n"/>
      <c r="E73" s="48">
        <f>IFERROR(E72+C73-D73,"-")</f>
        <v/>
      </c>
      <c r="F73" s="64" t="n"/>
    </row>
    <row r="74" ht="15.75" customHeight="1" s="37">
      <c r="A74" s="68" t="inlineStr">
        <is>
          <t>Client E Total</t>
        </is>
      </c>
      <c r="B74" s="69" t="n"/>
      <c r="C74" s="52">
        <f>SUM(C62:C73)</f>
        <v/>
      </c>
      <c r="D74" s="52">
        <f>SUM(D62:D73)</f>
        <v/>
      </c>
      <c r="E74" s="52">
        <f>C74-D74</f>
        <v/>
      </c>
      <c r="F74" s="69" t="n"/>
    </row>
    <row r="75" ht="7.5" customHeight="1" s="37"/>
    <row r="76" ht="18" customHeight="1" s="37">
      <c r="A76" s="71" t="inlineStr">
        <is>
          <t>Grand Total — All Clients</t>
        </is>
      </c>
      <c r="B76" s="72" t="n"/>
      <c r="C76" s="58">
        <f>C18+C31+C44+C57+C70</f>
        <v/>
      </c>
      <c r="D76" s="58">
        <f>D18+D31+D44+D57+D70</f>
        <v/>
      </c>
      <c r="E76" s="58">
        <f>E18+E31+E44+E57+E70</f>
        <v/>
      </c>
      <c r="F76" s="72" t="n"/>
    </row>
  </sheetData>
  <mergeCells count="2">
    <mergeCell ref="A3:F3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2026-04-01T01:19:29Z</dcterms:created>
  <dcterms:modified xmlns:dcterms="http://purl.org/dc/terms/" xmlns:xsi="http://www.w3.org/2001/XMLSchema-instance" xsi:type="dcterms:W3CDTF">2026-04-02T14:58:04Z</dcterms:modified>
  <cp:revision>0</cp:revision>
</cp:coreProperties>
</file>