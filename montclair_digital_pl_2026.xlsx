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&amp;L" sheetId="1" state="visible" r:id="rId3"/>
    <sheet name="Client Ad Fund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<sst xmlns="http://schemas.openxmlformats.org/spreadsheetml/2006/main" count="120" uniqueCount="60">
  <si>
    <t xml:space="preserve">Montclair Digital — Profit &amp; Loss 2026</t>
  </si>
  <si>
    <t xml:space="preserve">Color key:  Blue = enter your data   |   Black = calculated   |   Green = linked from another sheet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</si>
  <si>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</si>
  <si>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</si>
  <si>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</si>
  <si>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</si>
  <si>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</si>
  <si>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</si>
  <si>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</si>
  <si>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</si>
  <si>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</si>
  <si>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</si>
  <si>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</si>
  <si>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</si>
  <si>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Full Year</t>
  </si>
  <si>
    <t xml:space="preserve">REVENUE</t>
  </si>
  <si>
    <t xml:space="preserve">Retainer Fees</t>
  </si>
  <si>
    <t xml:space="preserve">Project / One-Time Fees</t>
  </si>
  <si>
    <t xml:space="preserve">Ad Management Fees</t>
  </si>
  <si>
    <t xml:space="preserve">Other Income</t>
  </si>
  <si>
    <t xml:space="preserve">Total Revenue</t>
  </si>
  <si>
    <t xml:space="preserve">COST OF REVENUE</t>
  </si>
  <si>
    <t xml:space="preserve">Contractors / Freelancers</t>
  </si>
  <si>
    <t xml:space="preserve">Software &amp; Tools</t>
  </si>
  <si>
    <t xml:space="preserve">Total Cost of Revenue</t>
  </si>
  <si>
    <t xml:space="preserve">Gross Profit</t>
  </si>
  <si>
    <t xml:space="preserve">Gross Margin %</t>
  </si>
  <si>
    <t xml:space="preserve">OPERATING EXPENSES</t>
  </si>
  <si>
    <t xml:space="preserve">Owner Pay / Salary</t>
  </si>
  <si>
    <t xml:space="preserve">Payroll / Self-Employment Tax</t>
  </si>
  <si>
    <t xml:space="preserve">Marketing &amp; Advertising</t>
  </si>
  <si>
    <t xml:space="preserve">Travel &amp; Entertainment</t>
  </si>
  <si>
    <t xml:space="preserve">Office / Coworking</t>
  </si>
  <si>
    <t xml:space="preserve">Professional Services (Legal, Accounting)</t>
  </si>
  <si>
    <t xml:space="preserve">Insurance</t>
  </si>
  <si>
    <t xml:space="preserve">Miscellaneous</t>
  </si>
  <si>
    <t xml:space="preserve">Total Operating Expenses</t>
  </si>
  <si>
    <t xml:space="preserve">Net Income</t>
  </si>
  <si>
    <t xml:space="preserve">Net Margin %</t>
  </si>
  <si>
    <t xml:space="preserve">Montclair Digital — Client Ad Funds Tracker</t>
  </si>
  <si>
    <t xml:space="preserve">Track client ad budget receipts and disbursements here. Balance = cumulative receipts minus cumulative spend per client.</t>
  </si>
  <si>
    <t xml:space="preserve">Client</t>
  </si>
  <si>
    <t xml:space="preserve">Month</t>
  </si>
  <si>
    <t xml:space="preserve">Receipts ($)</t>
  </si>
  <si>
    <t xml:space="preserve">Spend ($)</t>
  </si>
  <si>
    <t xml:space="preserve">Balance ($)</t>
  </si>
  <si>
    <t xml:space="preserve">Notes</t>
  </si>
  <si>
    <t xml:space="preserve">Einhorn</t>
  </si>
  <si>
    <t xml:space="preserve">Einhorn Ad Fund deposit (1/27)</t>
  </si>
  <si>
    <t xml:space="preserve">3 deposits (3/1, 3/10, 3/29); Google ad spend: $2,817.38 (3/2) + $350.00 (3/27) + $1,653.88 (3/18)</t>
  </si>
  <si>
    <t xml:space="preserve">Einhorn Total</t>
  </si>
  <si>
    <t xml:space="preserve">Client B</t>
  </si>
  <si>
    <t xml:space="preserve">Client B Total</t>
  </si>
  <si>
    <t xml:space="preserve">Client C</t>
  </si>
  <si>
    <t xml:space="preserve">Client C Total</t>
  </si>
  <si>
    <t xml:space="preserve">Client D</t>
  </si>
  <si>
    <t xml:space="preserve">Client D Total</t>
  </si>
  <si>
    <t xml:space="preserve">Client E</t>
  </si>
  <si>
    <t xml:space="preserve">Client E Total</t>
  </si>
  <si>
    <t xml:space="preserve">Grand Total — All Clients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</si>
</sst>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AE3F3"/>
        <bgColor rgb="FFD5E8D4"/>
      </patternFill>
    </fill>
    <fill>
      <patternFill patternType="solid">
        <fgColor rgb="FFF5F5F5"/>
        <bgColor rgb="FFFFFFFF"/>
      </patternFill>
    </fill>
    <fill>
      <patternFill patternType="solid">
        <fgColor rgb="FFD5E8D4"/>
        <bgColor rgb="FFE2EFDA"/>
      </patternFill>
    </fill>
    <fill>
      <patternFill patternType="solid">
        <fgColor rgb="FFE2EFDA"/>
        <bgColor rgb="FFD5E8D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double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D5E8D4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2"/>
    <col collapsed="false" customWidth="true" hidden="false" outlineLevel="0" max="15" min="2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1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6" hidden="false" customHeight="true" outlineLevel="0" collapsed="false"/>
    <row r="5" customFormat="false" ht="19.5" hidden="false" customHeight="true" outlineLevel="0" collapsed="false">
      <c r="A5" s="4"/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5" t="s">
        <v>9</v>
      </c>
      <c r="J5" s="5" t="s">
        <v>10</v>
      </c>
      <c r="K5" s="5" t="s">
        <v>11</v>
      </c>
      <c r="L5" s="5" t="s">
        <v>12</v>
      </c>
      <c r="M5" s="5" t="s">
        <v>13</v>
      </c>
      <c r="N5" s="5" t="s">
        <v>14</v>
      </c>
    </row>
    <row r="6" customFormat="false" ht="15.75" hidden="false" customHeight="true" outlineLevel="0" collapsed="false">
      <c r="A6" s="6" t="s">
        <v>15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customFormat="false" ht="15" hidden="false" customHeight="true" outlineLevel="0" collapsed="false">
      <c r="A7" s="7" t="s">
        <v>16</v>
      </c>
      <c r="B7" s="8" t="n">
        <v>2250</v>
      </c>
      <c r="C7" s="8"/>
      <c r="D7" s="8" t="n">
        <v>6750</v>
      </c>
      <c r="E7" s="8"/>
      <c r="F7" s="8"/>
      <c r="G7" s="8"/>
      <c r="H7" s="8"/>
      <c r="I7" s="8"/>
      <c r="J7" s="8"/>
      <c r="K7" s="8"/>
      <c r="L7" s="8"/>
      <c r="M7" s="8"/>
      <c r="N7" s="9" t="n">
        <f aca="false">SUM(B7:M7)</f>
        <v>9000</v>
      </c>
    </row>
    <row r="8" customFormat="false" ht="15" hidden="false" customHeight="true" outlineLevel="0" collapsed="false">
      <c r="A8" s="10" t="s">
        <v>17</v>
      </c>
      <c r="B8" s="11"/>
      <c r="C8" s="11"/>
      <c r="D8" s="11" t="n">
        <v>4119.77</v>
      </c>
      <c r="E8" s="11"/>
      <c r="F8" s="11"/>
      <c r="G8" s="11"/>
      <c r="H8" s="11"/>
      <c r="I8" s="11"/>
      <c r="J8" s="11"/>
      <c r="K8" s="11"/>
      <c r="L8" s="11"/>
      <c r="M8" s="11"/>
      <c r="N8" s="12" t="n">
        <f aca="false">SUM(B8:M8)</f>
        <v>4119.77</v>
      </c>
    </row>
    <row r="9" customFormat="false" ht="15" hidden="false" customHeight="true" outlineLevel="0" collapsed="false">
      <c r="A9" s="7" t="s">
        <v>18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9" t="n">
        <f aca="false">SUM(B9:M9)</f>
        <v>0</v>
      </c>
    </row>
    <row r="10" customFormat="false" ht="15" hidden="false" customHeight="true" outlineLevel="0" collapsed="false">
      <c r="A10" s="10" t="s">
        <v>19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2" t="n">
        <f aca="false">SUM(B10:M10)</f>
        <v>0</v>
      </c>
    </row>
    <row r="11" customFormat="false" ht="15.75" hidden="false" customHeight="true" outlineLevel="0" collapsed="false">
      <c r="A11" s="13" t="s">
        <v>20</v>
      </c>
      <c r="B11" s="14" t="n">
        <f aca="false">B7+B8+B9+B10</f>
        <v>2250</v>
      </c>
      <c r="C11" s="14" t="n">
        <f aca="false">C7+C8+C9+C10</f>
        <v>0</v>
      </c>
      <c r="D11" s="14" t="n">
        <f aca="false">D7+D8+D9+D10</f>
        <v>10869.77</v>
      </c>
      <c r="E11" s="14" t="n">
        <f aca="false">E7+E8+E9+E10</f>
        <v>0</v>
      </c>
      <c r="F11" s="14" t="n">
        <f aca="false">F7+F8+F9+F10</f>
        <v>0</v>
      </c>
      <c r="G11" s="14" t="n">
        <f aca="false">G7+G8+G9+G10</f>
        <v>0</v>
      </c>
      <c r="H11" s="14" t="n">
        <f aca="false">H7+H8+H9+H10</f>
        <v>0</v>
      </c>
      <c r="I11" s="14" t="n">
        <f aca="false">I7+I8+I9+I10</f>
        <v>0</v>
      </c>
      <c r="J11" s="14" t="n">
        <f aca="false">J7+J8+J9+J10</f>
        <v>0</v>
      </c>
      <c r="K11" s="14" t="n">
        <f aca="false">K7+K8+K9+K10</f>
        <v>0</v>
      </c>
      <c r="L11" s="14" t="n">
        <f aca="false">L7+L8+L9+L10</f>
        <v>0</v>
      </c>
      <c r="M11" s="14" t="n">
        <f aca="false">M7+M8+M9+M10</f>
        <v>0</v>
      </c>
      <c r="N11" s="14" t="n">
        <f aca="false">N7+N8+N9+N10</f>
        <v>13119.77</v>
      </c>
    </row>
    <row r="12" customFormat="false" ht="7.5" hidden="false" customHeight="true" outlineLevel="0" collapsed="false"/>
    <row r="13" customFormat="false" ht="15.75" hidden="false" customHeight="true" outlineLevel="0" collapsed="false">
      <c r="A13" s="6" t="s">
        <v>21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true" outlineLevel="0" collapsed="false">
      <c r="A14" s="7" t="s">
        <v>22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9" t="n">
        <f aca="false">SUM(B14:M14)</f>
        <v>0</v>
      </c>
    </row>
    <row r="15" customFormat="false" ht="15" hidden="false" customHeight="true" outlineLevel="0" collapsed="false">
      <c r="A15" s="10" t="s">
        <v>23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2" t="n">
        <f aca="false">SUM(B15:M15)</f>
        <v>0</v>
      </c>
    </row>
    <row r="16" customFormat="false" ht="15.75" hidden="false" customHeight="true" outlineLevel="0" collapsed="false">
      <c r="A16" s="15" t="s">
        <v>24</v>
      </c>
      <c r="B16" s="16" t="n">
        <f aca="false">B14+B15</f>
        <v>0</v>
      </c>
      <c r="C16" s="16" t="n">
        <f aca="false">C14+C15</f>
        <v>0</v>
      </c>
      <c r="D16" s="16" t="n">
        <f aca="false">D14+D15</f>
        <v>0</v>
      </c>
      <c r="E16" s="16" t="n">
        <f aca="false">E14+E15</f>
        <v>0</v>
      </c>
      <c r="F16" s="16" t="n">
        <f aca="false">F14+F15</f>
        <v>0</v>
      </c>
      <c r="G16" s="16" t="n">
        <f aca="false">G14+G15</f>
        <v>0</v>
      </c>
      <c r="H16" s="16" t="n">
        <f aca="false">H14+H15</f>
        <v>0</v>
      </c>
      <c r="I16" s="16" t="n">
        <f aca="false">I14+I15</f>
        <v>0</v>
      </c>
      <c r="J16" s="16" t="n">
        <f aca="false">J14+J15</f>
        <v>0</v>
      </c>
      <c r="K16" s="16" t="n">
        <f aca="false">K14+K15</f>
        <v>0</v>
      </c>
      <c r="L16" s="16" t="n">
        <f aca="false">L14+L15</f>
        <v>0</v>
      </c>
      <c r="M16" s="16" t="n">
        <f aca="false">M14+M15</f>
        <v>0</v>
      </c>
      <c r="N16" s="16" t="n">
        <f aca="false">N14+N15</f>
        <v>0</v>
      </c>
    </row>
    <row r="17" customFormat="false" ht="7.5" hidden="false" customHeight="true" outlineLevel="0" collapsed="false"/>
    <row r="18" customFormat="false" ht="15.75" hidden="false" customHeight="true" outlineLevel="0" collapsed="false">
      <c r="A18" s="17" t="s">
        <v>25</v>
      </c>
      <c r="B18" s="18" t="n">
        <f aca="false">B11-B16</f>
        <v>2250</v>
      </c>
      <c r="C18" s="18" t="n">
        <f aca="false">C11-C16</f>
        <v>0</v>
      </c>
      <c r="D18" s="18" t="n">
        <f aca="false">D11-D16</f>
        <v>10869.77</v>
      </c>
      <c r="E18" s="18" t="n">
        <f aca="false">E11-E16</f>
        <v>0</v>
      </c>
      <c r="F18" s="18" t="n">
        <f aca="false">F11-F16</f>
        <v>0</v>
      </c>
      <c r="G18" s="18" t="n">
        <f aca="false">G11-G16</f>
        <v>0</v>
      </c>
      <c r="H18" s="18" t="n">
        <f aca="false">H11-H16</f>
        <v>0</v>
      </c>
      <c r="I18" s="18" t="n">
        <f aca="false">I11-I16</f>
        <v>0</v>
      </c>
      <c r="J18" s="18" t="n">
        <f aca="false">J11-J16</f>
        <v>0</v>
      </c>
      <c r="K18" s="18" t="n">
        <f aca="false">K11-K16</f>
        <v>0</v>
      </c>
      <c r="L18" s="18" t="n">
        <f aca="false">L11-L16</f>
        <v>0</v>
      </c>
      <c r="M18" s="18" t="n">
        <f aca="false">M11-M16</f>
        <v>0</v>
      </c>
      <c r="N18" s="18" t="n">
        <f aca="false">N11-N16</f>
        <v>13119.77</v>
      </c>
    </row>
    <row r="19" customFormat="false" ht="13.5" hidden="false" customHeight="true" outlineLevel="0" collapsed="false">
      <c r="A19" s="19" t="s">
        <v>26</v>
      </c>
      <c r="B19" s="20" t="n">
        <f aca="false">IFERROR(B18/B11,"-")</f>
        <v>1</v>
      </c>
      <c r="C19" s="20" t="str">
        <f aca="false">IFERROR(C18/C11,"-")</f>
        <v>-</v>
      </c>
      <c r="D19" s="20" t="n">
        <f aca="false">IFERROR(D18/D11,"-")</f>
        <v>1</v>
      </c>
      <c r="E19" s="20" t="str">
        <f aca="false">IFERROR(E18/E11,"-")</f>
        <v>-</v>
      </c>
      <c r="F19" s="20" t="str">
        <f aca="false">IFERROR(F18/F11,"-")</f>
        <v>-</v>
      </c>
      <c r="G19" s="20" t="str">
        <f aca="false">IFERROR(G18/G11,"-")</f>
        <v>-</v>
      </c>
      <c r="H19" s="20" t="str">
        <f aca="false">IFERROR(H18/H11,"-")</f>
        <v>-</v>
      </c>
      <c r="I19" s="20" t="str">
        <f aca="false">IFERROR(I18/I11,"-")</f>
        <v>-</v>
      </c>
      <c r="J19" s="20" t="str">
        <f aca="false">IFERROR(J18/J11,"-")</f>
        <v>-</v>
      </c>
      <c r="K19" s="20" t="str">
        <f aca="false">IFERROR(K18/K11,"-")</f>
        <v>-</v>
      </c>
      <c r="L19" s="20" t="str">
        <f aca="false">IFERROR(L18/L11,"-")</f>
        <v>-</v>
      </c>
      <c r="M19" s="20" t="str">
        <f aca="false">IFERROR(M18/M11,"-")</f>
        <v>-</v>
      </c>
      <c r="N19" s="20" t="n">
        <f aca="false">IFERROR(N18/N11,"-")</f>
        <v>1</v>
      </c>
    </row>
    <row r="20" customFormat="false" ht="7.5" hidden="false" customHeight="true" outlineLevel="0" collapsed="false"/>
    <row r="21" customFormat="false" ht="15.75" hidden="false" customHeight="true" outlineLevel="0" collapsed="false">
      <c r="A21" s="6" t="s">
        <v>27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true" outlineLevel="0" collapsed="false">
      <c r="A22" s="7" t="s">
        <v>28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9" t="n">
        <f aca="false">SUM(B22:M22)</f>
        <v>0</v>
      </c>
    </row>
    <row r="23" customFormat="false" ht="15" hidden="false" customHeight="true" outlineLevel="0" collapsed="false">
      <c r="A23" s="10" t="s">
        <v>29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2" t="n">
        <f aca="false">SUM(B23:M23)</f>
        <v>0</v>
      </c>
    </row>
    <row r="24" customFormat="false" ht="15" hidden="false" customHeight="true" outlineLevel="0" collapsed="false">
      <c r="A24" s="7" t="s">
        <v>30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9" t="n">
        <f aca="false">SUM(B24:M24)</f>
        <v>0</v>
      </c>
    </row>
    <row r="25" customFormat="false" ht="15" hidden="false" customHeight="true" outlineLevel="0" collapsed="false">
      <c r="A25" s="10" t="s">
        <v>31</v>
      </c>
      <c r="B25" s="11"/>
      <c r="C25" s="11"/>
      <c r="D25" s="11" t="n">
        <v>10.93</v>
      </c>
      <c r="E25" s="11"/>
      <c r="F25" s="11"/>
      <c r="G25" s="11"/>
      <c r="H25" s="11"/>
      <c r="I25" s="11"/>
      <c r="J25" s="11"/>
      <c r="K25" s="11"/>
      <c r="L25" s="11"/>
      <c r="M25" s="11"/>
      <c r="N25" s="12" t="n">
        <f aca="false">SUM(B25:M25)</f>
        <v>10.93</v>
      </c>
    </row>
    <row r="26" customFormat="false" ht="15" hidden="false" customHeight="true" outlineLevel="0" collapsed="false">
      <c r="A26" s="7" t="s">
        <v>32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 t="n">
        <f aca="false">SUM(B26:M26)</f>
        <v>0</v>
      </c>
    </row>
    <row r="27" customFormat="false" ht="15" hidden="false" customHeight="true" outlineLevel="0" collapsed="false">
      <c r="A27" s="10" t="s">
        <v>33</v>
      </c>
      <c r="B27" s="11"/>
      <c r="C27" s="11" t="n">
        <v>500</v>
      </c>
      <c r="D27" s="11" t="n">
        <v>1653</v>
      </c>
      <c r="E27" s="11"/>
      <c r="F27" s="11"/>
      <c r="G27" s="11"/>
      <c r="H27" s="11"/>
      <c r="I27" s="11"/>
      <c r="J27" s="11"/>
      <c r="K27" s="11"/>
      <c r="L27" s="11"/>
      <c r="M27" s="11"/>
      <c r="N27" s="12" t="n">
        <f aca="false">SUM(B27:M27)</f>
        <v>2153</v>
      </c>
    </row>
    <row r="28" customFormat="false" ht="15" hidden="false" customHeight="true" outlineLevel="0" collapsed="false">
      <c r="A28" s="7" t="s">
        <v>34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 t="n">
        <f aca="false">SUM(B28:M28)</f>
        <v>0</v>
      </c>
    </row>
    <row r="29" customFormat="false" ht="15" hidden="false" customHeight="true" outlineLevel="0" collapsed="false">
      <c r="A29" s="10" t="s">
        <v>35</v>
      </c>
      <c r="B29" s="11" t="n">
        <v>261.88</v>
      </c>
      <c r="C29" s="11" t="n">
        <v>472.37</v>
      </c>
      <c r="D29" s="11" t="n">
        <v>1052.83</v>
      </c>
      <c r="E29" s="11"/>
      <c r="F29" s="11"/>
      <c r="G29" s="11"/>
      <c r="H29" s="11"/>
      <c r="I29" s="11"/>
      <c r="J29" s="11"/>
      <c r="K29" s="11"/>
      <c r="L29" s="11"/>
      <c r="M29" s="11"/>
      <c r="N29" s="12" t="n">
        <f aca="false">SUM(B29:M29)</f>
        <v>1787.08</v>
      </c>
    </row>
    <row r="30" customFormat="false" ht="15.75" hidden="false" customHeight="true" outlineLevel="0" collapsed="false">
      <c r="A30" s="15" t="s">
        <v>36</v>
      </c>
      <c r="B30" s="16" t="n">
        <f aca="false">B22+B23+B24+B25+B26+B27+B28+B29</f>
        <v>261.88</v>
      </c>
      <c r="C30" s="16" t="n">
        <f aca="false">C22+C23+C24+C25+C26+C27+C28+C29</f>
        <v>972.37</v>
      </c>
      <c r="D30" s="16" t="n">
        <f aca="false">D22+D23+D24+D25+D26+D27+D28+D29</f>
        <v>2716.76</v>
      </c>
      <c r="E30" s="16" t="n">
        <f aca="false">E22+E23+E24+E25+E26+E27+E28+E29</f>
        <v>0</v>
      </c>
      <c r="F30" s="16" t="n">
        <f aca="false">F22+F23+F24+F25+F26+F27+F28+F29</f>
        <v>0</v>
      </c>
      <c r="G30" s="16" t="n">
        <f aca="false">G22+G23+G24+G25+G26+G27+G28+G29</f>
        <v>0</v>
      </c>
      <c r="H30" s="16" t="n">
        <f aca="false">H22+H23+H24+H25+H26+H27+H28+H29</f>
        <v>0</v>
      </c>
      <c r="I30" s="16" t="n">
        <f aca="false">I22+I23+I24+I25+I26+I27+I28+I29</f>
        <v>0</v>
      </c>
      <c r="J30" s="16" t="n">
        <f aca="false">J22+J23+J24+J25+J26+J27+J28+J29</f>
        <v>0</v>
      </c>
      <c r="K30" s="16" t="n">
        <f aca="false">K22+K23+K24+K25+K26+K27+K28+K29</f>
        <v>0</v>
      </c>
      <c r="L30" s="16" t="n">
        <f aca="false">L22+L23+L24+L25+L26+L27+L28+L29</f>
        <v>0</v>
      </c>
      <c r="M30" s="16" t="n">
        <f aca="false">M22+M23+M24+M25+M26+M27+M28+M29</f>
        <v>0</v>
      </c>
      <c r="N30" s="16" t="n">
        <f aca="false">N22+N23+N24+N25+N26+N27+N28+N29</f>
        <v>3951.01</v>
      </c>
    </row>
    <row r="31" customFormat="false" ht="7.5" hidden="false" customHeight="true" outlineLevel="0" collapsed="false"/>
    <row r="32" customFormat="false" ht="18" hidden="false" customHeight="true" outlineLevel="0" collapsed="false">
      <c r="A32" s="21" t="s">
        <v>37</v>
      </c>
      <c r="B32" s="22" t="n">
        <f aca="false">B18-B30</f>
        <v>1988.12</v>
      </c>
      <c r="C32" s="22" t="n">
        <f aca="false">C18-C30</f>
        <v>-972.37</v>
      </c>
      <c r="D32" s="22" t="n">
        <f aca="false">D18-D30</f>
        <v>8153.01</v>
      </c>
      <c r="E32" s="22" t="n">
        <f aca="false">E18-E30</f>
        <v>0</v>
      </c>
      <c r="F32" s="22" t="n">
        <f aca="false">F18-F30</f>
        <v>0</v>
      </c>
      <c r="G32" s="22" t="n">
        <f aca="false">G18-G30</f>
        <v>0</v>
      </c>
      <c r="H32" s="22" t="n">
        <f aca="false">H18-H30</f>
        <v>0</v>
      </c>
      <c r="I32" s="22" t="n">
        <f aca="false">I18-I30</f>
        <v>0</v>
      </c>
      <c r="J32" s="22" t="n">
        <f aca="false">J18-J30</f>
        <v>0</v>
      </c>
      <c r="K32" s="22" t="n">
        <f aca="false">K18-K30</f>
        <v>0</v>
      </c>
      <c r="L32" s="22" t="n">
        <f aca="false">L18-L30</f>
        <v>0</v>
      </c>
      <c r="M32" s="22" t="n">
        <f aca="false">M18-M30</f>
        <v>0</v>
      </c>
      <c r="N32" s="22" t="n">
        <f aca="false">N18-N30</f>
        <v>9168.76</v>
      </c>
    </row>
    <row r="33" customFormat="false" ht="7.5" hidden="false" customHeight="true" outlineLevel="0" collapsed="false"/>
    <row r="34" customFormat="false" ht="13.5" hidden="false" customHeight="true" outlineLevel="0" collapsed="false">
      <c r="A34" s="19" t="s">
        <v>38</v>
      </c>
      <c r="B34" s="20" t="n">
        <f aca="false">IFERROR(B32/B11,"-")</f>
        <v>0.883608888888889</v>
      </c>
      <c r="C34" s="20" t="str">
        <f aca="false">IFERROR(C32/C11,"-")</f>
        <v>-</v>
      </c>
      <c r="D34" s="20" t="n">
        <f aca="false">IFERROR(D32/D11,"-")</f>
        <v>0.750062788817059</v>
      </c>
      <c r="E34" s="20" t="str">
        <f aca="false">IFERROR(E32/E11,"-")</f>
        <v>-</v>
      </c>
      <c r="F34" s="20" t="str">
        <f aca="false">IFERROR(F32/F11,"-")</f>
        <v>-</v>
      </c>
      <c r="G34" s="20" t="str">
        <f aca="false">IFERROR(G32/G11,"-")</f>
        <v>-</v>
      </c>
      <c r="H34" s="20" t="str">
        <f aca="false">IFERROR(H32/H11,"-")</f>
        <v>-</v>
      </c>
      <c r="I34" s="20" t="str">
        <f aca="false">IFERROR(I32/I11,"-")</f>
        <v>-</v>
      </c>
      <c r="J34" s="20" t="str">
        <f aca="false">IFERROR(J32/J11,"-")</f>
        <v>-</v>
      </c>
      <c r="K34" s="20" t="str">
        <f aca="false">IFERROR(K32/K11,"-")</f>
        <v>-</v>
      </c>
      <c r="L34" s="20" t="str">
        <f aca="false">IFERROR(L32/L11,"-")</f>
        <v>-</v>
      </c>
      <c r="M34" s="20" t="str">
        <f aca="false">IFERROR(M32/M11,"-")</f>
        <v>-</v>
      </c>
      <c r="N34" s="20" t="n">
        <f aca="false">IFERROR(N32/N11,"-")</f>
        <v>0.698850665827221</v>
      </c>
    </row>
  </sheetData>
  <mergeCells count="5">
    <mergeCell ref="A1:O1"/>
    <mergeCell ref="A3:O3"/>
    <mergeCell ref="A6:N6"/>
    <mergeCell ref="A13:N13"/>
    <mergeCell ref="A21:N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5" min="3" style="1" width="14"/>
    <col collapsed="false" customWidth="true" hidden="false" outlineLevel="0" max="6" min="6" style="1" width="30"/>
  </cols>
  <sheetData>
    <row r="1" customFormat="false" ht="24" hidden="false" customHeight="true" outlineLevel="0" collapsed="false">
      <c r="A1" s="2" t="s">
        <v>39</v>
      </c>
      <c r="B1" s="2"/>
      <c r="C1" s="2"/>
      <c r="D1" s="2"/>
      <c r="E1" s="2"/>
      <c r="F1" s="2"/>
    </row>
    <row r="2" customFormat="false" ht="6" hidden="false" customHeight="true" outlineLevel="0" collapsed="false"/>
    <row r="3" customFormat="false" ht="15" hidden="false" customHeight="true" outlineLevel="0" collapsed="false">
      <c r="A3" s="3" t="s">
        <v>40</v>
      </c>
      <c r="B3" s="3"/>
      <c r="C3" s="3"/>
      <c r="D3" s="3"/>
      <c r="E3" s="3"/>
      <c r="F3" s="3"/>
    </row>
    <row r="4" customFormat="false" ht="6" hidden="false" customHeight="true" outlineLevel="0" collapsed="false"/>
    <row r="5" customFormat="false" ht="19.5" hidden="false" customHeight="true" outlineLevel="0" collapsed="false">
      <c r="A5" s="5" t="s">
        <v>41</v>
      </c>
      <c r="B5" s="5" t="s">
        <v>42</v>
      </c>
      <c r="C5" s="5" t="s">
        <v>43</v>
      </c>
      <c r="D5" s="5" t="s">
        <v>44</v>
      </c>
      <c r="E5" s="5" t="s">
        <v>45</v>
      </c>
      <c r="F5" s="5" t="s">
        <v>46</v>
      </c>
    </row>
    <row r="6" customFormat="false" ht="15" hidden="false" customHeight="true" outlineLevel="0" collapsed="false">
      <c r="A6" s="23" t="s">
        <v>47</v>
      </c>
      <c r="B6" s="24" t="s">
        <v>2</v>
      </c>
      <c r="C6" s="8" t="n">
        <v>3000</v>
      </c>
      <c r="D6" s="8"/>
      <c r="E6" s="9" t="n">
        <f aca="false">IFERROR(C6-D6,"-")</f>
        <v>3000</v>
      </c>
      <c r="F6" s="25" t="s">
        <v>48</v>
      </c>
    </row>
    <row r="7" customFormat="false" ht="15" hidden="false" customHeight="true" outlineLevel="0" collapsed="false">
      <c r="A7" s="26"/>
      <c r="B7" s="27" t="s">
        <v>3</v>
      </c>
      <c r="C7" s="11"/>
      <c r="D7" s="11"/>
      <c r="E7" s="12" t="n">
        <f aca="false">IFERROR(E6+C7-D7,"-")</f>
        <v>3000</v>
      </c>
      <c r="F7" s="28"/>
    </row>
    <row r="8" customFormat="false" ht="15" hidden="false" customHeight="true" outlineLevel="0" collapsed="false">
      <c r="A8" s="29"/>
      <c r="B8" s="30" t="s">
        <v>4</v>
      </c>
      <c r="C8" s="8" t="n">
        <v>9000</v>
      </c>
      <c r="D8" s="8" t="n">
        <v>4821.26</v>
      </c>
      <c r="E8" s="9" t="n">
        <f aca="false">IFERROR(E7+C8-D8,"-")</f>
        <v>7178.74</v>
      </c>
      <c r="F8" s="25" t="s">
        <v>49</v>
      </c>
    </row>
    <row r="9" customFormat="false" ht="15" hidden="false" customHeight="true" outlineLevel="0" collapsed="false">
      <c r="A9" s="26"/>
      <c r="B9" s="27" t="s">
        <v>5</v>
      </c>
      <c r="C9" s="11"/>
      <c r="D9" s="11"/>
      <c r="E9" s="12" t="n">
        <f aca="false">IFERROR(E8+C9-D9,"-")</f>
        <v>7178.74</v>
      </c>
      <c r="F9" s="28"/>
    </row>
    <row r="10" customFormat="false" ht="15" hidden="false" customHeight="true" outlineLevel="0" collapsed="false">
      <c r="A10" s="29"/>
      <c r="B10" s="30" t="s">
        <v>6</v>
      </c>
      <c r="C10" s="8"/>
      <c r="D10" s="8"/>
      <c r="E10" s="9" t="n">
        <f aca="false">IFERROR(E9+C10-D10,"-")</f>
        <v>7178.74</v>
      </c>
      <c r="F10" s="25"/>
    </row>
    <row r="11" customFormat="false" ht="15" hidden="false" customHeight="true" outlineLevel="0" collapsed="false">
      <c r="A11" s="26"/>
      <c r="B11" s="27" t="s">
        <v>7</v>
      </c>
      <c r="C11" s="11"/>
      <c r="D11" s="11"/>
      <c r="E11" s="12" t="n">
        <f aca="false">IFERROR(E10+C11-D11,"-")</f>
        <v>7178.74</v>
      </c>
      <c r="F11" s="28"/>
    </row>
    <row r="12" customFormat="false" ht="15" hidden="false" customHeight="true" outlineLevel="0" collapsed="false">
      <c r="A12" s="29"/>
      <c r="B12" s="30" t="s">
        <v>8</v>
      </c>
      <c r="C12" s="8"/>
      <c r="D12" s="8"/>
      <c r="E12" s="9" t="n">
        <f aca="false">IFERROR(E11+C12-D12,"-")</f>
        <v>7178.74</v>
      </c>
      <c r="F12" s="25"/>
    </row>
    <row r="13" customFormat="false" ht="15" hidden="false" customHeight="true" outlineLevel="0" collapsed="false">
      <c r="A13" s="26"/>
      <c r="B13" s="27" t="s">
        <v>9</v>
      </c>
      <c r="C13" s="11"/>
      <c r="D13" s="11"/>
      <c r="E13" s="12" t="n">
        <f aca="false">IFERROR(E12+C13-D13,"-")</f>
        <v>7178.74</v>
      </c>
      <c r="F13" s="28"/>
    </row>
    <row r="14" customFormat="false" ht="15" hidden="false" customHeight="true" outlineLevel="0" collapsed="false">
      <c r="A14" s="29"/>
      <c r="B14" s="30" t="s">
        <v>10</v>
      </c>
      <c r="C14" s="8"/>
      <c r="D14" s="8"/>
      <c r="E14" s="9" t="n">
        <f aca="false">IFERROR(E13+C14-D14,"-")</f>
        <v>7178.74</v>
      </c>
      <c r="F14" s="25"/>
    </row>
    <row r="15" customFormat="false" ht="15" hidden="false" customHeight="true" outlineLevel="0" collapsed="false">
      <c r="A15" s="26"/>
      <c r="B15" s="27" t="s">
        <v>11</v>
      </c>
      <c r="C15" s="11"/>
      <c r="D15" s="11"/>
      <c r="E15" s="12" t="n">
        <f aca="false">IFERROR(E14+C15-D15,"-")</f>
        <v>7178.74</v>
      </c>
      <c r="F15" s="28"/>
    </row>
    <row r="16" customFormat="false" ht="15" hidden="false" customHeight="true" outlineLevel="0" collapsed="false">
      <c r="A16" s="29"/>
      <c r="B16" s="30" t="s">
        <v>12</v>
      </c>
      <c r="C16" s="8"/>
      <c r="D16" s="8"/>
      <c r="E16" s="9" t="n">
        <f aca="false">IFERROR(E15+C16-D16,"-")</f>
        <v>7178.74</v>
      </c>
      <c r="F16" s="25"/>
    </row>
    <row r="17" customFormat="false" ht="15" hidden="false" customHeight="true" outlineLevel="0" collapsed="false">
      <c r="A17" s="26"/>
      <c r="B17" s="27" t="s">
        <v>13</v>
      </c>
      <c r="C17" s="11"/>
      <c r="D17" s="11"/>
      <c r="E17" s="12" t="n">
        <f aca="false">IFERROR(E16+C17-D17,"-")</f>
        <v>7178.74</v>
      </c>
      <c r="F17" s="28"/>
    </row>
    <row r="18" customFormat="false" ht="15.75" hidden="false" customHeight="true" outlineLevel="0" collapsed="false">
      <c r="A18" s="31" t="s">
        <v>50</v>
      </c>
      <c r="B18" s="32"/>
      <c r="C18" s="16" t="n">
        <f aca="false">SUM(C6:C17)</f>
        <v>12000</v>
      </c>
      <c r="D18" s="16" t="n">
        <f aca="false">SUM(D6:D17)</f>
        <v>4821.26</v>
      </c>
      <c r="E18" s="16" t="n">
        <f aca="false">C18-D18</f>
        <v>7178.74</v>
      </c>
      <c r="F18" s="32"/>
    </row>
    <row r="19" customFormat="false" ht="7.5" hidden="false" customHeight="true" outlineLevel="0" collapsed="false"/>
    <row r="20" customFormat="false" ht="15" hidden="false" customHeight="true" outlineLevel="0" collapsed="false">
      <c r="A20" s="33" t="s">
        <v>51</v>
      </c>
      <c r="B20" s="24" t="s">
        <v>2</v>
      </c>
      <c r="C20" s="8"/>
      <c r="D20" s="8"/>
      <c r="E20" s="9" t="n">
        <f aca="false">IFERROR(C20-D20,"-")</f>
        <v>0</v>
      </c>
      <c r="F20" s="25"/>
    </row>
    <row r="21" customFormat="false" ht="15" hidden="false" customHeight="true" outlineLevel="0" collapsed="false">
      <c r="A21" s="26"/>
      <c r="B21" s="27" t="s">
        <v>3</v>
      </c>
      <c r="C21" s="11"/>
      <c r="D21" s="11"/>
      <c r="E21" s="12" t="n">
        <f aca="false">IFERROR(E20+C21-D21,"-")</f>
        <v>0</v>
      </c>
      <c r="F21" s="28"/>
    </row>
    <row r="22" customFormat="false" ht="15" hidden="false" customHeight="true" outlineLevel="0" collapsed="false">
      <c r="A22" s="29"/>
      <c r="B22" s="30" t="s">
        <v>4</v>
      </c>
      <c r="C22" s="8"/>
      <c r="D22" s="8"/>
      <c r="E22" s="9" t="n">
        <f aca="false">IFERROR(E21+C22-D22,"-")</f>
        <v>0</v>
      </c>
      <c r="F22" s="25"/>
    </row>
    <row r="23" customFormat="false" ht="15" hidden="false" customHeight="true" outlineLevel="0" collapsed="false">
      <c r="A23" s="26"/>
      <c r="B23" s="27" t="s">
        <v>5</v>
      </c>
      <c r="C23" s="11"/>
      <c r="D23" s="11"/>
      <c r="E23" s="12" t="n">
        <f aca="false">IFERROR(E22+C23-D23,"-")</f>
        <v>0</v>
      </c>
      <c r="F23" s="28"/>
    </row>
    <row r="24" customFormat="false" ht="15" hidden="false" customHeight="true" outlineLevel="0" collapsed="false">
      <c r="A24" s="29"/>
      <c r="B24" s="30" t="s">
        <v>6</v>
      </c>
      <c r="C24" s="8"/>
      <c r="D24" s="8"/>
      <c r="E24" s="9" t="n">
        <f aca="false">IFERROR(E23+C24-D24,"-")</f>
        <v>0</v>
      </c>
      <c r="F24" s="25"/>
    </row>
    <row r="25" customFormat="false" ht="15" hidden="false" customHeight="true" outlineLevel="0" collapsed="false">
      <c r="A25" s="26"/>
      <c r="B25" s="27" t="s">
        <v>7</v>
      </c>
      <c r="C25" s="11"/>
      <c r="D25" s="11"/>
      <c r="E25" s="12" t="n">
        <f aca="false">IFERROR(E24+C25-D25,"-")</f>
        <v>0</v>
      </c>
      <c r="F25" s="28"/>
    </row>
    <row r="26" customFormat="false" ht="15" hidden="false" customHeight="true" outlineLevel="0" collapsed="false">
      <c r="A26" s="29"/>
      <c r="B26" s="30" t="s">
        <v>8</v>
      </c>
      <c r="C26" s="8"/>
      <c r="D26" s="8"/>
      <c r="E26" s="9" t="n">
        <f aca="false">IFERROR(E25+C26-D26,"-")</f>
        <v>0</v>
      </c>
      <c r="F26" s="25"/>
    </row>
    <row r="27" customFormat="false" ht="15" hidden="false" customHeight="true" outlineLevel="0" collapsed="false">
      <c r="A27" s="26"/>
      <c r="B27" s="27" t="s">
        <v>9</v>
      </c>
      <c r="C27" s="11"/>
      <c r="D27" s="11"/>
      <c r="E27" s="12" t="n">
        <f aca="false">IFERROR(E26+C27-D27,"-")</f>
        <v>0</v>
      </c>
      <c r="F27" s="28"/>
    </row>
    <row r="28" customFormat="false" ht="15" hidden="false" customHeight="true" outlineLevel="0" collapsed="false">
      <c r="A28" s="29"/>
      <c r="B28" s="30" t="s">
        <v>10</v>
      </c>
      <c r="C28" s="8"/>
      <c r="D28" s="8"/>
      <c r="E28" s="9" t="n">
        <f aca="false">IFERROR(E27+C28-D28,"-")</f>
        <v>0</v>
      </c>
      <c r="F28" s="25"/>
    </row>
    <row r="29" customFormat="false" ht="15" hidden="false" customHeight="true" outlineLevel="0" collapsed="false">
      <c r="A29" s="26"/>
      <c r="B29" s="27" t="s">
        <v>11</v>
      </c>
      <c r="C29" s="11"/>
      <c r="D29" s="11"/>
      <c r="E29" s="12" t="n">
        <f aca="false">IFERROR(E28+C29-D29,"-")</f>
        <v>0</v>
      </c>
      <c r="F29" s="28"/>
    </row>
    <row r="30" customFormat="false" ht="15" hidden="false" customHeight="true" outlineLevel="0" collapsed="false">
      <c r="A30" s="29"/>
      <c r="B30" s="30" t="s">
        <v>12</v>
      </c>
      <c r="C30" s="8"/>
      <c r="D30" s="8"/>
      <c r="E30" s="9" t="n">
        <f aca="false">IFERROR(E29+C30-D30,"-")</f>
        <v>0</v>
      </c>
      <c r="F30" s="25"/>
    </row>
    <row r="31" customFormat="false" ht="15" hidden="false" customHeight="true" outlineLevel="0" collapsed="false">
      <c r="A31" s="26"/>
      <c r="B31" s="27" t="s">
        <v>13</v>
      </c>
      <c r="C31" s="11"/>
      <c r="D31" s="11"/>
      <c r="E31" s="12" t="n">
        <f aca="false">IFERROR(E30+C31-D31,"-")</f>
        <v>0</v>
      </c>
      <c r="F31" s="28"/>
    </row>
    <row r="32" customFormat="false" ht="15.75" hidden="false" customHeight="true" outlineLevel="0" collapsed="false">
      <c r="A32" s="31" t="s">
        <v>52</v>
      </c>
      <c r="B32" s="32"/>
      <c r="C32" s="16" t="n">
        <f aca="false">SUM(C20:C31)</f>
        <v>0</v>
      </c>
      <c r="D32" s="16" t="n">
        <f aca="false">SUM(D20:D31)</f>
        <v>0</v>
      </c>
      <c r="E32" s="16" t="n">
        <f aca="false">C32-D32</f>
        <v>0</v>
      </c>
      <c r="F32" s="32"/>
    </row>
    <row r="33" customFormat="false" ht="7.5" hidden="false" customHeight="true" outlineLevel="0" collapsed="false"/>
    <row r="34" customFormat="false" ht="15" hidden="false" customHeight="true" outlineLevel="0" collapsed="false">
      <c r="A34" s="33" t="s">
        <v>53</v>
      </c>
      <c r="B34" s="24" t="s">
        <v>2</v>
      </c>
      <c r="C34" s="8"/>
      <c r="D34" s="8"/>
      <c r="E34" s="9" t="n">
        <f aca="false">IFERROR(C34-D34,"-")</f>
        <v>0</v>
      </c>
      <c r="F34" s="25"/>
    </row>
    <row r="35" customFormat="false" ht="15" hidden="false" customHeight="true" outlineLevel="0" collapsed="false">
      <c r="A35" s="26"/>
      <c r="B35" s="27" t="s">
        <v>3</v>
      </c>
      <c r="C35" s="11"/>
      <c r="D35" s="11"/>
      <c r="E35" s="12" t="n">
        <f aca="false">IFERROR(E34+C35-D35,"-")</f>
        <v>0</v>
      </c>
      <c r="F35" s="28"/>
    </row>
    <row r="36" customFormat="false" ht="15" hidden="false" customHeight="true" outlineLevel="0" collapsed="false">
      <c r="A36" s="29"/>
      <c r="B36" s="30" t="s">
        <v>4</v>
      </c>
      <c r="C36" s="8"/>
      <c r="D36" s="8"/>
      <c r="E36" s="9" t="n">
        <f aca="false">IFERROR(E35+C36-D36,"-")</f>
        <v>0</v>
      </c>
      <c r="F36" s="25"/>
    </row>
    <row r="37" customFormat="false" ht="15" hidden="false" customHeight="true" outlineLevel="0" collapsed="false">
      <c r="A37" s="26"/>
      <c r="B37" s="27" t="s">
        <v>5</v>
      </c>
      <c r="C37" s="11"/>
      <c r="D37" s="11"/>
      <c r="E37" s="12" t="n">
        <f aca="false">IFERROR(E36+C37-D37,"-")</f>
        <v>0</v>
      </c>
      <c r="F37" s="28"/>
    </row>
    <row r="38" customFormat="false" ht="15" hidden="false" customHeight="true" outlineLevel="0" collapsed="false">
      <c r="A38" s="29"/>
      <c r="B38" s="30" t="s">
        <v>6</v>
      </c>
      <c r="C38" s="8"/>
      <c r="D38" s="8"/>
      <c r="E38" s="9" t="n">
        <f aca="false">IFERROR(E37+C38-D38,"-")</f>
        <v>0</v>
      </c>
      <c r="F38" s="25"/>
    </row>
    <row r="39" customFormat="false" ht="15" hidden="false" customHeight="true" outlineLevel="0" collapsed="false">
      <c r="A39" s="26"/>
      <c r="B39" s="27" t="s">
        <v>7</v>
      </c>
      <c r="C39" s="11"/>
      <c r="D39" s="11"/>
      <c r="E39" s="12" t="n">
        <f aca="false">IFERROR(E38+C39-D39,"-")</f>
        <v>0</v>
      </c>
      <c r="F39" s="28"/>
    </row>
    <row r="40" customFormat="false" ht="15" hidden="false" customHeight="true" outlineLevel="0" collapsed="false">
      <c r="A40" s="29"/>
      <c r="B40" s="30" t="s">
        <v>8</v>
      </c>
      <c r="C40" s="8"/>
      <c r="D40" s="8"/>
      <c r="E40" s="9" t="n">
        <f aca="false">IFERROR(E39+C40-D40,"-")</f>
        <v>0</v>
      </c>
      <c r="F40" s="25"/>
    </row>
    <row r="41" customFormat="false" ht="15" hidden="false" customHeight="true" outlineLevel="0" collapsed="false">
      <c r="A41" s="26"/>
      <c r="B41" s="27" t="s">
        <v>9</v>
      </c>
      <c r="C41" s="11"/>
      <c r="D41" s="11"/>
      <c r="E41" s="12" t="n">
        <f aca="false">IFERROR(E40+C41-D41,"-")</f>
        <v>0</v>
      </c>
      <c r="F41" s="28"/>
    </row>
    <row r="42" customFormat="false" ht="15" hidden="false" customHeight="true" outlineLevel="0" collapsed="false">
      <c r="A42" s="29"/>
      <c r="B42" s="30" t="s">
        <v>10</v>
      </c>
      <c r="C42" s="8"/>
      <c r="D42" s="8"/>
      <c r="E42" s="9" t="n">
        <f aca="false">IFERROR(E41+C42-D42,"-")</f>
        <v>0</v>
      </c>
      <c r="F42" s="25"/>
    </row>
    <row r="43" customFormat="false" ht="15" hidden="false" customHeight="true" outlineLevel="0" collapsed="false">
      <c r="A43" s="26"/>
      <c r="B43" s="27" t="s">
        <v>11</v>
      </c>
      <c r="C43" s="11"/>
      <c r="D43" s="11"/>
      <c r="E43" s="12" t="n">
        <f aca="false">IFERROR(E42+C43-D43,"-")</f>
        <v>0</v>
      </c>
      <c r="F43" s="28"/>
    </row>
    <row r="44" customFormat="false" ht="15" hidden="false" customHeight="true" outlineLevel="0" collapsed="false">
      <c r="A44" s="29"/>
      <c r="B44" s="30" t="s">
        <v>12</v>
      </c>
      <c r="C44" s="8"/>
      <c r="D44" s="8"/>
      <c r="E44" s="9" t="n">
        <f aca="false">IFERROR(E43+C44-D44,"-")</f>
        <v>0</v>
      </c>
      <c r="F44" s="25"/>
    </row>
    <row r="45" customFormat="false" ht="15" hidden="false" customHeight="true" outlineLevel="0" collapsed="false">
      <c r="A45" s="26"/>
      <c r="B45" s="27" t="s">
        <v>13</v>
      </c>
      <c r="C45" s="11"/>
      <c r="D45" s="11"/>
      <c r="E45" s="12" t="n">
        <f aca="false">IFERROR(E44+C45-D45,"-")</f>
        <v>0</v>
      </c>
      <c r="F45" s="28"/>
    </row>
    <row r="46" customFormat="false" ht="15.75" hidden="false" customHeight="true" outlineLevel="0" collapsed="false">
      <c r="A46" s="31" t="s">
        <v>54</v>
      </c>
      <c r="B46" s="32"/>
      <c r="C46" s="16" t="n">
        <f aca="false">SUM(C34:C45)</f>
        <v>0</v>
      </c>
      <c r="D46" s="16" t="n">
        <f aca="false">SUM(D34:D45)</f>
        <v>0</v>
      </c>
      <c r="E46" s="16" t="n">
        <f aca="false">C46-D46</f>
        <v>0</v>
      </c>
      <c r="F46" s="32"/>
    </row>
    <row r="47" customFormat="false" ht="7.5" hidden="false" customHeight="true" outlineLevel="0" collapsed="false"/>
    <row r="48" customFormat="false" ht="15" hidden="false" customHeight="true" outlineLevel="0" collapsed="false">
      <c r="A48" s="33" t="s">
        <v>55</v>
      </c>
      <c r="B48" s="24" t="s">
        <v>2</v>
      </c>
      <c r="C48" s="8"/>
      <c r="D48" s="8"/>
      <c r="E48" s="9" t="n">
        <f aca="false">IFERROR(C48-D48,"-")</f>
        <v>0</v>
      </c>
      <c r="F48" s="25"/>
    </row>
    <row r="49" customFormat="false" ht="15" hidden="false" customHeight="true" outlineLevel="0" collapsed="false">
      <c r="A49" s="26"/>
      <c r="B49" s="27" t="s">
        <v>3</v>
      </c>
      <c r="C49" s="11"/>
      <c r="D49" s="11"/>
      <c r="E49" s="12" t="n">
        <f aca="false">IFERROR(E48+C49-D49,"-")</f>
        <v>0</v>
      </c>
      <c r="F49" s="28"/>
    </row>
    <row r="50" customFormat="false" ht="15" hidden="false" customHeight="true" outlineLevel="0" collapsed="false">
      <c r="A50" s="29"/>
      <c r="B50" s="30" t="s">
        <v>4</v>
      </c>
      <c r="C50" s="8"/>
      <c r="D50" s="8"/>
      <c r="E50" s="9" t="n">
        <f aca="false">IFERROR(E49+C50-D50,"-")</f>
        <v>0</v>
      </c>
      <c r="F50" s="25"/>
    </row>
    <row r="51" customFormat="false" ht="15" hidden="false" customHeight="true" outlineLevel="0" collapsed="false">
      <c r="A51" s="26"/>
      <c r="B51" s="27" t="s">
        <v>5</v>
      </c>
      <c r="C51" s="11"/>
      <c r="D51" s="11"/>
      <c r="E51" s="12" t="n">
        <f aca="false">IFERROR(E50+C51-D51,"-")</f>
        <v>0</v>
      </c>
      <c r="F51" s="28"/>
    </row>
    <row r="52" customFormat="false" ht="15" hidden="false" customHeight="true" outlineLevel="0" collapsed="false">
      <c r="A52" s="29"/>
      <c r="B52" s="30" t="s">
        <v>6</v>
      </c>
      <c r="C52" s="8"/>
      <c r="D52" s="8"/>
      <c r="E52" s="9" t="n">
        <f aca="false">IFERROR(E51+C52-D52,"-")</f>
        <v>0</v>
      </c>
      <c r="F52" s="25"/>
    </row>
    <row r="53" customFormat="false" ht="15" hidden="false" customHeight="true" outlineLevel="0" collapsed="false">
      <c r="A53" s="26"/>
      <c r="B53" s="27" t="s">
        <v>7</v>
      </c>
      <c r="C53" s="11"/>
      <c r="D53" s="11"/>
      <c r="E53" s="12" t="n">
        <f aca="false">IFERROR(E52+C53-D53,"-")</f>
        <v>0</v>
      </c>
      <c r="F53" s="28"/>
    </row>
    <row r="54" customFormat="false" ht="15" hidden="false" customHeight="true" outlineLevel="0" collapsed="false">
      <c r="A54" s="29"/>
      <c r="B54" s="30" t="s">
        <v>8</v>
      </c>
      <c r="C54" s="8"/>
      <c r="D54" s="8"/>
      <c r="E54" s="9" t="n">
        <f aca="false">IFERROR(E53+C54-D54,"-")</f>
        <v>0</v>
      </c>
      <c r="F54" s="25"/>
    </row>
    <row r="55" customFormat="false" ht="15" hidden="false" customHeight="true" outlineLevel="0" collapsed="false">
      <c r="A55" s="26"/>
      <c r="B55" s="27" t="s">
        <v>9</v>
      </c>
      <c r="C55" s="11"/>
      <c r="D55" s="11"/>
      <c r="E55" s="12" t="n">
        <f aca="false">IFERROR(E54+C55-D55,"-")</f>
        <v>0</v>
      </c>
      <c r="F55" s="28"/>
    </row>
    <row r="56" customFormat="false" ht="15" hidden="false" customHeight="true" outlineLevel="0" collapsed="false">
      <c r="A56" s="29"/>
      <c r="B56" s="30" t="s">
        <v>10</v>
      </c>
      <c r="C56" s="8"/>
      <c r="D56" s="8"/>
      <c r="E56" s="9" t="n">
        <f aca="false">IFERROR(E55+C56-D56,"-")</f>
        <v>0</v>
      </c>
      <c r="F56" s="25"/>
    </row>
    <row r="57" customFormat="false" ht="15" hidden="false" customHeight="true" outlineLevel="0" collapsed="false">
      <c r="A57" s="26"/>
      <c r="B57" s="27" t="s">
        <v>11</v>
      </c>
      <c r="C57" s="11"/>
      <c r="D57" s="11"/>
      <c r="E57" s="12" t="n">
        <f aca="false">IFERROR(E56+C57-D57,"-")</f>
        <v>0</v>
      </c>
      <c r="F57" s="28"/>
    </row>
    <row r="58" customFormat="false" ht="15" hidden="false" customHeight="true" outlineLevel="0" collapsed="false">
      <c r="A58" s="29"/>
      <c r="B58" s="30" t="s">
        <v>12</v>
      </c>
      <c r="C58" s="8"/>
      <c r="D58" s="8"/>
      <c r="E58" s="9" t="n">
        <f aca="false">IFERROR(E57+C58-D58,"-")</f>
        <v>0</v>
      </c>
      <c r="F58" s="25"/>
    </row>
    <row r="59" customFormat="false" ht="15" hidden="false" customHeight="true" outlineLevel="0" collapsed="false">
      <c r="A59" s="26"/>
      <c r="B59" s="27" t="s">
        <v>13</v>
      </c>
      <c r="C59" s="11"/>
      <c r="D59" s="11"/>
      <c r="E59" s="12" t="n">
        <f aca="false">IFERROR(E58+C59-D59,"-")</f>
        <v>0</v>
      </c>
      <c r="F59" s="28"/>
    </row>
    <row r="60" customFormat="false" ht="15.75" hidden="false" customHeight="true" outlineLevel="0" collapsed="false">
      <c r="A60" s="31" t="s">
        <v>56</v>
      </c>
      <c r="B60" s="32"/>
      <c r="C60" s="16" t="n">
        <f aca="false">SUM(C48:C59)</f>
        <v>0</v>
      </c>
      <c r="D60" s="16" t="n">
        <f aca="false">SUM(D48:D59)</f>
        <v>0</v>
      </c>
      <c r="E60" s="16" t="n">
        <f aca="false">C60-D60</f>
        <v>0</v>
      </c>
      <c r="F60" s="32"/>
    </row>
    <row r="61" customFormat="false" ht="7.5" hidden="false" customHeight="true" outlineLevel="0" collapsed="false"/>
    <row r="62" customFormat="false" ht="15" hidden="false" customHeight="true" outlineLevel="0" collapsed="false">
      <c r="A62" s="33" t="s">
        <v>57</v>
      </c>
      <c r="B62" s="24" t="s">
        <v>2</v>
      </c>
      <c r="C62" s="8"/>
      <c r="D62" s="8"/>
      <c r="E62" s="9" t="n">
        <f aca="false">IFERROR(C62-D62,"-")</f>
        <v>0</v>
      </c>
      <c r="F62" s="25"/>
    </row>
    <row r="63" customFormat="false" ht="15" hidden="false" customHeight="true" outlineLevel="0" collapsed="false">
      <c r="A63" s="26"/>
      <c r="B63" s="27" t="s">
        <v>3</v>
      </c>
      <c r="C63" s="11"/>
      <c r="D63" s="11"/>
      <c r="E63" s="12" t="n">
        <f aca="false">IFERROR(E62+C63-D63,"-")</f>
        <v>0</v>
      </c>
      <c r="F63" s="28"/>
    </row>
    <row r="64" customFormat="false" ht="15" hidden="false" customHeight="true" outlineLevel="0" collapsed="false">
      <c r="A64" s="29"/>
      <c r="B64" s="30" t="s">
        <v>4</v>
      </c>
      <c r="C64" s="8"/>
      <c r="D64" s="8"/>
      <c r="E64" s="9" t="n">
        <f aca="false">IFERROR(E63+C64-D64,"-")</f>
        <v>0</v>
      </c>
      <c r="F64" s="25"/>
    </row>
    <row r="65" customFormat="false" ht="15" hidden="false" customHeight="true" outlineLevel="0" collapsed="false">
      <c r="A65" s="26"/>
      <c r="B65" s="27" t="s">
        <v>5</v>
      </c>
      <c r="C65" s="11"/>
      <c r="D65" s="11"/>
      <c r="E65" s="12" t="n">
        <f aca="false">IFERROR(E64+C65-D65,"-")</f>
        <v>0</v>
      </c>
      <c r="F65" s="28"/>
    </row>
    <row r="66" customFormat="false" ht="15" hidden="false" customHeight="true" outlineLevel="0" collapsed="false">
      <c r="A66" s="29"/>
      <c r="B66" s="30" t="s">
        <v>6</v>
      </c>
      <c r="C66" s="8"/>
      <c r="D66" s="8"/>
      <c r="E66" s="9" t="n">
        <f aca="false">IFERROR(E65+C66-D66,"-")</f>
        <v>0</v>
      </c>
      <c r="F66" s="25"/>
    </row>
    <row r="67" customFormat="false" ht="15" hidden="false" customHeight="true" outlineLevel="0" collapsed="false">
      <c r="A67" s="26"/>
      <c r="B67" s="27" t="s">
        <v>7</v>
      </c>
      <c r="C67" s="11"/>
      <c r="D67" s="11"/>
      <c r="E67" s="12" t="n">
        <f aca="false">IFERROR(E66+C67-D67,"-")</f>
        <v>0</v>
      </c>
      <c r="F67" s="28"/>
    </row>
    <row r="68" customFormat="false" ht="15" hidden="false" customHeight="true" outlineLevel="0" collapsed="false">
      <c r="A68" s="29"/>
      <c r="B68" s="30" t="s">
        <v>8</v>
      </c>
      <c r="C68" s="8"/>
      <c r="D68" s="8"/>
      <c r="E68" s="9" t="n">
        <f aca="false">IFERROR(E67+C68-D68,"-")</f>
        <v>0</v>
      </c>
      <c r="F68" s="25"/>
    </row>
    <row r="69" customFormat="false" ht="15" hidden="false" customHeight="true" outlineLevel="0" collapsed="false">
      <c r="A69" s="26"/>
      <c r="B69" s="27" t="s">
        <v>9</v>
      </c>
      <c r="C69" s="11"/>
      <c r="D69" s="11"/>
      <c r="E69" s="12" t="n">
        <f aca="false">IFERROR(E68+C69-D69,"-")</f>
        <v>0</v>
      </c>
      <c r="F69" s="28"/>
    </row>
    <row r="70" customFormat="false" ht="15" hidden="false" customHeight="true" outlineLevel="0" collapsed="false">
      <c r="A70" s="29"/>
      <c r="B70" s="30" t="s">
        <v>10</v>
      </c>
      <c r="C70" s="8"/>
      <c r="D70" s="8"/>
      <c r="E70" s="9" t="n">
        <f aca="false">IFERROR(E69+C70-D70,"-")</f>
        <v>0</v>
      </c>
      <c r="F70" s="25"/>
    </row>
    <row r="71" customFormat="false" ht="15" hidden="false" customHeight="true" outlineLevel="0" collapsed="false">
      <c r="A71" s="26"/>
      <c r="B71" s="27" t="s">
        <v>11</v>
      </c>
      <c r="C71" s="11"/>
      <c r="D71" s="11"/>
      <c r="E71" s="12" t="n">
        <f aca="false">IFERROR(E70+C71-D71,"-")</f>
        <v>0</v>
      </c>
      <c r="F71" s="28"/>
    </row>
    <row r="72" customFormat="false" ht="15" hidden="false" customHeight="true" outlineLevel="0" collapsed="false">
      <c r="A72" s="29"/>
      <c r="B72" s="30" t="s">
        <v>12</v>
      </c>
      <c r="C72" s="8"/>
      <c r="D72" s="8"/>
      <c r="E72" s="9" t="n">
        <f aca="false">IFERROR(E71+C72-D72,"-")</f>
        <v>0</v>
      </c>
      <c r="F72" s="25"/>
    </row>
    <row r="73" customFormat="false" ht="15" hidden="false" customHeight="true" outlineLevel="0" collapsed="false">
      <c r="A73" s="26"/>
      <c r="B73" s="27" t="s">
        <v>13</v>
      </c>
      <c r="C73" s="11"/>
      <c r="D73" s="11"/>
      <c r="E73" s="12" t="n">
        <f aca="false">IFERROR(E72+C73-D73,"-")</f>
        <v>0</v>
      </c>
      <c r="F73" s="28"/>
    </row>
    <row r="74" customFormat="false" ht="15.75" hidden="false" customHeight="true" outlineLevel="0" collapsed="false">
      <c r="A74" s="31" t="s">
        <v>58</v>
      </c>
      <c r="B74" s="32"/>
      <c r="C74" s="16" t="n">
        <f aca="false">SUM(C62:C73)</f>
        <v>0</v>
      </c>
      <c r="D74" s="16" t="n">
        <f aca="false">SUM(D62:D73)</f>
        <v>0</v>
      </c>
      <c r="E74" s="16" t="n">
        <f aca="false">C74-D74</f>
        <v>0</v>
      </c>
      <c r="F74" s="32"/>
    </row>
    <row r="75" customFormat="false" ht="7.5" hidden="false" customHeight="true" outlineLevel="0" collapsed="false"/>
    <row r="76" customFormat="false" ht="18" hidden="false" customHeight="true" outlineLevel="0" collapsed="false">
      <c r="A76" s="34" t="s">
        <v>59</v>
      </c>
      <c r="B76" s="35"/>
      <c r="C76" s="22" t="n">
        <f aca="false">C18+C31+C44+C57+C70</f>
        <v>12000</v>
      </c>
      <c r="D76" s="22" t="n">
        <f aca="false">D18+D31+D44+D57+D70</f>
        <v>4821.26</v>
      </c>
      <c r="E76" s="22" t="n">
        <f aca="false">E18+E31+E44+E57+E70</f>
        <v>7178.74</v>
      </c>
      <c r="F76" s="35"/>
    </row>
  </sheetData>
  <mergeCells count="2">
    <mergeCell ref="A1:F1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2026-04-01T01:19:29Z</dcterms:created>
  <dc:creator>openpyxl</dc:creator>
  <dc:description/>
  <dc:language>en-US</dc:language>
  <cp:lastModifiedBy/>
  <dcterms:modified xsi:type="dcterms:W3CDTF">2026-04-01T01:53:41Z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