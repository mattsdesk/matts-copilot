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ling Universe" sheetId="1" state="visible" r:id="rId3"/>
    <sheet name="Reconciliation" sheetId="2" state="visible" r:id="rId4"/>
    <sheet name="By Coun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<sst xmlns="http://schemas.openxmlformats.org/spreadsheetml/2006/main" count="206" uniqueCount="141">
  <si>
    <t xml:space="preserve">Renna Media — Per-Paper Mailing Universe (Census 2023 ACS + 2022 CBP)</t>
  </si>
  <si>
    <t xml:space="preserve">Sources: Census ACS 5-Year 2023 (housing units, occupied units, population). Census County Business Patterns 2022 (business establishments, by ZIP). Pulled 2026-04-28.</t>
  </si>
  <si>
    <t xml:space="preserve">Note: business establishments are reported by ZIP. Where two papers share a ZIP (Morristown + Morris Twp on 07960), establishment counts are duplicated. Census housing units understate USPS deliverable address counts by ~3-5% (apartments split into separate units, accessory dwellings, etc.).</t>
  </si>
  <si>
    <t xml:space="preserve">Paper</t>
  </si>
  <si>
    <t xml:space="preserve">Municipality</t>
  </si>
  <si>
    <t xml:space="preserve">Type</t>
  </si>
  <si>
    <t xml:space="preserve">County</t>
  </si>
  <si>
    <t xml:space="preserve">ZIPs</t>
  </si>
  <si>
    <t xml:space="preserve">Population</t>
  </si>
  <si>
    <t xml:space="preserve">Housing Units</t>
  </si>
  <si>
    <t xml:space="preserve">Occupied (Households)</t>
  </si>
  <si>
    <t xml:space="preserve">Vacant</t>
  </si>
  <si>
    <t xml:space="preserve">Business Estabs</t>
  </si>
  <si>
    <t xml:space="preserve">Estimated Mailing Universe (HU + Est)</t>
  </si>
  <si>
    <t xml:space="preserve">vs CIM Implied (~206K / 30 papers)</t>
  </si>
  <si>
    <t xml:space="preserve">Notes</t>
  </si>
  <si>
    <t xml:space="preserve">Berkeley Heights Community News</t>
  </si>
  <si>
    <t xml:space="preserve">Berkeley Heights township</t>
  </si>
  <si>
    <t xml:space="preserve">township</t>
  </si>
  <si>
    <t xml:space="preserve">Union</t>
  </si>
  <si>
    <t xml:space="preserve">07922</t>
  </si>
  <si>
    <t xml:space="preserve">Clark Monthly</t>
  </si>
  <si>
    <t xml:space="preserve">Clark Township</t>
  </si>
  <si>
    <t xml:space="preserve">07066</t>
  </si>
  <si>
    <t xml:space="preserve">Cranford Monthly</t>
  </si>
  <si>
    <t xml:space="preserve">Cranford township</t>
  </si>
  <si>
    <t xml:space="preserve">07016</t>
  </si>
  <si>
    <t xml:space="preserve">East Hanover View</t>
  </si>
  <si>
    <t xml:space="preserve">East Hanover township</t>
  </si>
  <si>
    <t xml:space="preserve">Morris</t>
  </si>
  <si>
    <t xml:space="preserve">07936</t>
  </si>
  <si>
    <t xml:space="preserve">Fanwood Post</t>
  </si>
  <si>
    <t xml:space="preserve">Fanwood borough</t>
  </si>
  <si>
    <t xml:space="preserve">borough</t>
  </si>
  <si>
    <t xml:space="preserve">07023</t>
  </si>
  <si>
    <t xml:space="preserve">Florham Park Press</t>
  </si>
  <si>
    <t xml:space="preserve">Florham Park borough</t>
  </si>
  <si>
    <t xml:space="preserve">07932</t>
  </si>
  <si>
    <t xml:space="preserve">Garwood Times</t>
  </si>
  <si>
    <t xml:space="preserve">Garwood borough</t>
  </si>
  <si>
    <t xml:space="preserve">07027</t>
  </si>
  <si>
    <t xml:space="preserve">Green Brook Gazette</t>
  </si>
  <si>
    <t xml:space="preserve">Green Brook township</t>
  </si>
  <si>
    <t xml:space="preserve">Somerset</t>
  </si>
  <si>
    <t xml:space="preserve">08812</t>
  </si>
  <si>
    <t xml:space="preserve">Hanover Township Press</t>
  </si>
  <si>
    <t xml:space="preserve">Hanover township</t>
  </si>
  <si>
    <t xml:space="preserve">07927;07981</t>
  </si>
  <si>
    <t xml:space="preserve">Whippany + Cedar Knolls</t>
  </si>
  <si>
    <t xml:space="preserve">Kenilworth Business Life</t>
  </si>
  <si>
    <t xml:space="preserve">Kenilworth borough</t>
  </si>
  <si>
    <t xml:space="preserve">07033</t>
  </si>
  <si>
    <t xml:space="preserve">Life in Linden</t>
  </si>
  <si>
    <t xml:space="preserve">Linden city</t>
  </si>
  <si>
    <t xml:space="preserve">city</t>
  </si>
  <si>
    <t xml:space="preserve">07036</t>
  </si>
  <si>
    <t xml:space="preserve">Life in Roseland</t>
  </si>
  <si>
    <t xml:space="preserve">Roseland borough</t>
  </si>
  <si>
    <t xml:space="preserve">Essex</t>
  </si>
  <si>
    <t xml:space="preserve">07068</t>
  </si>
  <si>
    <t xml:space="preserve">Livingston Monthly</t>
  </si>
  <si>
    <t xml:space="preserve">Livingston township</t>
  </si>
  <si>
    <t xml:space="preserve">07039</t>
  </si>
  <si>
    <t xml:space="preserve">Long Hill Leader</t>
  </si>
  <si>
    <t xml:space="preserve">Long Hill township</t>
  </si>
  <si>
    <t xml:space="preserve">07946;07933;07980</t>
  </si>
  <si>
    <t xml:space="preserve">Stirling/Gillette/Millington</t>
  </si>
  <si>
    <t xml:space="preserve">Madison Monthly</t>
  </si>
  <si>
    <t xml:space="preserve">Madison borough</t>
  </si>
  <si>
    <t xml:space="preserve">07940</t>
  </si>
  <si>
    <t xml:space="preserve">Millburn Short Hills Monthly</t>
  </si>
  <si>
    <t xml:space="preserve">Millburn township</t>
  </si>
  <si>
    <t xml:space="preserve">07041;07078</t>
  </si>
  <si>
    <t xml:space="preserve">Morris Township Times</t>
  </si>
  <si>
    <t xml:space="preserve">Morris township</t>
  </si>
  <si>
    <t xml:space="preserve">07960</t>
  </si>
  <si>
    <t xml:space="preserve">Morristown Monthly</t>
  </si>
  <si>
    <t xml:space="preserve">Morristown town</t>
  </si>
  <si>
    <t xml:space="preserve">town</t>
  </si>
  <si>
    <t xml:space="preserve">Mountainside View</t>
  </si>
  <si>
    <t xml:space="preserve">Mountainside borough</t>
  </si>
  <si>
    <t xml:space="preserve">07092</t>
  </si>
  <si>
    <t xml:space="preserve">New Providence News</t>
  </si>
  <si>
    <t xml:space="preserve">New Providence borough</t>
  </si>
  <si>
    <t xml:space="preserve">07974</t>
  </si>
  <si>
    <t xml:space="preserve">Our Town Rahway</t>
  </si>
  <si>
    <t xml:space="preserve">Rahway city</t>
  </si>
  <si>
    <t xml:space="preserve">07065</t>
  </si>
  <si>
    <t xml:space="preserve">Roselle Park Monthly</t>
  </si>
  <si>
    <t xml:space="preserve">Roselle Park borough</t>
  </si>
  <si>
    <t xml:space="preserve">07204</t>
  </si>
  <si>
    <t xml:space="preserve">Scotch Plains Monthly</t>
  </si>
  <si>
    <t xml:space="preserve">Scotch Plains township</t>
  </si>
  <si>
    <t xml:space="preserve">07076</t>
  </si>
  <si>
    <t xml:space="preserve">Spirit of Union</t>
  </si>
  <si>
    <t xml:space="preserve">Union township</t>
  </si>
  <si>
    <t xml:space="preserve">07083</t>
  </si>
  <si>
    <t xml:space="preserve">Summit Times</t>
  </si>
  <si>
    <t xml:space="preserve">Summit city</t>
  </si>
  <si>
    <t xml:space="preserve">07901</t>
  </si>
  <si>
    <t xml:space="preserve">The Chathams (Borough)</t>
  </si>
  <si>
    <t xml:space="preserve">Chatham borough</t>
  </si>
  <si>
    <t xml:space="preserve">07928</t>
  </si>
  <si>
    <t xml:space="preserve">Two municipalities — see chatham-twp row</t>
  </si>
  <si>
    <t xml:space="preserve">The Chathams (Township)</t>
  </si>
  <si>
    <t xml:space="preserve">Chatham township</t>
  </si>
  <si>
    <t xml:space="preserve">Warren Monthly</t>
  </si>
  <si>
    <t xml:space="preserve">Warren township</t>
  </si>
  <si>
    <t xml:space="preserve">07059</t>
  </si>
  <si>
    <t xml:space="preserve">Watchung Post</t>
  </si>
  <si>
    <t xml:space="preserve">Watchung borough</t>
  </si>
  <si>
    <t xml:space="preserve">07069</t>
  </si>
  <si>
    <t xml:space="preserve">Westfield Monthly</t>
  </si>
  <si>
    <t xml:space="preserve">Westfield town</t>
  </si>
  <si>
    <t xml:space="preserve">07090</t>
  </si>
  <si>
    <t xml:space="preserve">Elmora Hills</t>
  </si>
  <si>
    <t xml:space="preserve">Elizabeth city</t>
  </si>
  <si>
    <t xml:space="preserve">07208</t>
  </si>
  <si>
    <t xml:space="preserve">Elmora is a neighborhood of Elizabeth — full city housing units overstate; partial coverage only</t>
  </si>
  <si>
    <t xml:space="preserve">Total — all 30 papers (incl. Elmora full-city overstatement)</t>
  </si>
  <si>
    <t xml:space="preserve">Total — excluding Elmora (Elizabeth full-city housing overstates Renna's actual Elmora-only coverage)</t>
  </si>
  <si>
    <t xml:space="preserve">CIM claim</t>
  </si>
  <si>
    <t xml:space="preserve">Census-derived universe minus CIM claim (excl. Elmora)</t>
  </si>
  <si>
    <t xml:space="preserve">How does the Census-derived universe compare to the CIM's 206,000 monthly mailings claim?</t>
  </si>
  <si>
    <t xml:space="preserve">CIM claim — total monthly mailings</t>
  </si>
  <si>
    <t xml:space="preserve">Census 2023 housing units across 30 covered municipalities (incl. all of Elizabeth)</t>
  </si>
  <si>
    <t xml:space="preserve">Census 2022 business establishments across covered ZIPs (some ZIPs shared by 2 papers)</t>
  </si>
  <si>
    <t xml:space="preserve">Combined homes + businesses (raw)</t>
  </si>
  <si>
    <t xml:space="preserve">Adjustment: Elmora is a neighborhood of Elizabeth, not the whole city</t>
  </si>
  <si>
    <t xml:space="preserve">  Elizabeth housing units (full city) included above</t>
  </si>
  <si>
    <t xml:space="preserve">  Less: Elizabeth full-city overstatement</t>
  </si>
  <si>
    <t xml:space="preserve">  Add back: Elmora-only realistic estimate (~10K addresses, ~20% of Elizabeth)</t>
  </si>
  <si>
    <t xml:space="preserve">Adjusted universe — homes + businesses, Elmora correction applied</t>
  </si>
  <si>
    <t xml:space="preserve">Difference (Census-derived universe vs CIM claim)</t>
  </si>
  <si>
    <t xml:space="preserve">Bottom line: the 206,000 monthly mailings claim is consistent with Census data once you correct for Elmora not being a full-Elizabeth circulation.</t>
  </si>
  <si>
    <t xml:space="preserve">Verification still needed: ask broker for the actual USPS EDDM postage statements (2024 + 2025) to confirm route counts paper-by-paper.</t>
  </si>
  <si>
    <t xml:space="preserve">Coverage by County</t>
  </si>
  <si>
    <t xml:space="preserve"># Papers</t>
  </si>
  <si>
    <t xml:space="preserve">Occupied</t>
  </si>
  <si>
    <t xml:space="preserve">Mailing Universe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</si>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</sst>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;\(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  <fill>
      <patternFill patternType="solid">
        <fgColor rgb="FFD9E1F2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6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</row>
    <row r="6" customFormat="false" ht="15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5" t="n">
        <v>13121</v>
      </c>
      <c r="G6" s="5" t="n">
        <v>4843</v>
      </c>
      <c r="H6" s="5" t="n">
        <v>4660</v>
      </c>
      <c r="I6" s="5" t="n">
        <v>183</v>
      </c>
      <c r="J6" s="5" t="n">
        <v>386</v>
      </c>
      <c r="K6" s="5" t="n">
        <f aca="false">G6+J6</f>
        <v>5229</v>
      </c>
      <c r="L6" s="6" t="n">
        <f aca="false">K6-6867</f>
        <v>-1638</v>
      </c>
      <c r="M6" s="7"/>
    </row>
    <row r="7" customFormat="false" ht="15" hidden="false" customHeight="false" outlineLevel="0" collapsed="false">
      <c r="A7" s="4" t="s">
        <v>21</v>
      </c>
      <c r="B7" s="4" t="s">
        <v>22</v>
      </c>
      <c r="C7" s="4" t="s">
        <v>18</v>
      </c>
      <c r="D7" s="4" t="s">
        <v>19</v>
      </c>
      <c r="E7" s="4" t="s">
        <v>23</v>
      </c>
      <c r="F7" s="5" t="n">
        <v>15410</v>
      </c>
      <c r="G7" s="5" t="n">
        <v>6084</v>
      </c>
      <c r="H7" s="5" t="n">
        <v>5949</v>
      </c>
      <c r="I7" s="5" t="n">
        <v>135</v>
      </c>
      <c r="J7" s="5" t="n">
        <v>487</v>
      </c>
      <c r="K7" s="5" t="n">
        <f aca="false">G7+J7</f>
        <v>6571</v>
      </c>
      <c r="L7" s="6" t="n">
        <f aca="false">K7-6867</f>
        <v>-296</v>
      </c>
      <c r="M7" s="7"/>
    </row>
    <row r="8" customFormat="false" ht="15" hidden="false" customHeight="false" outlineLevel="0" collapsed="false">
      <c r="A8" s="4" t="s">
        <v>24</v>
      </c>
      <c r="B8" s="4" t="s">
        <v>25</v>
      </c>
      <c r="C8" s="4" t="s">
        <v>18</v>
      </c>
      <c r="D8" s="4" t="s">
        <v>19</v>
      </c>
      <c r="E8" s="4" t="s">
        <v>26</v>
      </c>
      <c r="F8" s="5" t="n">
        <v>23841</v>
      </c>
      <c r="G8" s="5" t="n">
        <v>9619</v>
      </c>
      <c r="H8" s="5" t="n">
        <v>9410</v>
      </c>
      <c r="I8" s="5" t="n">
        <v>209</v>
      </c>
      <c r="J8" s="5" t="n">
        <v>758</v>
      </c>
      <c r="K8" s="5" t="n">
        <f aca="false">G8+J8</f>
        <v>10377</v>
      </c>
      <c r="L8" s="6" t="n">
        <f aca="false">K8-6867</f>
        <v>3510</v>
      </c>
      <c r="M8" s="7"/>
    </row>
    <row r="9" customFormat="false" ht="15" hidden="false" customHeight="false" outlineLevel="0" collapsed="false">
      <c r="A9" s="4" t="s">
        <v>27</v>
      </c>
      <c r="B9" s="4" t="s">
        <v>28</v>
      </c>
      <c r="C9" s="4" t="s">
        <v>18</v>
      </c>
      <c r="D9" s="4" t="s">
        <v>29</v>
      </c>
      <c r="E9" s="4" t="s">
        <v>30</v>
      </c>
      <c r="F9" s="5" t="n">
        <v>11106</v>
      </c>
      <c r="G9" s="5" t="n">
        <v>4162</v>
      </c>
      <c r="H9" s="5" t="n">
        <v>4045</v>
      </c>
      <c r="I9" s="5" t="n">
        <v>117</v>
      </c>
      <c r="J9" s="5" t="n">
        <v>667</v>
      </c>
      <c r="K9" s="5" t="n">
        <f aca="false">G9+J9</f>
        <v>4829</v>
      </c>
      <c r="L9" s="6" t="n">
        <f aca="false">K9-6867</f>
        <v>-2038</v>
      </c>
      <c r="M9" s="7"/>
    </row>
    <row r="10" customFormat="false" ht="15" hidden="false" customHeight="false" outlineLevel="0" collapsed="false">
      <c r="A10" s="4" t="s">
        <v>31</v>
      </c>
      <c r="B10" s="4" t="s">
        <v>32</v>
      </c>
      <c r="C10" s="4" t="s">
        <v>33</v>
      </c>
      <c r="D10" s="4" t="s">
        <v>19</v>
      </c>
      <c r="E10" s="4" t="s">
        <v>34</v>
      </c>
      <c r="F10" s="5" t="n">
        <v>7714</v>
      </c>
      <c r="G10" s="5" t="n">
        <v>2783</v>
      </c>
      <c r="H10" s="5" t="n">
        <v>2776</v>
      </c>
      <c r="I10" s="5" t="n">
        <v>7</v>
      </c>
      <c r="J10" s="5" t="n">
        <v>182</v>
      </c>
      <c r="K10" s="5" t="n">
        <f aca="false">G10+J10</f>
        <v>2965</v>
      </c>
      <c r="L10" s="6" t="n">
        <f aca="false">K10-6867</f>
        <v>-3902</v>
      </c>
      <c r="M10" s="7"/>
    </row>
    <row r="11" customFormat="false" ht="15" hidden="false" customHeight="false" outlineLevel="0" collapsed="false">
      <c r="A11" s="4" t="s">
        <v>35</v>
      </c>
      <c r="B11" s="4" t="s">
        <v>36</v>
      </c>
      <c r="C11" s="4" t="s">
        <v>33</v>
      </c>
      <c r="D11" s="4" t="s">
        <v>29</v>
      </c>
      <c r="E11" s="4" t="s">
        <v>37</v>
      </c>
      <c r="F11" s="5" t="n">
        <v>13134</v>
      </c>
      <c r="G11" s="5" t="n">
        <v>4914</v>
      </c>
      <c r="H11" s="5" t="n">
        <v>4587</v>
      </c>
      <c r="I11" s="5" t="n">
        <v>327</v>
      </c>
      <c r="J11" s="5" t="n">
        <v>683</v>
      </c>
      <c r="K11" s="5" t="n">
        <f aca="false">G11+J11</f>
        <v>5597</v>
      </c>
      <c r="L11" s="6" t="n">
        <f aca="false">K11-6867</f>
        <v>-1270</v>
      </c>
      <c r="M11" s="7"/>
    </row>
    <row r="12" customFormat="false" ht="15" hidden="false" customHeight="false" outlineLevel="0" collapsed="false">
      <c r="A12" s="4" t="s">
        <v>38</v>
      </c>
      <c r="B12" s="4" t="s">
        <v>39</v>
      </c>
      <c r="C12" s="4" t="s">
        <v>33</v>
      </c>
      <c r="D12" s="4" t="s">
        <v>19</v>
      </c>
      <c r="E12" s="4" t="s">
        <v>40</v>
      </c>
      <c r="F12" s="5" t="n">
        <v>4688</v>
      </c>
      <c r="G12" s="5" t="n">
        <v>2093</v>
      </c>
      <c r="H12" s="5" t="n">
        <v>2054</v>
      </c>
      <c r="I12" s="5" t="n">
        <v>39</v>
      </c>
      <c r="J12" s="5" t="n">
        <v>164</v>
      </c>
      <c r="K12" s="5" t="n">
        <f aca="false">G12+J12</f>
        <v>2257</v>
      </c>
      <c r="L12" s="6" t="n">
        <f aca="false">K12-6867</f>
        <v>-4610</v>
      </c>
      <c r="M12" s="7"/>
    </row>
    <row r="13" customFormat="false" ht="15" hidden="false" customHeight="false" outlineLevel="0" collapsed="false">
      <c r="A13" s="4" t="s">
        <v>41</v>
      </c>
      <c r="B13" s="4" t="s">
        <v>42</v>
      </c>
      <c r="C13" s="4" t="s">
        <v>18</v>
      </c>
      <c r="D13" s="4" t="s">
        <v>43</v>
      </c>
      <c r="E13" s="4" t="s">
        <v>44</v>
      </c>
      <c r="F13" s="5" t="n">
        <v>6982</v>
      </c>
      <c r="G13" s="5" t="n">
        <v>2381</v>
      </c>
      <c r="H13" s="5" t="n">
        <v>2272</v>
      </c>
      <c r="I13" s="5" t="n">
        <v>109</v>
      </c>
      <c r="J13" s="5" t="n">
        <v>471</v>
      </c>
      <c r="K13" s="5" t="n">
        <f aca="false">G13+J13</f>
        <v>2852</v>
      </c>
      <c r="L13" s="6" t="n">
        <f aca="false">K13-6867</f>
        <v>-4015</v>
      </c>
      <c r="M13" s="7"/>
    </row>
    <row r="14" customFormat="false" ht="15" hidden="false" customHeight="false" outlineLevel="0" collapsed="false">
      <c r="A14" s="4" t="s">
        <v>45</v>
      </c>
      <c r="B14" s="4" t="s">
        <v>46</v>
      </c>
      <c r="C14" s="4" t="s">
        <v>18</v>
      </c>
      <c r="D14" s="4" t="s">
        <v>29</v>
      </c>
      <c r="E14" s="4" t="s">
        <v>47</v>
      </c>
      <c r="F14" s="5" t="n">
        <v>14627</v>
      </c>
      <c r="G14" s="5" t="n">
        <v>5861</v>
      </c>
      <c r="H14" s="5" t="n">
        <v>5754</v>
      </c>
      <c r="I14" s="5" t="n">
        <v>107</v>
      </c>
      <c r="J14" s="5" t="n">
        <v>642</v>
      </c>
      <c r="K14" s="5" t="n">
        <f aca="false">G14+J14</f>
        <v>6503</v>
      </c>
      <c r="L14" s="6" t="n">
        <f aca="false">K14-6867</f>
        <v>-364</v>
      </c>
      <c r="M14" s="7" t="s">
        <v>48</v>
      </c>
    </row>
    <row r="15" customFormat="false" ht="15" hidden="false" customHeight="false" outlineLevel="0" collapsed="false">
      <c r="A15" s="4" t="s">
        <v>49</v>
      </c>
      <c r="B15" s="4" t="s">
        <v>50</v>
      </c>
      <c r="C15" s="4" t="s">
        <v>33</v>
      </c>
      <c r="D15" s="4" t="s">
        <v>19</v>
      </c>
      <c r="E15" s="4" t="s">
        <v>51</v>
      </c>
      <c r="F15" s="5" t="n">
        <v>8339</v>
      </c>
      <c r="G15" s="5" t="n">
        <v>3058</v>
      </c>
      <c r="H15" s="5" t="n">
        <v>2880</v>
      </c>
      <c r="I15" s="5" t="n">
        <v>178</v>
      </c>
      <c r="J15" s="5" t="n">
        <v>432</v>
      </c>
      <c r="K15" s="5" t="n">
        <f aca="false">G15+J15</f>
        <v>3490</v>
      </c>
      <c r="L15" s="6" t="n">
        <f aca="false">K15-6867</f>
        <v>-3377</v>
      </c>
      <c r="M15" s="7"/>
    </row>
    <row r="16" customFormat="false" ht="1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19</v>
      </c>
      <c r="E16" s="4" t="s">
        <v>55</v>
      </c>
      <c r="F16" s="5" t="n">
        <v>43614</v>
      </c>
      <c r="G16" s="5" t="n">
        <v>16142</v>
      </c>
      <c r="H16" s="5" t="n">
        <v>15290</v>
      </c>
      <c r="I16" s="5" t="n">
        <v>852</v>
      </c>
      <c r="J16" s="5" t="n">
        <v>1280</v>
      </c>
      <c r="K16" s="5" t="n">
        <f aca="false">G16+J16</f>
        <v>17422</v>
      </c>
      <c r="L16" s="6" t="n">
        <f aca="false">K16-6867</f>
        <v>10555</v>
      </c>
      <c r="M16" s="7"/>
    </row>
    <row r="17" customFormat="false" ht="15" hidden="false" customHeight="false" outlineLevel="0" collapsed="false">
      <c r="A17" s="4" t="s">
        <v>56</v>
      </c>
      <c r="B17" s="4" t="s">
        <v>57</v>
      </c>
      <c r="C17" s="4" t="s">
        <v>33</v>
      </c>
      <c r="D17" s="4" t="s">
        <v>58</v>
      </c>
      <c r="E17" s="4" t="s">
        <v>59</v>
      </c>
      <c r="F17" s="5" t="n">
        <v>6211</v>
      </c>
      <c r="G17" s="5" t="n">
        <v>2470</v>
      </c>
      <c r="H17" s="5" t="n">
        <v>2445</v>
      </c>
      <c r="I17" s="5" t="n">
        <v>25</v>
      </c>
      <c r="J17" s="5" t="n">
        <v>375</v>
      </c>
      <c r="K17" s="5" t="n">
        <f aca="false">G17+J17</f>
        <v>2845</v>
      </c>
      <c r="L17" s="6" t="n">
        <f aca="false">K17-6867</f>
        <v>-4022</v>
      </c>
      <c r="M17" s="7"/>
    </row>
    <row r="18" customFormat="false" ht="15" hidden="false" customHeight="false" outlineLevel="0" collapsed="false">
      <c r="A18" s="4" t="s">
        <v>60</v>
      </c>
      <c r="B18" s="4" t="s">
        <v>61</v>
      </c>
      <c r="C18" s="4" t="s">
        <v>18</v>
      </c>
      <c r="D18" s="4" t="s">
        <v>58</v>
      </c>
      <c r="E18" s="4" t="s">
        <v>62</v>
      </c>
      <c r="F18" s="5" t="n">
        <v>31128</v>
      </c>
      <c r="G18" s="5" t="n">
        <v>10684</v>
      </c>
      <c r="H18" s="5" t="n">
        <v>10425</v>
      </c>
      <c r="I18" s="5" t="n">
        <v>259</v>
      </c>
      <c r="J18" s="5" t="n">
        <v>1235</v>
      </c>
      <c r="K18" s="5" t="n">
        <f aca="false">G18+J18</f>
        <v>11919</v>
      </c>
      <c r="L18" s="6" t="n">
        <f aca="false">K18-6867</f>
        <v>5052</v>
      </c>
      <c r="M18" s="7"/>
    </row>
    <row r="19" customFormat="false" ht="23.85" hidden="false" customHeight="false" outlineLevel="0" collapsed="false">
      <c r="A19" s="4" t="s">
        <v>63</v>
      </c>
      <c r="B19" s="4" t="s">
        <v>64</v>
      </c>
      <c r="C19" s="4" t="s">
        <v>18</v>
      </c>
      <c r="D19" s="4" t="s">
        <v>29</v>
      </c>
      <c r="E19" s="4" t="s">
        <v>65</v>
      </c>
      <c r="F19" s="5" t="n">
        <v>8609</v>
      </c>
      <c r="G19" s="5" t="n">
        <v>3038</v>
      </c>
      <c r="H19" s="5" t="n">
        <v>3002</v>
      </c>
      <c r="I19" s="5" t="n">
        <v>36</v>
      </c>
      <c r="J19" s="5" t="n">
        <v>275</v>
      </c>
      <c r="K19" s="5" t="n">
        <f aca="false">G19+J19</f>
        <v>3313</v>
      </c>
      <c r="L19" s="6" t="n">
        <f aca="false">K19-6867</f>
        <v>-3554</v>
      </c>
      <c r="M19" s="7" t="s">
        <v>66</v>
      </c>
    </row>
    <row r="20" customFormat="false" ht="15" hidden="false" customHeight="false" outlineLevel="0" collapsed="false">
      <c r="A20" s="4" t="s">
        <v>67</v>
      </c>
      <c r="B20" s="4" t="s">
        <v>68</v>
      </c>
      <c r="C20" s="4" t="s">
        <v>33</v>
      </c>
      <c r="D20" s="4" t="s">
        <v>29</v>
      </c>
      <c r="E20" s="4" t="s">
        <v>69</v>
      </c>
      <c r="F20" s="5" t="n">
        <v>16464</v>
      </c>
      <c r="G20" s="5" t="n">
        <v>5721</v>
      </c>
      <c r="H20" s="5" t="n">
        <v>5554</v>
      </c>
      <c r="I20" s="5" t="n">
        <v>167</v>
      </c>
      <c r="J20" s="5" t="n">
        <v>522</v>
      </c>
      <c r="K20" s="5" t="n">
        <f aca="false">G20+J20</f>
        <v>6243</v>
      </c>
      <c r="L20" s="6" t="n">
        <f aca="false">K20-6867</f>
        <v>-624</v>
      </c>
      <c r="M20" s="7"/>
    </row>
    <row r="21" customFormat="false" ht="15" hidden="false" customHeight="false" outlineLevel="0" collapsed="false">
      <c r="A21" s="4" t="s">
        <v>70</v>
      </c>
      <c r="B21" s="4" t="s">
        <v>71</v>
      </c>
      <c r="C21" s="4" t="s">
        <v>18</v>
      </c>
      <c r="D21" s="4" t="s">
        <v>58</v>
      </c>
      <c r="E21" s="4" t="s">
        <v>72</v>
      </c>
      <c r="F21" s="5" t="n">
        <v>21793</v>
      </c>
      <c r="G21" s="5" t="n">
        <v>7276</v>
      </c>
      <c r="H21" s="5" t="n">
        <v>6999</v>
      </c>
      <c r="I21" s="5" t="n">
        <v>277</v>
      </c>
      <c r="J21" s="5" t="n">
        <v>978</v>
      </c>
      <c r="K21" s="5" t="n">
        <f aca="false">G21+J21</f>
        <v>8254</v>
      </c>
      <c r="L21" s="6" t="n">
        <f aca="false">K21-6867</f>
        <v>1387</v>
      </c>
      <c r="M21" s="7"/>
    </row>
    <row r="22" customFormat="false" ht="15" hidden="false" customHeight="false" outlineLevel="0" collapsed="false">
      <c r="A22" s="4" t="s">
        <v>73</v>
      </c>
      <c r="B22" s="4" t="s">
        <v>74</v>
      </c>
      <c r="C22" s="4" t="s">
        <v>18</v>
      </c>
      <c r="D22" s="4" t="s">
        <v>29</v>
      </c>
      <c r="E22" s="4" t="s">
        <v>75</v>
      </c>
      <c r="F22" s="5" t="n">
        <v>23239</v>
      </c>
      <c r="G22" s="5" t="n">
        <v>8616</v>
      </c>
      <c r="H22" s="5" t="n">
        <v>8442</v>
      </c>
      <c r="I22" s="5" t="n">
        <v>174</v>
      </c>
      <c r="J22" s="5" t="n">
        <v>1658</v>
      </c>
      <c r="K22" s="5" t="n">
        <f aca="false">G22+J22</f>
        <v>10274</v>
      </c>
      <c r="L22" s="6" t="n">
        <f aca="false">K22-6867</f>
        <v>3407</v>
      </c>
      <c r="M22" s="7"/>
    </row>
    <row r="23" customFormat="false" ht="15" hidden="false" customHeight="false" outlineLevel="0" collapsed="false">
      <c r="A23" s="4" t="s">
        <v>76</v>
      </c>
      <c r="B23" s="4" t="s">
        <v>77</v>
      </c>
      <c r="C23" s="4" t="s">
        <v>78</v>
      </c>
      <c r="D23" s="4" t="s">
        <v>29</v>
      </c>
      <c r="E23" s="4" t="s">
        <v>75</v>
      </c>
      <c r="F23" s="5" t="n">
        <v>20256</v>
      </c>
      <c r="G23" s="5" t="n">
        <v>9318</v>
      </c>
      <c r="H23" s="5" t="n">
        <v>8907</v>
      </c>
      <c r="I23" s="5" t="n">
        <v>411</v>
      </c>
      <c r="J23" s="5" t="n">
        <v>1658</v>
      </c>
      <c r="K23" s="5" t="n">
        <f aca="false">G23+J23</f>
        <v>10976</v>
      </c>
      <c r="L23" s="6" t="n">
        <f aca="false">K23-6867</f>
        <v>4109</v>
      </c>
      <c r="M23" s="7"/>
    </row>
    <row r="24" customFormat="false" ht="15" hidden="false" customHeight="false" outlineLevel="0" collapsed="false">
      <c r="A24" s="4" t="s">
        <v>79</v>
      </c>
      <c r="B24" s="4" t="s">
        <v>80</v>
      </c>
      <c r="C24" s="4" t="s">
        <v>33</v>
      </c>
      <c r="D24" s="4" t="s">
        <v>19</v>
      </c>
      <c r="E24" s="4" t="s">
        <v>81</v>
      </c>
      <c r="F24" s="5" t="n">
        <v>6967</v>
      </c>
      <c r="G24" s="5" t="n">
        <v>2616</v>
      </c>
      <c r="H24" s="5" t="n">
        <v>2540</v>
      </c>
      <c r="I24" s="5" t="n">
        <v>76</v>
      </c>
      <c r="J24" s="5" t="n">
        <v>349</v>
      </c>
      <c r="K24" s="5" t="n">
        <f aca="false">G24+J24</f>
        <v>2965</v>
      </c>
      <c r="L24" s="6" t="n">
        <f aca="false">K24-6867</f>
        <v>-3902</v>
      </c>
      <c r="M24" s="7"/>
    </row>
    <row r="25" customFormat="false" ht="15" hidden="false" customHeight="false" outlineLevel="0" collapsed="false">
      <c r="A25" s="4" t="s">
        <v>82</v>
      </c>
      <c r="B25" s="4" t="s">
        <v>83</v>
      </c>
      <c r="C25" s="4" t="s">
        <v>33</v>
      </c>
      <c r="D25" s="4" t="s">
        <v>19</v>
      </c>
      <c r="E25" s="4" t="s">
        <v>84</v>
      </c>
      <c r="F25" s="5" t="n">
        <v>13577</v>
      </c>
      <c r="G25" s="5" t="n">
        <v>5500</v>
      </c>
      <c r="H25" s="5" t="n">
        <v>5201</v>
      </c>
      <c r="I25" s="5" t="n">
        <v>299</v>
      </c>
      <c r="J25" s="5" t="n">
        <v>342</v>
      </c>
      <c r="K25" s="5" t="n">
        <f aca="false">G25+J25</f>
        <v>5842</v>
      </c>
      <c r="L25" s="6" t="n">
        <f aca="false">K25-6867</f>
        <v>-1025</v>
      </c>
      <c r="M25" s="7"/>
    </row>
    <row r="26" customFormat="false" ht="15" hidden="false" customHeight="false" outlineLevel="0" collapsed="false">
      <c r="A26" s="4" t="s">
        <v>85</v>
      </c>
      <c r="B26" s="4" t="s">
        <v>86</v>
      </c>
      <c r="C26" s="4" t="s">
        <v>54</v>
      </c>
      <c r="D26" s="4" t="s">
        <v>19</v>
      </c>
      <c r="E26" s="4" t="s">
        <v>87</v>
      </c>
      <c r="F26" s="5" t="n">
        <v>29748</v>
      </c>
      <c r="G26" s="5" t="n">
        <v>12811</v>
      </c>
      <c r="H26" s="5" t="n">
        <v>12155</v>
      </c>
      <c r="I26" s="5" t="n">
        <v>656</v>
      </c>
      <c r="J26" s="5" t="n">
        <v>624</v>
      </c>
      <c r="K26" s="5" t="n">
        <f aca="false">G26+J26</f>
        <v>13435</v>
      </c>
      <c r="L26" s="6" t="n">
        <f aca="false">K26-6867</f>
        <v>6568</v>
      </c>
      <c r="M26" s="7"/>
    </row>
    <row r="27" customFormat="false" ht="15" hidden="false" customHeight="false" outlineLevel="0" collapsed="false">
      <c r="A27" s="4" t="s">
        <v>88</v>
      </c>
      <c r="B27" s="4" t="s">
        <v>89</v>
      </c>
      <c r="C27" s="4" t="s">
        <v>33</v>
      </c>
      <c r="D27" s="4" t="s">
        <v>19</v>
      </c>
      <c r="E27" s="4" t="s">
        <v>90</v>
      </c>
      <c r="F27" s="5" t="n">
        <v>13965</v>
      </c>
      <c r="G27" s="5" t="n">
        <v>5373</v>
      </c>
      <c r="H27" s="5" t="n">
        <v>5236</v>
      </c>
      <c r="I27" s="5" t="n">
        <v>137</v>
      </c>
      <c r="J27" s="5" t="n">
        <v>265</v>
      </c>
      <c r="K27" s="5" t="n">
        <f aca="false">G27+J27</f>
        <v>5638</v>
      </c>
      <c r="L27" s="6" t="n">
        <f aca="false">K27-6867</f>
        <v>-1229</v>
      </c>
      <c r="M27" s="7"/>
    </row>
    <row r="28" customFormat="false" ht="15" hidden="false" customHeight="false" outlineLevel="0" collapsed="false">
      <c r="A28" s="4" t="s">
        <v>91</v>
      </c>
      <c r="B28" s="4" t="s">
        <v>92</v>
      </c>
      <c r="C28" s="4" t="s">
        <v>18</v>
      </c>
      <c r="D28" s="4" t="s">
        <v>19</v>
      </c>
      <c r="E28" s="4" t="s">
        <v>93</v>
      </c>
      <c r="F28" s="5" t="n">
        <v>24667</v>
      </c>
      <c r="G28" s="5" t="n">
        <v>9037</v>
      </c>
      <c r="H28" s="5" t="n">
        <v>8751</v>
      </c>
      <c r="I28" s="5" t="n">
        <v>286</v>
      </c>
      <c r="J28" s="5" t="n">
        <v>571</v>
      </c>
      <c r="K28" s="5" t="n">
        <f aca="false">G28+J28</f>
        <v>9608</v>
      </c>
      <c r="L28" s="6" t="n">
        <f aca="false">K28-6867</f>
        <v>2741</v>
      </c>
      <c r="M28" s="7"/>
    </row>
    <row r="29" customFormat="false" ht="15" hidden="false" customHeight="false" outlineLevel="0" collapsed="false">
      <c r="A29" s="4" t="s">
        <v>94</v>
      </c>
      <c r="B29" s="4" t="s">
        <v>95</v>
      </c>
      <c r="C29" s="4" t="s">
        <v>18</v>
      </c>
      <c r="D29" s="4" t="s">
        <v>19</v>
      </c>
      <c r="E29" s="4" t="s">
        <v>96</v>
      </c>
      <c r="F29" s="5" t="n">
        <v>60119</v>
      </c>
      <c r="G29" s="5" t="n">
        <v>21932</v>
      </c>
      <c r="H29" s="5" t="n">
        <v>21056</v>
      </c>
      <c r="I29" s="5" t="n">
        <v>876</v>
      </c>
      <c r="J29" s="5" t="n">
        <v>1603</v>
      </c>
      <c r="K29" s="5" t="n">
        <f aca="false">G29+J29</f>
        <v>23535</v>
      </c>
      <c r="L29" s="6" t="n">
        <f aca="false">K29-6867</f>
        <v>16668</v>
      </c>
      <c r="M29" s="7"/>
    </row>
    <row r="30" customFormat="false" ht="15" hidden="false" customHeight="false" outlineLevel="0" collapsed="false">
      <c r="A30" s="4" t="s">
        <v>97</v>
      </c>
      <c r="B30" s="4" t="s">
        <v>98</v>
      </c>
      <c r="C30" s="4" t="s">
        <v>54</v>
      </c>
      <c r="D30" s="4" t="s">
        <v>19</v>
      </c>
      <c r="E30" s="4" t="s">
        <v>99</v>
      </c>
      <c r="F30" s="5" t="n">
        <v>22512</v>
      </c>
      <c r="G30" s="5" t="n">
        <v>8603</v>
      </c>
      <c r="H30" s="5" t="n">
        <v>8130</v>
      </c>
      <c r="I30" s="5" t="n">
        <v>473</v>
      </c>
      <c r="J30" s="5" t="n">
        <v>838</v>
      </c>
      <c r="K30" s="5" t="n">
        <f aca="false">G30+J30</f>
        <v>9441</v>
      </c>
      <c r="L30" s="6" t="n">
        <f aca="false">K30-6867</f>
        <v>2574</v>
      </c>
      <c r="M30" s="7"/>
    </row>
    <row r="31" customFormat="false" ht="15" hidden="false" customHeight="false" outlineLevel="0" collapsed="false">
      <c r="A31" s="4" t="s">
        <v>100</v>
      </c>
      <c r="B31" s="4" t="s">
        <v>101</v>
      </c>
      <c r="C31" s="4" t="s">
        <v>33</v>
      </c>
      <c r="D31" s="4" t="s">
        <v>29</v>
      </c>
      <c r="E31" s="4" t="s">
        <v>102</v>
      </c>
      <c r="F31" s="5" t="n">
        <v>9219</v>
      </c>
      <c r="G31" s="5" t="n">
        <v>3003</v>
      </c>
      <c r="H31" s="5" t="n">
        <v>2946</v>
      </c>
      <c r="I31" s="5" t="n">
        <v>57</v>
      </c>
      <c r="J31" s="5" t="n">
        <v>504</v>
      </c>
      <c r="K31" s="5" t="n">
        <f aca="false">G31+J31</f>
        <v>3507</v>
      </c>
      <c r="L31" s="6" t="n">
        <f aca="false">K31-6867</f>
        <v>-3360</v>
      </c>
      <c r="M31" s="7" t="s">
        <v>103</v>
      </c>
    </row>
    <row r="32" customFormat="false" ht="15" hidden="false" customHeight="false" outlineLevel="0" collapsed="false">
      <c r="A32" s="4" t="s">
        <v>104</v>
      </c>
      <c r="B32" s="4" t="s">
        <v>105</v>
      </c>
      <c r="C32" s="4" t="s">
        <v>18</v>
      </c>
      <c r="D32" s="4" t="s">
        <v>29</v>
      </c>
      <c r="E32" s="4" t="s">
        <v>102</v>
      </c>
      <c r="F32" s="5" t="n">
        <v>11001</v>
      </c>
      <c r="G32" s="5" t="n">
        <v>4025</v>
      </c>
      <c r="H32" s="5" t="n">
        <v>3935</v>
      </c>
      <c r="I32" s="5" t="n">
        <v>90</v>
      </c>
      <c r="J32" s="5" t="n">
        <v>504</v>
      </c>
      <c r="K32" s="5" t="n">
        <f aca="false">G32+J32</f>
        <v>4529</v>
      </c>
      <c r="L32" s="6" t="n">
        <f aca="false">K32-6867</f>
        <v>-2338</v>
      </c>
      <c r="M32" s="7"/>
    </row>
    <row r="33" customFormat="false" ht="15" hidden="false" customHeight="false" outlineLevel="0" collapsed="false">
      <c r="A33" s="4" t="s">
        <v>106</v>
      </c>
      <c r="B33" s="4" t="s">
        <v>107</v>
      </c>
      <c r="C33" s="4" t="s">
        <v>18</v>
      </c>
      <c r="D33" s="4" t="s">
        <v>43</v>
      </c>
      <c r="E33" s="4" t="s">
        <v>108</v>
      </c>
      <c r="F33" s="5" t="n">
        <v>15962</v>
      </c>
      <c r="G33" s="5" t="n">
        <v>5751</v>
      </c>
      <c r="H33" s="5" t="n">
        <v>5459</v>
      </c>
      <c r="I33" s="5" t="n">
        <v>292</v>
      </c>
      <c r="J33" s="5" t="n">
        <v>715</v>
      </c>
      <c r="K33" s="5" t="n">
        <f aca="false">G33+J33</f>
        <v>6466</v>
      </c>
      <c r="L33" s="6" t="n">
        <f aca="false">K33-6867</f>
        <v>-401</v>
      </c>
      <c r="M33" s="7"/>
    </row>
    <row r="34" customFormat="false" ht="15" hidden="false" customHeight="false" outlineLevel="0" collapsed="false">
      <c r="A34" s="4" t="s">
        <v>109</v>
      </c>
      <c r="B34" s="4" t="s">
        <v>110</v>
      </c>
      <c r="C34" s="4" t="s">
        <v>33</v>
      </c>
      <c r="D34" s="4" t="s">
        <v>43</v>
      </c>
      <c r="E34" s="4" t="s">
        <v>111</v>
      </c>
      <c r="F34" s="5" t="n">
        <v>6429</v>
      </c>
      <c r="G34" s="5" t="n">
        <v>2429</v>
      </c>
      <c r="H34" s="5" t="n">
        <v>2327</v>
      </c>
      <c r="I34" s="5" t="n">
        <v>102</v>
      </c>
      <c r="J34" s="5" t="n">
        <v>261</v>
      </c>
      <c r="K34" s="5" t="n">
        <f aca="false">G34+J34</f>
        <v>2690</v>
      </c>
      <c r="L34" s="6" t="n">
        <f aca="false">K34-6867</f>
        <v>-4177</v>
      </c>
      <c r="M34" s="7"/>
    </row>
    <row r="35" customFormat="false" ht="15" hidden="false" customHeight="false" outlineLevel="0" collapsed="false">
      <c r="A35" s="4" t="s">
        <v>112</v>
      </c>
      <c r="B35" s="4" t="s">
        <v>113</v>
      </c>
      <c r="C35" s="4" t="s">
        <v>78</v>
      </c>
      <c r="D35" s="4" t="s">
        <v>19</v>
      </c>
      <c r="E35" s="4" t="s">
        <v>114</v>
      </c>
      <c r="F35" s="5" t="n">
        <v>30760</v>
      </c>
      <c r="G35" s="5" t="n">
        <v>11093</v>
      </c>
      <c r="H35" s="5" t="n">
        <v>10676</v>
      </c>
      <c r="I35" s="5" t="n">
        <v>417</v>
      </c>
      <c r="J35" s="5" t="n">
        <v>876</v>
      </c>
      <c r="K35" s="5" t="n">
        <f aca="false">G35+J35</f>
        <v>11969</v>
      </c>
      <c r="L35" s="6" t="n">
        <f aca="false">K35-6867</f>
        <v>5102</v>
      </c>
      <c r="M35" s="7"/>
    </row>
    <row r="36" customFormat="false" ht="15" hidden="false" customHeight="false" outlineLevel="0" collapsed="false">
      <c r="A36" s="4" t="s">
        <v>115</v>
      </c>
      <c r="B36" s="4" t="s">
        <v>116</v>
      </c>
      <c r="C36" s="4" t="s">
        <v>54</v>
      </c>
      <c r="D36" s="4" t="s">
        <v>19</v>
      </c>
      <c r="E36" s="4" t="s">
        <v>117</v>
      </c>
      <c r="F36" s="5" t="n">
        <v>135887</v>
      </c>
      <c r="G36" s="5" t="n">
        <v>48940</v>
      </c>
      <c r="H36" s="5" t="n">
        <v>45932</v>
      </c>
      <c r="I36" s="5" t="n">
        <v>3008</v>
      </c>
      <c r="J36" s="5" t="n">
        <v>501</v>
      </c>
      <c r="K36" s="5" t="n">
        <f aca="false">G36+J36</f>
        <v>49441</v>
      </c>
      <c r="L36" s="6" t="n">
        <f aca="false">K36-6867</f>
        <v>42574</v>
      </c>
      <c r="M36" s="7" t="s">
        <v>118</v>
      </c>
    </row>
    <row r="37" customFormat="false" ht="15" hidden="false" customHeight="false" outlineLevel="0" collapsed="false">
      <c r="A37" s="8" t="s">
        <v>119</v>
      </c>
      <c r="B37" s="9"/>
      <c r="C37" s="9"/>
      <c r="D37" s="9"/>
      <c r="E37" s="9"/>
      <c r="F37" s="10" t="n">
        <f aca="false">SUM(F6:F36)</f>
        <v>671089</v>
      </c>
      <c r="G37" s="10" t="n">
        <f aca="false">SUM(G6:G36)</f>
        <v>250176</v>
      </c>
      <c r="H37" s="10" t="n">
        <f aca="false">SUM(H6:H36)</f>
        <v>239795</v>
      </c>
      <c r="I37" s="10" t="n">
        <f aca="false">SUM(I6:I36)</f>
        <v>10381</v>
      </c>
      <c r="J37" s="10" t="n">
        <f aca="false">SUM(J6:J36)</f>
        <v>20806</v>
      </c>
      <c r="K37" s="10" t="n">
        <f aca="false">SUM(K6:K36)</f>
        <v>270982</v>
      </c>
      <c r="L37" s="9"/>
      <c r="M37" s="9"/>
    </row>
    <row r="38" customFormat="false" ht="15" hidden="false" customHeight="false" outlineLevel="0" collapsed="false">
      <c r="A38" s="8" t="s">
        <v>120</v>
      </c>
      <c r="B38" s="9"/>
      <c r="C38" s="9"/>
      <c r="D38" s="9"/>
      <c r="E38" s="9"/>
      <c r="F38" s="10" t="n">
        <f aca="false">F37-F36</f>
        <v>535202</v>
      </c>
      <c r="G38" s="10" t="n">
        <f aca="false">G37-G36</f>
        <v>201236</v>
      </c>
      <c r="H38" s="10" t="n">
        <f aca="false">H37-H36</f>
        <v>193863</v>
      </c>
      <c r="I38" s="10" t="n">
        <f aca="false">I37-I36</f>
        <v>7373</v>
      </c>
      <c r="J38" s="10" t="n">
        <f aca="false">J37-J36</f>
        <v>20305</v>
      </c>
      <c r="K38" s="10" t="n">
        <f aca="false">K37-K36</f>
        <v>221541</v>
      </c>
      <c r="L38" s="9"/>
      <c r="M38" s="9"/>
    </row>
    <row r="40" customFormat="false" ht="15" hidden="false" customHeight="false" outlineLevel="0" collapsed="false">
      <c r="A40" s="11" t="s">
        <v>121</v>
      </c>
      <c r="B40" s="12"/>
      <c r="C40" s="12"/>
      <c r="D40" s="12"/>
      <c r="E40" s="12"/>
      <c r="F40" s="12"/>
      <c r="G40" s="12"/>
      <c r="H40" s="12"/>
      <c r="I40" s="12"/>
      <c r="J40" s="12"/>
      <c r="K40" s="13" t="n">
        <v>206000</v>
      </c>
      <c r="L40" s="12"/>
      <c r="M40" s="12"/>
    </row>
    <row r="41" customFormat="false" ht="15" hidden="false" customHeight="false" outlineLevel="0" collapsed="false">
      <c r="A41" s="11" t="s">
        <v>122</v>
      </c>
      <c r="B41" s="12"/>
      <c r="C41" s="12"/>
      <c r="D41" s="12"/>
      <c r="E41" s="12"/>
      <c r="F41" s="12"/>
      <c r="G41" s="12"/>
      <c r="H41" s="12"/>
      <c r="I41" s="12"/>
      <c r="J41" s="12"/>
      <c r="K41" s="14" t="n">
        <f aca="false">K38-K40</f>
        <v>15541</v>
      </c>
      <c r="L41" s="12"/>
      <c r="M41" s="12"/>
    </row>
  </sheetData>
  <conditionalFormatting sqref="K6:K36">
    <cfRule type="colorScale" priority="2">
      <colorScale>
        <cfvo type="min" val="0"/>
        <cfvo type="percentile" val="50"/>
        <cfvo type="max" val="0"/>
        <color rgb="FFF8FBFF"/>
        <color rgb="FF9DC3E6"/>
        <color rgb="FF1F4E7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123</v>
      </c>
    </row>
    <row r="3" customFormat="false" ht="15" hidden="false" customHeight="false" outlineLevel="0" collapsed="false">
      <c r="A3" s="15" t="s">
        <v>124</v>
      </c>
      <c r="B3" s="16" t="n">
        <v>206000</v>
      </c>
    </row>
    <row r="4" customFormat="false" ht="15" hidden="false" customHeight="false" outlineLevel="0" collapsed="false">
      <c r="A4" s="17"/>
    </row>
    <row r="5" customFormat="false" ht="15" hidden="false" customHeight="false" outlineLevel="0" collapsed="false">
      <c r="A5" s="17" t="s">
        <v>125</v>
      </c>
      <c r="B5" s="18" t="n">
        <v>250176</v>
      </c>
    </row>
    <row r="6" customFormat="false" ht="15" hidden="false" customHeight="false" outlineLevel="0" collapsed="false">
      <c r="A6" s="17" t="s">
        <v>126</v>
      </c>
      <c r="B6" s="18" t="n">
        <v>20806</v>
      </c>
    </row>
    <row r="7" customFormat="false" ht="15" hidden="false" customHeight="false" outlineLevel="0" collapsed="false">
      <c r="A7" s="17" t="s">
        <v>127</v>
      </c>
      <c r="B7" s="18" t="n">
        <v>270982</v>
      </c>
    </row>
    <row r="8" customFormat="false" ht="15" hidden="false" customHeight="false" outlineLevel="0" collapsed="false">
      <c r="A8" s="17"/>
    </row>
    <row r="9" customFormat="false" ht="15" hidden="false" customHeight="false" outlineLevel="0" collapsed="false">
      <c r="A9" s="17" t="s">
        <v>128</v>
      </c>
    </row>
    <row r="10" customFormat="false" ht="15" hidden="false" customHeight="false" outlineLevel="0" collapsed="false">
      <c r="A10" s="17" t="s">
        <v>129</v>
      </c>
      <c r="B10" s="18" t="n">
        <v>48940</v>
      </c>
    </row>
    <row r="11" customFormat="false" ht="15" hidden="false" customHeight="false" outlineLevel="0" collapsed="false">
      <c r="A11" s="17" t="s">
        <v>130</v>
      </c>
      <c r="B11" s="18" t="n">
        <v>-48940</v>
      </c>
    </row>
    <row r="12" customFormat="false" ht="15" hidden="false" customHeight="false" outlineLevel="0" collapsed="false">
      <c r="A12" s="17" t="s">
        <v>131</v>
      </c>
      <c r="B12" s="18" t="n">
        <v>10000</v>
      </c>
    </row>
    <row r="13" customFormat="false" ht="15" hidden="false" customHeight="false" outlineLevel="0" collapsed="false">
      <c r="A13" s="17"/>
    </row>
    <row r="14" customFormat="false" ht="15" hidden="false" customHeight="false" outlineLevel="0" collapsed="false">
      <c r="A14" s="15" t="s">
        <v>132</v>
      </c>
      <c r="B14" s="16" t="n">
        <v>232042</v>
      </c>
    </row>
    <row r="15" customFormat="false" ht="15" hidden="false" customHeight="false" outlineLevel="0" collapsed="false">
      <c r="A15" s="15" t="s">
        <v>121</v>
      </c>
      <c r="B15" s="16" t="n">
        <v>206000</v>
      </c>
    </row>
    <row r="16" customFormat="false" ht="15" hidden="false" customHeight="false" outlineLevel="0" collapsed="false">
      <c r="A16" s="15" t="s">
        <v>133</v>
      </c>
      <c r="B16" s="16" t="n">
        <v>26042</v>
      </c>
    </row>
    <row r="18" customFormat="false" ht="15" hidden="false" customHeight="false" outlineLevel="0" collapsed="false">
      <c r="A18" s="19" t="s">
        <v>134</v>
      </c>
    </row>
    <row r="19" customFormat="false" ht="15" hidden="false" customHeight="false" outlineLevel="0" collapsed="false">
      <c r="A19" s="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136</v>
      </c>
    </row>
    <row r="3" customFormat="false" ht="23.85" hidden="false" customHeight="false" outlineLevel="0" collapsed="false">
      <c r="A3" s="3" t="s">
        <v>6</v>
      </c>
      <c r="B3" s="3" t="s">
        <v>137</v>
      </c>
      <c r="C3" s="3" t="s">
        <v>8</v>
      </c>
      <c r="D3" s="3" t="s">
        <v>9</v>
      </c>
      <c r="E3" s="3" t="s">
        <v>138</v>
      </c>
      <c r="F3" s="3" t="s">
        <v>12</v>
      </c>
      <c r="G3" s="3" t="s">
        <v>139</v>
      </c>
    </row>
    <row r="4" customFormat="false" ht="15" hidden="false" customHeight="false" outlineLevel="0" collapsed="false">
      <c r="A4" s="20" t="s">
        <v>58</v>
      </c>
      <c r="B4" s="21" t="n">
        <v>3</v>
      </c>
      <c r="C4" s="5" t="n">
        <v>59132</v>
      </c>
      <c r="D4" s="5" t="n">
        <v>20430</v>
      </c>
      <c r="E4" s="5" t="n">
        <v>19869</v>
      </c>
      <c r="F4" s="5" t="n">
        <v>2588</v>
      </c>
      <c r="G4" s="5" t="n">
        <f aca="false">D4+F4</f>
        <v>23018</v>
      </c>
    </row>
    <row r="5" customFormat="false" ht="15" hidden="false" customHeight="false" outlineLevel="0" collapsed="false">
      <c r="A5" s="20" t="s">
        <v>29</v>
      </c>
      <c r="B5" s="21" t="n">
        <v>9</v>
      </c>
      <c r="C5" s="5" t="n">
        <v>127655</v>
      </c>
      <c r="D5" s="5" t="n">
        <v>48658</v>
      </c>
      <c r="E5" s="5" t="n">
        <v>47172</v>
      </c>
      <c r="F5" s="5" t="n">
        <v>7113</v>
      </c>
      <c r="G5" s="5" t="n">
        <f aca="false">D5+F5</f>
        <v>55771</v>
      </c>
    </row>
    <row r="6" customFormat="false" ht="15" hidden="false" customHeight="false" outlineLevel="0" collapsed="false">
      <c r="A6" s="20" t="s">
        <v>43</v>
      </c>
      <c r="B6" s="21" t="n">
        <v>3</v>
      </c>
      <c r="C6" s="5" t="n">
        <v>29373</v>
      </c>
      <c r="D6" s="5" t="n">
        <v>10561</v>
      </c>
      <c r="E6" s="5" t="n">
        <v>10058</v>
      </c>
      <c r="F6" s="5" t="n">
        <v>1447</v>
      </c>
      <c r="G6" s="5" t="n">
        <f aca="false">D6+F6</f>
        <v>12008</v>
      </c>
    </row>
    <row r="7" customFormat="false" ht="15" hidden="false" customHeight="false" outlineLevel="0" collapsed="false">
      <c r="A7" s="20" t="s">
        <v>19</v>
      </c>
      <c r="B7" s="21" t="n">
        <v>16</v>
      </c>
      <c r="C7" s="5" t="n">
        <v>454929</v>
      </c>
      <c r="D7" s="5" t="n">
        <v>170527</v>
      </c>
      <c r="E7" s="5" t="n">
        <v>162696</v>
      </c>
      <c r="F7" s="5" t="n">
        <v>9658</v>
      </c>
      <c r="G7" s="5" t="n">
        <f aca="false">D7+F7</f>
        <v>180185</v>
      </c>
    </row>
    <row r="8" customFormat="false" ht="15" hidden="false" customHeight="false" outlineLevel="0" collapsed="false">
      <c r="A8" s="8" t="s">
        <v>140</v>
      </c>
      <c r="B8" s="8" t="n">
        <f aca="false">SUM(B4:B7)</f>
        <v>31</v>
      </c>
      <c r="C8" s="10" t="n">
        <f aca="false">SUM(C4:C7)</f>
        <v>671089</v>
      </c>
      <c r="D8" s="10" t="n">
        <f aca="false">SUM(D4:D7)</f>
        <v>250176</v>
      </c>
      <c r="E8" s="10" t="n">
        <f aca="false">SUM(E4:E7)</f>
        <v>239795</v>
      </c>
      <c r="F8" s="10" t="n">
        <f aca="false">SUM(F4:F7)</f>
        <v>20806</v>
      </c>
      <c r="G8" s="10" t="n">
        <f aca="false">SUM(G4:G7)</f>
        <v>270982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2026-04-28T14:02:19Z</dcterms:created>
  <dc:creator>openpyxl</dc:creator>
  <dc:description/>
  <dc:language>en-US</dc:language>
  <cp:lastModifiedBy/>
  <dcterms:modified xsi:type="dcterms:W3CDTF">2026-04-28T14:02:19Z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