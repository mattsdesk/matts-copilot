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Deal_Structure" sheetId="3" state="visible" r:id="rId5"/>
    <sheet name="Print_PnL" sheetId="4" state="visible" r:id="rId6"/>
    <sheet name="MD_CrossSell" sheetId="5" state="visible" r:id="rId7"/>
    <sheet name="Combined_Returns" sheetId="6" state="visible" r:id="rId8"/>
    <sheet name="Sensitivit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<sst xmlns="http://schemas.openxmlformats.org/spreadsheetml/2006/main" count="345" uniqueCount="183">
  <si>
    <t xml:space="preserve">Renna Media x Montclair Digital</t>
  </si>
  <si>
    <t xml:space="preserve">Acquisition Integration Model</t>
  </si>
  <si>
    <t xml:space="preserve">Version:</t>
  </si>
  <si>
    <t xml:space="preserve">v1.0</t>
  </si>
  <si>
    <t xml:space="preserve">Date:</t>
  </si>
  <si>
    <t xml:space="preserve">2026-04-27</t>
  </si>
  <si>
    <t xml:space="preserve">Prepared for:</t>
  </si>
  <si>
    <t xml:space="preserve">Matt Saunders</t>
  </si>
  <si>
    <t xml:space="preserve">Sheets</t>
  </si>
  <si>
    <t xml:space="preserve">Assumptions</t>
  </si>
  <si>
    <t xml:space="preserve">All input drivers. Edit yellow-highlighted cells to flex the model.</t>
  </si>
  <si>
    <t xml:space="preserve">Deal_Structure</t>
  </si>
  <si>
    <t xml:space="preserve">Purchase price, debt mix, amortization, debt service schedule.</t>
  </si>
  <si>
    <t xml:space="preserve">Print_PnL</t>
  </si>
  <si>
    <t xml:space="preserve">5-year print business P&amp;L for Down / Base / Up scenarios.</t>
  </si>
  <si>
    <t xml:space="preserve">MD_CrossSell</t>
  </si>
  <si>
    <t xml:space="preserve">Montclair Digital cross-sell economics across conversion scenarios.</t>
  </si>
  <si>
    <t xml:space="preserve">Combined_Returns</t>
  </si>
  <si>
    <t xml:space="preserve">Owner cash flow, cumulative cash, IRR by scenario combination.</t>
  </si>
  <si>
    <t xml:space="preserve">Sensitivity</t>
  </si>
  <si>
    <t xml:space="preserve">Sensitivity of Year 3 owner cash to purchase price and MD conversion.</t>
  </si>
  <si>
    <t xml:space="preserve">Color Conventions</t>
  </si>
  <si>
    <t xml:space="preserve">Blue text</t>
  </si>
  <si>
    <t xml:space="preserve">Hardcoded inputs. Change these to flex the model.</t>
  </si>
  <si>
    <t xml:space="preserve">Black text</t>
  </si>
  <si>
    <t xml:space="preserve">Formulas and calculations. Do not edit.</t>
  </si>
  <si>
    <t xml:space="preserve">Green text</t>
  </si>
  <si>
    <t xml:space="preserve">Cross-sheet references.</t>
  </si>
  <si>
    <t xml:space="preserve">Yellow fill</t>
  </si>
  <si>
    <t xml:space="preserve">Key driver. Highest sensitivity. Update first.</t>
  </si>
  <si>
    <t xml:space="preserve">DEAL TERMS</t>
  </si>
  <si>
    <t xml:space="preserve">Purchase price</t>
  </si>
  <si>
    <t xml:space="preserve">Target offer; asking is $500K</t>
  </si>
  <si>
    <t xml:space="preserve">SBA loan % of price</t>
  </si>
  <si>
    <t xml:space="preserve">SBA 7(a) portion of purchase</t>
  </si>
  <si>
    <t xml:space="preserve">Seller note % of price</t>
  </si>
  <si>
    <t xml:space="preserve">Seller carry; balance is buyer equity</t>
  </si>
  <si>
    <t xml:space="preserve">SBA interest rate</t>
  </si>
  <si>
    <t xml:space="preserve">Prime + 2.75%, est.</t>
  </si>
  <si>
    <t xml:space="preserve">SBA term (years)</t>
  </si>
  <si>
    <t xml:space="preserve">SBA 7(a) goodwill term</t>
  </si>
  <si>
    <t xml:space="preserve">Seller note rate</t>
  </si>
  <si>
    <t xml:space="preserve">Negotiated down from 8% asked</t>
  </si>
  <si>
    <t xml:space="preserve">Seller note term (years)</t>
  </si>
  <si>
    <t xml:space="preserve">Per CIM</t>
  </si>
  <si>
    <t xml:space="preserve">Closing costs / fees</t>
  </si>
  <si>
    <t xml:space="preserve">SBA fees, legal, diligence</t>
  </si>
  <si>
    <t xml:space="preserve">PRINT BUSINESS BASELINE (per CIM)</t>
  </si>
  <si>
    <t xml:space="preserve">2025 Revenue</t>
  </si>
  <si>
    <t xml:space="preserve">Per CIM tax return</t>
  </si>
  <si>
    <t xml:space="preserve">2025 COGS %</t>
  </si>
  <si>
    <t xml:space="preserve">2025 Adj OpEx (post add-back)</t>
  </si>
  <si>
    <t xml:space="preserve">Per CIM recasted</t>
  </si>
  <si>
    <t xml:space="preserve">3-yr avg SDE (normalized)</t>
  </si>
  <si>
    <t xml:space="preserve">Per CIM 3-yr avg</t>
  </si>
  <si>
    <t xml:space="preserve">POST-CLOSE OPERATOR + ADJUSTMENTS</t>
  </si>
  <si>
    <t xml:space="preserve">Full-time operator base salary</t>
  </si>
  <si>
    <t xml:space="preserve">Replaces Joe + Tina day-to-day</t>
  </si>
  <si>
    <t xml:space="preserve">Operator benefits / payroll tax %</t>
  </si>
  <si>
    <t xml:space="preserve">Burdened load</t>
  </si>
  <si>
    <t xml:space="preserve">Add-back: social media role restored</t>
  </si>
  <si>
    <t xml:space="preserve">Part-time; needed for digital push</t>
  </si>
  <si>
    <t xml:space="preserve">Owner / Matt time on Renna ($)</t>
  </si>
  <si>
    <t xml:space="preserve">Set non-zero to test self-operate scenario</t>
  </si>
  <si>
    <t xml:space="preserve">PRINT SCENARIOS (5-YEAR REVENUE GROWTH)</t>
  </si>
  <si>
    <t xml:space="preserve">Scenario</t>
  </si>
  <si>
    <t xml:space="preserve">Y1 vs 2025</t>
  </si>
  <si>
    <t xml:space="preserve">Y2-5 CAGR</t>
  </si>
  <si>
    <t xml:space="preserve">Steady-state COGS %</t>
  </si>
  <si>
    <t xml:space="preserve">Down</t>
  </si>
  <si>
    <t xml:space="preserve">Lose 20% of advertisers in Y1, 5% decay after</t>
  </si>
  <si>
    <t xml:space="preserve">Base</t>
  </si>
  <si>
    <t xml:space="preserve">Modest Y1 churn, stabilize, light growth</t>
  </si>
  <si>
    <t xml:space="preserve">Up</t>
  </si>
  <si>
    <t xml:space="preserve">Sales engine + pricing + 6 new towns</t>
  </si>
  <si>
    <t xml:space="preserve">MONTCLAIR DIGITAL CROSS-SELL</t>
  </si>
  <si>
    <t xml:space="preserve">Active Renna advertisers (base)</t>
  </si>
  <si>
    <t xml:space="preserve">Annual MD ARPU per converted advertiser</t>
  </si>
  <si>
    <t xml:space="preserve">$1K/mo retainer; conservative</t>
  </si>
  <si>
    <t xml:space="preserve">MD service gross margin</t>
  </si>
  <si>
    <t xml:space="preserve">Service business; primarily labor</t>
  </si>
  <si>
    <t xml:space="preserve">MD delivery cost per active client / yr</t>
  </si>
  <si>
    <t xml:space="preserve">Embedded in 70% margin; informational</t>
  </si>
  <si>
    <t xml:space="preserve">Annual churn on MD clients</t>
  </si>
  <si>
    <t xml:space="preserve">Industry typical for SMB digital</t>
  </si>
  <si>
    <t xml:space="preserve">Conversion ramp Y1 (% of steady-state)</t>
  </si>
  <si>
    <t xml:space="preserve">Half of steady conversion in Y1</t>
  </si>
  <si>
    <t xml:space="preserve">Conversion ramp Y2 (% of steady-state)</t>
  </si>
  <si>
    <t xml:space="preserve">Approaches steady</t>
  </si>
  <si>
    <t xml:space="preserve">Conversion ramp Y3+ (% of steady-state)</t>
  </si>
  <si>
    <t xml:space="preserve">Steady-state hit by Y3</t>
  </si>
  <si>
    <t xml:space="preserve">MD CONVERSION SCENARIOS (% of advertiser base)</t>
  </si>
  <si>
    <t xml:space="preserve">Steady-state %</t>
  </si>
  <si>
    <t xml:space="preserve">Low</t>
  </si>
  <si>
    <t xml:space="preserve">Mid</t>
  </si>
  <si>
    <t xml:space="preserve">High</t>
  </si>
  <si>
    <t xml:space="preserve">Stretch</t>
  </si>
  <si>
    <t xml:space="preserve">Deal Structure &amp; Debt Service</t>
  </si>
  <si>
    <t xml:space="preserve">SOURCES &amp; USES</t>
  </si>
  <si>
    <t xml:space="preserve">USES</t>
  </si>
  <si>
    <t xml:space="preserve">Total uses</t>
  </si>
  <si>
    <t xml:space="preserve">SOURCES</t>
  </si>
  <si>
    <t xml:space="preserve">Buyer equity (cash at close)</t>
  </si>
  <si>
    <t xml:space="preserve">SBA 7(a) loan</t>
  </si>
  <si>
    <t xml:space="preserve">Seller note</t>
  </si>
  <si>
    <t xml:space="preserve">Total sources</t>
  </si>
  <si>
    <t xml:space="preserve">Check (Sources - Uses)</t>
  </si>
  <si>
    <t xml:space="preserve">ANNUAL DEBT SERVICE</t>
  </si>
  <si>
    <t xml:space="preserve">SBA loan annual P&amp;I</t>
  </si>
  <si>
    <t xml:space="preserve">Seller note annual P&amp;I</t>
  </si>
  <si>
    <t xml:space="preserve">Total Y1-Y3 annual debt service</t>
  </si>
  <si>
    <t xml:space="preserve">Total Y4+ annual debt service (seller note paid off)</t>
  </si>
  <si>
    <t xml:space="preserve">DEBT SERVICE BY YEAR</t>
  </si>
  <si>
    <t xml:space="preserve">Year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</si>
  <si>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</si>
  <si>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</si>
  <si>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</si>
  <si>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</si>
  <si>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</si>
  <si>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SBA debt service</t>
  </si>
  <si>
    <t xml:space="preserve">Seller note debt service</t>
  </si>
  <si>
    <t xml:space="preserve">Total annual debt service</t>
  </si>
  <si>
    <t xml:space="preserve">Print Business P&amp;L (5-Year by Scenario)</t>
  </si>
  <si>
    <t xml:space="preserve">Y0 = 2025 actual per CIM. Y1-Y5 projected.</t>
  </si>
  <si>
    <t xml:space="preserve">SCENARIO: DOWN</t>
  </si>
  <si>
    <t xml:space="preserve">Y0 (2025)</t>
  </si>
  <si>
    <t xml:space="preserve">Revenue</t>
  </si>
  <si>
    <t xml:space="preserve">COGS</t>
  </si>
  <si>
    <t xml:space="preserve">Gross profit</t>
  </si>
  <si>
    <t xml:space="preserve">OpEx (excl. labor)</t>
  </si>
  <si>
    <t xml:space="preserve">Labor (operator + social)</t>
  </si>
  <si>
    <t xml:space="preserve">Operating cash flow (post-labor)</t>
  </si>
  <si>
    <t xml:space="preserve">SCENARIO: BASE</t>
  </si>
  <si>
    <t xml:space="preserve">SCENARIO: UP</t>
  </si>
  <si>
    <t xml:space="preserve">Montclair Digital Cross-Sell Economics</t>
  </si>
  <si>
    <t xml:space="preserve">Modeled per conversion scenario. Outputs feed Combined_Returns.</t>
  </si>
  <si>
    <t xml:space="preserve">MD CONVERSION: LOW</t>
  </si>
  <si>
    <t xml:space="preserve">Steady-state target clients</t>
  </si>
  <si>
    <t xml:space="preserve">Active clients (avg over year)</t>
  </si>
  <si>
    <t xml:space="preserve">MD revenue</t>
  </si>
  <si>
    <t xml:space="preserve">MD gross profit</t>
  </si>
  <si>
    <t xml:space="preserve">MD CONVERSION: MID</t>
  </si>
  <si>
    <t xml:space="preserve">MD CONVERSION: HIGH</t>
  </si>
  <si>
    <t xml:space="preserve">MD CONVERSION: STRETCH</t>
  </si>
  <si>
    <t xml:space="preserve">Combined Owner Returns</t>
  </si>
  <si>
    <t xml:space="preserve">Print operating cash flow + MD cross-sell gross profit, less debt service. Year 0 = equity outflow at close.</t>
  </si>
  <si>
    <t xml:space="preserve">PRINT DOWN + MD LOW</t>
  </si>
  <si>
    <t xml:space="preserve">Y0</t>
  </si>
  <si>
    <t xml:space="preserve">5-yr Cum.</t>
  </si>
  <si>
    <t xml:space="preserve">Print operating cash flow</t>
  </si>
  <si>
    <t xml:space="preserve">MD cross-sell gross profit</t>
  </si>
  <si>
    <t xml:space="preserve">Debt service</t>
  </si>
  <si>
    <t xml:space="preserve">Buyer equity at close</t>
  </si>
  <si>
    <t xml:space="preserve">Net cash flow to owner</t>
  </si>
  <si>
    <t xml:space="preserve">Cumulative cash</t>
  </si>
  <si>
    <t xml:space="preserve">5-year IRR (on equity)</t>
  </si>
  <si>
    <t xml:space="preserve">5-yr cash-on-cash multiple</t>
  </si>
  <si>
    <t xml:space="preserve">PRINT BASE + MD LOW</t>
  </si>
  <si>
    <t xml:space="preserve">PRINT BASE + MD MID</t>
  </si>
  <si>
    <t xml:space="preserve">PRINT BASE + MD HIGH</t>
  </si>
  <si>
    <t xml:space="preserve">PRINT UP + MD MID</t>
  </si>
  <si>
    <t xml:space="preserve">PRINT UP + MD HIGH</t>
  </si>
  <si>
    <t xml:space="preserve">PRINT UP + MD STRETCH</t>
  </si>
  <si>
    <t xml:space="preserve">SUMMARY: ALL COMBINATIONS</t>
  </si>
  <si>
    <t xml:space="preserve">Combination</t>
  </si>
  <si>
    <t xml:space="preserve">5-yr IRR</t>
  </si>
  <si>
    <t xml:space="preserve">5-yr CoC</t>
  </si>
  <si>
    <t xml:space="preserve">Y3 owner cash</t>
  </si>
  <si>
    <t xml:space="preserve">Print Down + MD Low</t>
  </si>
  <si>
    <t xml:space="preserve">Print Base + MD Low</t>
  </si>
  <si>
    <t xml:space="preserve">Print Base + MD Mid</t>
  </si>
  <si>
    <t xml:space="preserve">Print Base + MD High</t>
  </si>
  <si>
    <t xml:space="preserve">Print Up + MD Mid</t>
  </si>
  <si>
    <t xml:space="preserve">Print Up + MD High</t>
  </si>
  <si>
    <t xml:space="preserve">Print Up + MD Stretch</t>
  </si>
  <si>
    <t xml:space="preserve">Sensitivity Analysis</t>
  </si>
  <si>
    <t xml:space="preserve">Year 3 owner cash flow under Print Base scenario, varying purchase price (rows) and MD steady-state conversion (columns).</t>
  </si>
  <si>
    <t xml:space="preserve">Year 3 Net Cash to Owner ($)</t>
  </si>
  <si>
    <t xml:space="preserve">Purchase Price \ MD Conv %</t>
  </si>
  <si>
    <t xml:space="preserve">READ:</t>
  </si>
  <si>
    <t xml:space="preserve">Negative cells = the base print scenario does not service debt + operator at this price/conversion combo.</t>
  </si>
  <si>
    <t xml:space="preserve">Positive cells &gt; $50K = deal generates real owner cash beyond debt service.</t>
  </si>
  <si>
    <t xml:space="preserve">Use this view to set walk-away price given assumed MD conversion.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</si>
</sst>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\$* #,##0_-;[RED]_-\$* \(#,##0\)_-;_-\$* \-_-;_-@_-"/>
    <numFmt numFmtId="166" formatCode="0.0%;[RED]\(0.0%\);\-"/>
    <numFmt numFmtId="167" formatCode="#,##0;[RED]\(#,##0\);\-"/>
    <numFmt numFmtId="168" formatCode="0.0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0"/>
      <charset val="1"/>
    </font>
    <font>
      <i val="true"/>
      <sz val="12"/>
      <color rgb="FF40404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60606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double"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7" min="3" style="0" width="18"/>
    <col collapsed="false" customWidth="true" hidden="false" outlineLevel="0" max="8" min="8" style="0" width="3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4" t="s">
        <v>7</v>
      </c>
    </row>
    <row r="9" customFormat="false" ht="15" hidden="false" customHeight="false" outlineLevel="0" collapsed="false">
      <c r="B9" s="5" t="s">
        <v>8</v>
      </c>
      <c r="C9" s="5"/>
      <c r="D9" s="5"/>
      <c r="E9" s="5"/>
      <c r="F9" s="5"/>
      <c r="G9" s="5"/>
    </row>
    <row r="11" customFormat="false" ht="18" hidden="false" customHeight="true" outlineLevel="0" collapsed="false">
      <c r="B11" s="6" t="s">
        <v>9</v>
      </c>
      <c r="C11" s="7" t="s">
        <v>10</v>
      </c>
      <c r="D11" s="7"/>
      <c r="E11" s="7"/>
      <c r="F11" s="7"/>
      <c r="G11" s="7"/>
    </row>
    <row r="12" customFormat="false" ht="18" hidden="false" customHeight="true" outlineLevel="0" collapsed="false">
      <c r="B12" s="6" t="s">
        <v>11</v>
      </c>
      <c r="C12" s="7" t="s">
        <v>12</v>
      </c>
      <c r="D12" s="7"/>
      <c r="E12" s="7"/>
      <c r="F12" s="7"/>
      <c r="G12" s="7"/>
    </row>
    <row r="13" customFormat="false" ht="18" hidden="false" customHeight="true" outlineLevel="0" collapsed="false">
      <c r="B13" s="6" t="s">
        <v>13</v>
      </c>
      <c r="C13" s="7" t="s">
        <v>14</v>
      </c>
      <c r="D13" s="7"/>
      <c r="E13" s="7"/>
      <c r="F13" s="7"/>
      <c r="G13" s="7"/>
    </row>
    <row r="14" customFormat="false" ht="18" hidden="false" customHeight="true" outlineLevel="0" collapsed="false">
      <c r="B14" s="6" t="s">
        <v>15</v>
      </c>
      <c r="C14" s="7" t="s">
        <v>16</v>
      </c>
      <c r="D14" s="7"/>
      <c r="E14" s="7"/>
      <c r="F14" s="7"/>
      <c r="G14" s="7"/>
    </row>
    <row r="15" customFormat="false" ht="18" hidden="false" customHeight="true" outlineLevel="0" collapsed="false">
      <c r="B15" s="6" t="s">
        <v>17</v>
      </c>
      <c r="C15" s="7" t="s">
        <v>18</v>
      </c>
      <c r="D15" s="7"/>
      <c r="E15" s="7"/>
      <c r="F15" s="7"/>
      <c r="G15" s="7"/>
    </row>
    <row r="16" customFormat="false" ht="18" hidden="false" customHeight="true" outlineLevel="0" collapsed="false">
      <c r="B16" s="6" t="s">
        <v>19</v>
      </c>
      <c r="C16" s="7" t="s">
        <v>20</v>
      </c>
      <c r="D16" s="7"/>
      <c r="E16" s="7"/>
      <c r="F16" s="7"/>
      <c r="G16" s="7"/>
    </row>
    <row r="19" customFormat="false" ht="15" hidden="false" customHeight="false" outlineLevel="0" collapsed="false">
      <c r="B19" s="5" t="s">
        <v>21</v>
      </c>
      <c r="C19" s="5"/>
      <c r="D19" s="5"/>
      <c r="E19" s="5"/>
      <c r="F19" s="5"/>
      <c r="G19" s="5"/>
    </row>
    <row r="21" customFormat="false" ht="15" hidden="false" customHeight="false" outlineLevel="0" collapsed="false">
      <c r="B21" s="8" t="s">
        <v>22</v>
      </c>
      <c r="C21" s="7" t="s">
        <v>23</v>
      </c>
      <c r="D21" s="7"/>
      <c r="E21" s="7"/>
      <c r="F21" s="7"/>
      <c r="G21" s="7"/>
    </row>
    <row r="22" customFormat="false" ht="15" hidden="false" customHeight="false" outlineLevel="0" collapsed="false">
      <c r="B22" s="4" t="s">
        <v>24</v>
      </c>
      <c r="C22" s="7" t="s">
        <v>25</v>
      </c>
      <c r="D22" s="7"/>
      <c r="E22" s="7"/>
      <c r="F22" s="7"/>
      <c r="G22" s="7"/>
    </row>
    <row r="23" customFormat="false" ht="15" hidden="false" customHeight="false" outlineLevel="0" collapsed="false">
      <c r="B23" s="9" t="s">
        <v>26</v>
      </c>
      <c r="C23" s="7" t="s">
        <v>27</v>
      </c>
      <c r="D23" s="7"/>
      <c r="E23" s="7"/>
      <c r="F23" s="7"/>
      <c r="G23" s="7"/>
    </row>
    <row r="24" customFormat="false" ht="15" hidden="false" customHeight="false" outlineLevel="0" collapsed="false">
      <c r="B24" s="10" t="s">
        <v>28</v>
      </c>
      <c r="C24" s="7" t="s">
        <v>29</v>
      </c>
      <c r="D24" s="7"/>
      <c r="E24" s="7"/>
      <c r="F24" s="7"/>
      <c r="G24" s="7"/>
    </row>
  </sheetData>
  <mergeCells count="14">
    <mergeCell ref="B2:G2"/>
    <mergeCell ref="B3:G3"/>
    <mergeCell ref="B9:G9"/>
    <mergeCell ref="C11:G11"/>
    <mergeCell ref="C12:G12"/>
    <mergeCell ref="C13:G13"/>
    <mergeCell ref="C14:G14"/>
    <mergeCell ref="C15:G15"/>
    <mergeCell ref="C16:G16"/>
    <mergeCell ref="B19:G19"/>
    <mergeCell ref="C21:G21"/>
    <mergeCell ref="C22:G22"/>
    <mergeCell ref="C23:G23"/>
    <mergeCell ref="C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5" min="3" style="0" width="18"/>
    <col collapsed="false" customWidth="true" hidden="false" outlineLevel="0" max="6" min="6" style="0" width="32"/>
  </cols>
  <sheetData>
    <row r="2" customFormat="false" ht="19.7" hidden="false" customHeight="false" outlineLevel="0" collapsed="false">
      <c r="B2" s="1" t="s">
        <v>9</v>
      </c>
      <c r="C2" s="1"/>
      <c r="D2" s="1"/>
      <c r="E2" s="1"/>
      <c r="F2" s="1"/>
    </row>
    <row r="4" customFormat="false" ht="15" hidden="false" customHeight="false" outlineLevel="0" collapsed="false">
      <c r="B4" s="11" t="s">
        <v>30</v>
      </c>
      <c r="C4" s="11"/>
      <c r="D4" s="11"/>
      <c r="E4" s="11"/>
      <c r="F4" s="11"/>
    </row>
    <row r="5" customFormat="false" ht="15" hidden="false" customHeight="false" outlineLevel="0" collapsed="false">
      <c r="B5" s="4" t="s">
        <v>31</v>
      </c>
      <c r="C5" s="12" t="n">
        <v>400000</v>
      </c>
      <c r="F5" s="13" t="s">
        <v>32</v>
      </c>
    </row>
    <row r="6" customFormat="false" ht="15" hidden="false" customHeight="false" outlineLevel="0" collapsed="false">
      <c r="B6" s="4" t="s">
        <v>33</v>
      </c>
      <c r="C6" s="14" t="n">
        <v>0.7</v>
      </c>
      <c r="F6" s="13" t="s">
        <v>34</v>
      </c>
    </row>
    <row r="7" customFormat="false" ht="15" hidden="false" customHeight="false" outlineLevel="0" collapsed="false">
      <c r="B7" s="4" t="s">
        <v>35</v>
      </c>
      <c r="C7" s="14" t="n">
        <v>0.1</v>
      </c>
      <c r="F7" s="13" t="s">
        <v>36</v>
      </c>
    </row>
    <row r="8" customFormat="false" ht="15" hidden="false" customHeight="false" outlineLevel="0" collapsed="false">
      <c r="B8" s="4" t="s">
        <v>37</v>
      </c>
      <c r="C8" s="14" t="n">
        <v>0.115</v>
      </c>
      <c r="F8" s="13" t="s">
        <v>38</v>
      </c>
    </row>
    <row r="9" customFormat="false" ht="15" hidden="false" customHeight="false" outlineLevel="0" collapsed="false">
      <c r="B9" s="4" t="s">
        <v>39</v>
      </c>
      <c r="C9" s="15" t="n">
        <v>10</v>
      </c>
      <c r="F9" s="13" t="s">
        <v>40</v>
      </c>
    </row>
    <row r="10" customFormat="false" ht="15" hidden="false" customHeight="false" outlineLevel="0" collapsed="false">
      <c r="B10" s="4" t="s">
        <v>41</v>
      </c>
      <c r="C10" s="14" t="n">
        <v>0.07</v>
      </c>
      <c r="F10" s="13" t="s">
        <v>42</v>
      </c>
    </row>
    <row r="11" customFormat="false" ht="15" hidden="false" customHeight="false" outlineLevel="0" collapsed="false">
      <c r="B11" s="4" t="s">
        <v>43</v>
      </c>
      <c r="C11" s="15" t="n">
        <v>3</v>
      </c>
      <c r="F11" s="13" t="s">
        <v>44</v>
      </c>
    </row>
    <row r="12" customFormat="false" ht="15" hidden="false" customHeight="false" outlineLevel="0" collapsed="false">
      <c r="B12" s="4" t="s">
        <v>45</v>
      </c>
      <c r="C12" s="16" t="n">
        <v>25000</v>
      </c>
      <c r="F12" s="13" t="s">
        <v>46</v>
      </c>
    </row>
    <row r="14" customFormat="false" ht="15" hidden="false" customHeight="false" outlineLevel="0" collapsed="false">
      <c r="B14" s="17" t="s">
        <v>47</v>
      </c>
      <c r="C14" s="18"/>
      <c r="D14" s="18"/>
      <c r="E14" s="18"/>
      <c r="F14" s="18"/>
    </row>
    <row r="15" customFormat="false" ht="15" hidden="false" customHeight="false" outlineLevel="0" collapsed="false">
      <c r="B15" s="4" t="s">
        <v>48</v>
      </c>
      <c r="C15" s="16" t="n">
        <v>1060889</v>
      </c>
      <c r="F15" s="13" t="s">
        <v>49</v>
      </c>
    </row>
    <row r="16" customFormat="false" ht="15" hidden="false" customHeight="false" outlineLevel="0" collapsed="false">
      <c r="B16" s="4" t="s">
        <v>50</v>
      </c>
      <c r="C16" s="14" t="n">
        <v>0.763</v>
      </c>
      <c r="F16" s="13" t="s">
        <v>44</v>
      </c>
    </row>
    <row r="17" customFormat="false" ht="15" hidden="false" customHeight="false" outlineLevel="0" collapsed="false">
      <c r="B17" s="4" t="s">
        <v>51</v>
      </c>
      <c r="C17" s="16" t="n">
        <v>72669</v>
      </c>
      <c r="F17" s="13" t="s">
        <v>52</v>
      </c>
    </row>
    <row r="18" customFormat="false" ht="15" hidden="false" customHeight="false" outlineLevel="0" collapsed="false">
      <c r="B18" s="4" t="s">
        <v>53</v>
      </c>
      <c r="C18" s="16" t="n">
        <v>140043</v>
      </c>
      <c r="F18" s="13" t="s">
        <v>54</v>
      </c>
    </row>
    <row r="20" customFormat="false" ht="15" hidden="false" customHeight="false" outlineLevel="0" collapsed="false">
      <c r="B20" s="17" t="s">
        <v>55</v>
      </c>
      <c r="C20" s="18"/>
      <c r="D20" s="18"/>
      <c r="E20" s="18"/>
      <c r="F20" s="18"/>
    </row>
    <row r="21" customFormat="false" ht="15" hidden="false" customHeight="false" outlineLevel="0" collapsed="false">
      <c r="B21" s="4" t="s">
        <v>56</v>
      </c>
      <c r="C21" s="16" t="n">
        <v>65000</v>
      </c>
      <c r="F21" s="13" t="s">
        <v>57</v>
      </c>
    </row>
    <row r="22" customFormat="false" ht="15" hidden="false" customHeight="false" outlineLevel="0" collapsed="false">
      <c r="B22" s="4" t="s">
        <v>58</v>
      </c>
      <c r="C22" s="14" t="n">
        <v>0.2</v>
      </c>
      <c r="F22" s="13" t="s">
        <v>59</v>
      </c>
    </row>
    <row r="23" customFormat="false" ht="15" hidden="false" customHeight="false" outlineLevel="0" collapsed="false">
      <c r="B23" s="4" t="s">
        <v>60</v>
      </c>
      <c r="C23" s="16" t="n">
        <v>25000</v>
      </c>
      <c r="F23" s="13" t="s">
        <v>61</v>
      </c>
    </row>
    <row r="24" customFormat="false" ht="15" hidden="false" customHeight="false" outlineLevel="0" collapsed="false">
      <c r="B24" s="4" t="s">
        <v>62</v>
      </c>
      <c r="C24" s="16" t="n">
        <v>0</v>
      </c>
      <c r="F24" s="13" t="s">
        <v>63</v>
      </c>
    </row>
    <row r="26" customFormat="false" ht="15" hidden="false" customHeight="false" outlineLevel="0" collapsed="false">
      <c r="B26" s="17" t="s">
        <v>64</v>
      </c>
      <c r="C26" s="18"/>
      <c r="D26" s="18"/>
      <c r="E26" s="18"/>
      <c r="F26" s="18"/>
    </row>
    <row r="27" customFormat="false" ht="15" hidden="false" customHeight="false" outlineLevel="0" collapsed="false">
      <c r="B27" s="19" t="s">
        <v>65</v>
      </c>
      <c r="C27" s="19" t="s">
        <v>66</v>
      </c>
      <c r="D27" s="19" t="s">
        <v>67</v>
      </c>
      <c r="E27" s="19" t="s">
        <v>68</v>
      </c>
    </row>
    <row r="28" customFormat="false" ht="15" hidden="false" customHeight="false" outlineLevel="0" collapsed="false">
      <c r="B28" s="3" t="s">
        <v>69</v>
      </c>
      <c r="C28" s="14" t="n">
        <v>-0.2</v>
      </c>
      <c r="D28" s="14" t="n">
        <v>-0.05</v>
      </c>
      <c r="E28" s="14" t="n">
        <v>0.79</v>
      </c>
      <c r="F28" s="13" t="s">
        <v>70</v>
      </c>
    </row>
    <row r="29" customFormat="false" ht="15" hidden="false" customHeight="false" outlineLevel="0" collapsed="false">
      <c r="B29" s="3" t="s">
        <v>71</v>
      </c>
      <c r="C29" s="14" t="n">
        <v>-0.05</v>
      </c>
      <c r="D29" s="14" t="n">
        <v>0.02</v>
      </c>
      <c r="E29" s="14" t="n">
        <v>0.76</v>
      </c>
      <c r="F29" s="13" t="s">
        <v>72</v>
      </c>
    </row>
    <row r="30" customFormat="false" ht="15" hidden="false" customHeight="false" outlineLevel="0" collapsed="false">
      <c r="B30" s="3" t="s">
        <v>73</v>
      </c>
      <c r="C30" s="14" t="n">
        <v>0.05</v>
      </c>
      <c r="D30" s="14" t="n">
        <v>0.08</v>
      </c>
      <c r="E30" s="14" t="n">
        <v>0.74</v>
      </c>
      <c r="F30" s="13" t="s">
        <v>74</v>
      </c>
    </row>
    <row r="32" customFormat="false" ht="15" hidden="false" customHeight="false" outlineLevel="0" collapsed="false">
      <c r="B32" s="17" t="s">
        <v>75</v>
      </c>
      <c r="C32" s="18"/>
      <c r="D32" s="18"/>
      <c r="E32" s="18"/>
      <c r="F32" s="18"/>
    </row>
    <row r="33" customFormat="false" ht="15" hidden="false" customHeight="false" outlineLevel="0" collapsed="false">
      <c r="B33" s="4" t="s">
        <v>76</v>
      </c>
      <c r="C33" s="15" t="n">
        <v>120</v>
      </c>
      <c r="F33" s="13" t="s">
        <v>44</v>
      </c>
    </row>
    <row r="34" customFormat="false" ht="15" hidden="false" customHeight="false" outlineLevel="0" collapsed="false">
      <c r="B34" s="4" t="s">
        <v>77</v>
      </c>
      <c r="C34" s="12" t="n">
        <v>12000</v>
      </c>
      <c r="F34" s="13" t="s">
        <v>78</v>
      </c>
    </row>
    <row r="35" customFormat="false" ht="15" hidden="false" customHeight="false" outlineLevel="0" collapsed="false">
      <c r="B35" s="4" t="s">
        <v>79</v>
      </c>
      <c r="C35" s="14" t="n">
        <v>0.7</v>
      </c>
      <c r="F35" s="13" t="s">
        <v>80</v>
      </c>
    </row>
    <row r="36" customFormat="false" ht="15" hidden="false" customHeight="false" outlineLevel="0" collapsed="false">
      <c r="B36" s="4" t="s">
        <v>81</v>
      </c>
      <c r="C36" s="16" t="n">
        <v>3600</v>
      </c>
      <c r="F36" s="13" t="s">
        <v>82</v>
      </c>
    </row>
    <row r="37" customFormat="false" ht="15" hidden="false" customHeight="false" outlineLevel="0" collapsed="false">
      <c r="B37" s="4" t="s">
        <v>83</v>
      </c>
      <c r="C37" s="14" t="n">
        <v>0.2</v>
      </c>
      <c r="F37" s="13" t="s">
        <v>84</v>
      </c>
    </row>
    <row r="38" customFormat="false" ht="15" hidden="false" customHeight="false" outlineLevel="0" collapsed="false">
      <c r="B38" s="4" t="s">
        <v>85</v>
      </c>
      <c r="C38" s="14" t="n">
        <v>0.5</v>
      </c>
      <c r="F38" s="13" t="s">
        <v>86</v>
      </c>
    </row>
    <row r="39" customFormat="false" ht="15" hidden="false" customHeight="false" outlineLevel="0" collapsed="false">
      <c r="B39" s="4" t="s">
        <v>87</v>
      </c>
      <c r="C39" s="14" t="n">
        <v>0.85</v>
      </c>
      <c r="F39" s="13" t="s">
        <v>88</v>
      </c>
    </row>
    <row r="40" customFormat="false" ht="15" hidden="false" customHeight="false" outlineLevel="0" collapsed="false">
      <c r="B40" s="4" t="s">
        <v>89</v>
      </c>
      <c r="C40" s="14" t="n">
        <v>1</v>
      </c>
      <c r="F40" s="13" t="s">
        <v>90</v>
      </c>
    </row>
    <row r="42" customFormat="false" ht="15" hidden="false" customHeight="false" outlineLevel="0" collapsed="false">
      <c r="B42" s="17" t="s">
        <v>91</v>
      </c>
      <c r="C42" s="18"/>
      <c r="D42" s="18"/>
      <c r="E42" s="18"/>
      <c r="F42" s="18"/>
    </row>
    <row r="43" customFormat="false" ht="15" hidden="false" customHeight="false" outlineLevel="0" collapsed="false">
      <c r="B43" s="19" t="s">
        <v>65</v>
      </c>
      <c r="C43" s="19" t="s">
        <v>92</v>
      </c>
    </row>
    <row r="44" customFormat="false" ht="15" hidden="false" customHeight="false" outlineLevel="0" collapsed="false">
      <c r="B44" s="3" t="s">
        <v>93</v>
      </c>
      <c r="C44" s="14" t="n">
        <v>0.05</v>
      </c>
    </row>
    <row r="45" customFormat="false" ht="15" hidden="false" customHeight="false" outlineLevel="0" collapsed="false">
      <c r="B45" s="3" t="s">
        <v>94</v>
      </c>
      <c r="C45" s="14" t="n">
        <v>0.1</v>
      </c>
    </row>
    <row r="46" customFormat="false" ht="15" hidden="false" customHeight="false" outlineLevel="0" collapsed="false">
      <c r="B46" s="3" t="s">
        <v>95</v>
      </c>
      <c r="C46" s="14" t="n">
        <v>0.15</v>
      </c>
    </row>
    <row r="47" customFormat="false" ht="15" hidden="false" customHeight="false" outlineLevel="0" collapsed="false">
      <c r="B47" s="3" t="s">
        <v>96</v>
      </c>
      <c r="C47" s="14" t="n">
        <v>0.2</v>
      </c>
    </row>
  </sheetData>
  <mergeCells count="2">
    <mergeCell ref="B2:F2"/>
    <mergeCell ref="B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7" min="3" style="0" width="16"/>
    <col collapsed="false" customWidth="true" hidden="false" outlineLevel="0" max="8" min="8" style="0" width="32"/>
  </cols>
  <sheetData>
    <row r="2" customFormat="false" ht="19.7" hidden="false" customHeight="false" outlineLevel="0" collapsed="false">
      <c r="B2" s="1" t="s">
        <v>97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1" t="s">
        <v>98</v>
      </c>
      <c r="C4" s="11"/>
      <c r="D4" s="11"/>
      <c r="E4" s="11"/>
      <c r="F4" s="11"/>
      <c r="G4" s="11"/>
    </row>
    <row r="5" customFormat="false" ht="15" hidden="false" customHeight="false" outlineLevel="0" collapsed="false">
      <c r="B5" s="3" t="s">
        <v>99</v>
      </c>
    </row>
    <row r="6" customFormat="false" ht="15" hidden="false" customHeight="false" outlineLevel="0" collapsed="false">
      <c r="B6" s="4" t="s">
        <v>31</v>
      </c>
      <c r="C6" s="20" t="n">
        <f aca="false">Assumptions!$C$5</f>
        <v>400000</v>
      </c>
    </row>
    <row r="7" customFormat="false" ht="15" hidden="false" customHeight="false" outlineLevel="0" collapsed="false">
      <c r="B7" s="4" t="s">
        <v>45</v>
      </c>
      <c r="C7" s="20" t="n">
        <f aca="false">Assumptions!$C$12</f>
        <v>25000</v>
      </c>
    </row>
    <row r="8" customFormat="false" ht="15" hidden="false" customHeight="false" outlineLevel="0" collapsed="false">
      <c r="B8" s="3" t="s">
        <v>100</v>
      </c>
      <c r="C8" s="21" t="n">
        <f aca="false">SUM(C6:C7)</f>
        <v>425000</v>
      </c>
    </row>
    <row r="10" customFormat="false" ht="15" hidden="false" customHeight="false" outlineLevel="0" collapsed="false">
      <c r="B10" s="3" t="s">
        <v>101</v>
      </c>
    </row>
    <row r="11" customFormat="false" ht="15" hidden="false" customHeight="false" outlineLevel="0" collapsed="false">
      <c r="B11" s="4" t="s">
        <v>102</v>
      </c>
      <c r="C11" s="22" t="n">
        <f aca="false">C8-C12-C13</f>
        <v>105000</v>
      </c>
    </row>
    <row r="12" customFormat="false" ht="15" hidden="false" customHeight="false" outlineLevel="0" collapsed="false">
      <c r="B12" s="4" t="s">
        <v>103</v>
      </c>
      <c r="C12" s="22" t="n">
        <f aca="false">Assumptions!$C$5*Assumptions!$C$6</f>
        <v>280000</v>
      </c>
    </row>
    <row r="13" customFormat="false" ht="15" hidden="false" customHeight="false" outlineLevel="0" collapsed="false">
      <c r="B13" s="4" t="s">
        <v>104</v>
      </c>
      <c r="C13" s="22" t="n">
        <f aca="false">Assumptions!$C$5*Assumptions!$C$7</f>
        <v>40000</v>
      </c>
    </row>
    <row r="14" customFormat="false" ht="15" hidden="false" customHeight="false" outlineLevel="0" collapsed="false">
      <c r="B14" s="3" t="s">
        <v>105</v>
      </c>
      <c r="C14" s="21" t="n">
        <f aca="false">SUM(C11:C13)</f>
        <v>425000</v>
      </c>
    </row>
    <row r="15" customFormat="false" ht="15" hidden="false" customHeight="false" outlineLevel="0" collapsed="false">
      <c r="B15" s="13" t="s">
        <v>106</v>
      </c>
      <c r="C15" s="23" t="n">
        <f aca="false">C14-C8</f>
        <v>0</v>
      </c>
    </row>
    <row r="17" customFormat="false" ht="15" hidden="false" customHeight="false" outlineLevel="0" collapsed="false">
      <c r="B17" s="11" t="s">
        <v>107</v>
      </c>
      <c r="C17" s="11"/>
      <c r="D17" s="11"/>
      <c r="E17" s="11"/>
      <c r="F17" s="11"/>
      <c r="G17" s="11"/>
    </row>
    <row r="18" customFormat="false" ht="15" hidden="false" customHeight="false" outlineLevel="0" collapsed="false">
      <c r="B18" s="4" t="s">
        <v>108</v>
      </c>
      <c r="C18" s="22" t="n">
        <f aca="false">-PMT(Assumptions!$C$8,Assumptions!$C$9,C12)</f>
        <v>48545.6188597336</v>
      </c>
    </row>
    <row r="19" customFormat="false" ht="15" hidden="false" customHeight="false" outlineLevel="0" collapsed="false">
      <c r="B19" s="4" t="s">
        <v>109</v>
      </c>
      <c r="C19" s="22" t="n">
        <f aca="false">-PMT(Assumptions!$C$10,Assumptions!$C$11,C13)</f>
        <v>15242.0666272668</v>
      </c>
    </row>
    <row r="20" customFormat="false" ht="15" hidden="false" customHeight="false" outlineLevel="0" collapsed="false">
      <c r="B20" s="3" t="s">
        <v>110</v>
      </c>
      <c r="C20" s="21" t="n">
        <f aca="false">C18+C19</f>
        <v>63787.6854870004</v>
      </c>
    </row>
    <row r="21" customFormat="false" ht="15" hidden="false" customHeight="false" outlineLevel="0" collapsed="false">
      <c r="B21" s="3" t="s">
        <v>111</v>
      </c>
      <c r="C21" s="24" t="n">
        <f aca="false">C18</f>
        <v>48545.6188597336</v>
      </c>
    </row>
    <row r="23" customFormat="false" ht="15" hidden="false" customHeight="false" outlineLevel="0" collapsed="false">
      <c r="B23" s="11" t="s">
        <v>112</v>
      </c>
      <c r="C23" s="11"/>
      <c r="D23" s="11"/>
      <c r="E23" s="11"/>
      <c r="F23" s="11"/>
      <c r="G23" s="11"/>
    </row>
    <row r="24" customFormat="false" ht="15" hidden="false" customHeight="false" outlineLevel="0" collapsed="false">
      <c r="B24" s="3" t="s">
        <v>113</v>
      </c>
      <c r="C24" s="19" t="s">
        <v>114</v>
      </c>
      <c r="D24" s="19" t="s">
        <v>115</v>
      </c>
      <c r="E24" s="19" t="s">
        <v>116</v>
      </c>
      <c r="F24" s="19" t="s">
        <v>117</v>
      </c>
      <c r="G24" s="19" t="s">
        <v>118</v>
      </c>
    </row>
    <row r="25" customFormat="false" ht="15" hidden="false" customHeight="false" outlineLevel="0" collapsed="false">
      <c r="B25" s="4" t="s">
        <v>119</v>
      </c>
      <c r="C25" s="22" t="n">
        <f aca="false">$C$18</f>
        <v>48545.6188597336</v>
      </c>
      <c r="D25" s="22" t="n">
        <f aca="false">$C$18</f>
        <v>48545.6188597336</v>
      </c>
      <c r="E25" s="22" t="n">
        <f aca="false">$C$18</f>
        <v>48545.6188597336</v>
      </c>
      <c r="F25" s="22" t="n">
        <f aca="false">$C$18</f>
        <v>48545.6188597336</v>
      </c>
      <c r="G25" s="22" t="n">
        <f aca="false">$C$18</f>
        <v>48545.6188597336</v>
      </c>
    </row>
    <row r="26" customFormat="false" ht="15" hidden="false" customHeight="false" outlineLevel="0" collapsed="false">
      <c r="B26" s="4" t="s">
        <v>120</v>
      </c>
      <c r="C26" s="22" t="n">
        <f aca="false">$C$19</f>
        <v>15242.0666272668</v>
      </c>
      <c r="D26" s="22" t="n">
        <f aca="false">$C$19</f>
        <v>15242.0666272668</v>
      </c>
      <c r="E26" s="22" t="n">
        <f aca="false">$C$19</f>
        <v>15242.0666272668</v>
      </c>
      <c r="F26" s="22" t="n">
        <v>0</v>
      </c>
      <c r="G26" s="22" t="n">
        <v>0</v>
      </c>
    </row>
    <row r="27" customFormat="false" ht="15" hidden="false" customHeight="false" outlineLevel="0" collapsed="false">
      <c r="B27" s="3" t="s">
        <v>121</v>
      </c>
      <c r="C27" s="25" t="n">
        <f aca="false">SUM(C25:C26)</f>
        <v>63787.6854870004</v>
      </c>
      <c r="D27" s="25" t="n">
        <f aca="false">SUM(D25:D26)</f>
        <v>63787.6854870004</v>
      </c>
      <c r="E27" s="25" t="n">
        <f aca="false">SUM(E25:E26)</f>
        <v>63787.6854870004</v>
      </c>
      <c r="F27" s="25" t="n">
        <f aca="false">SUM(F25:F26)</f>
        <v>48545.6188597336</v>
      </c>
      <c r="G27" s="25" t="n">
        <f aca="false">SUM(G25:G26)</f>
        <v>48545.6188597336</v>
      </c>
    </row>
  </sheetData>
  <mergeCells count="4">
    <mergeCell ref="B2:G2"/>
    <mergeCell ref="B4:G4"/>
    <mergeCell ref="B17:G17"/>
    <mergeCell ref="B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8" min="3" style="0" width="14"/>
  </cols>
  <sheetData>
    <row r="2" customFormat="false" ht="19.7" hidden="false" customHeight="false" outlineLevel="0" collapsed="false">
      <c r="B2" s="1" t="s">
        <v>122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123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17" t="s">
        <v>124</v>
      </c>
      <c r="C5" s="18"/>
      <c r="D5" s="18"/>
      <c r="E5" s="18"/>
      <c r="F5" s="18"/>
      <c r="G5" s="18"/>
      <c r="H5" s="18"/>
    </row>
    <row r="6" customFormat="false" ht="15" hidden="false" customHeight="false" outlineLevel="0" collapsed="false">
      <c r="B6" s="3"/>
      <c r="C6" s="19" t="s">
        <v>125</v>
      </c>
      <c r="D6" s="19" t="s">
        <v>114</v>
      </c>
      <c r="E6" s="19" t="s">
        <v>115</v>
      </c>
      <c r="F6" s="19" t="s">
        <v>116</v>
      </c>
      <c r="G6" s="19" t="s">
        <v>117</v>
      </c>
      <c r="H6" s="19" t="s">
        <v>118</v>
      </c>
    </row>
    <row r="7" customFormat="false" ht="15" hidden="false" customHeight="false" outlineLevel="0" collapsed="false">
      <c r="B7" s="4" t="s">
        <v>126</v>
      </c>
      <c r="C7" s="20" t="n">
        <f aca="false">Assumptions!$C$15</f>
        <v>1060889</v>
      </c>
      <c r="D7" s="22" t="n">
        <f aca="false">C7*(1+Assumptions!$C$28)</f>
        <v>848711.2</v>
      </c>
      <c r="E7" s="22" t="n">
        <f aca="false">D7*(1+Assumptions!$D$28)</f>
        <v>806275.64</v>
      </c>
      <c r="F7" s="22" t="n">
        <f aca="false">E7*(1+Assumptions!$D$28)</f>
        <v>765961.858</v>
      </c>
      <c r="G7" s="22" t="n">
        <f aca="false">F7*(1+Assumptions!$D$28)</f>
        <v>727663.7651</v>
      </c>
      <c r="H7" s="22" t="n">
        <f aca="false">G7*(1+Assumptions!$D$28)</f>
        <v>691280.576845</v>
      </c>
    </row>
    <row r="8" customFormat="false" ht="15" hidden="false" customHeight="false" outlineLevel="0" collapsed="false">
      <c r="B8" s="4" t="s">
        <v>127</v>
      </c>
      <c r="C8" s="22" t="n">
        <f aca="false">-C7*Assumptions!$C$16</f>
        <v>-809458.307</v>
      </c>
      <c r="D8" s="22" t="n">
        <f aca="false">-D7*Assumptions!$E$28</f>
        <v>-670481.848</v>
      </c>
      <c r="E8" s="22" t="n">
        <f aca="false">-E7*Assumptions!$E$28</f>
        <v>-636957.7556</v>
      </c>
      <c r="F8" s="22" t="n">
        <f aca="false">-F7*Assumptions!$E$28</f>
        <v>-605109.86782</v>
      </c>
      <c r="G8" s="22" t="n">
        <f aca="false">-G7*Assumptions!$E$28</f>
        <v>-574854.374429</v>
      </c>
      <c r="H8" s="22" t="n">
        <f aca="false">-H7*Assumptions!$E$28</f>
        <v>-546111.65570755</v>
      </c>
    </row>
    <row r="9" customFormat="false" ht="15" hidden="false" customHeight="false" outlineLevel="0" collapsed="false">
      <c r="B9" s="3" t="s">
        <v>128</v>
      </c>
      <c r="C9" s="24" t="n">
        <f aca="false">C7+C8</f>
        <v>251430.693</v>
      </c>
      <c r="D9" s="24" t="n">
        <f aca="false">D7+D8</f>
        <v>178229.352</v>
      </c>
      <c r="E9" s="24" t="n">
        <f aca="false">E7+E8</f>
        <v>169317.8844</v>
      </c>
      <c r="F9" s="24" t="n">
        <f aca="false">F7+F8</f>
        <v>160851.99018</v>
      </c>
      <c r="G9" s="24" t="n">
        <f aca="false">G7+G8</f>
        <v>152809.390671</v>
      </c>
      <c r="H9" s="24" t="n">
        <f aca="false">H7+H8</f>
        <v>145168.92113745</v>
      </c>
    </row>
    <row r="10" customFormat="false" ht="15" hidden="false" customHeight="false" outlineLevel="0" collapsed="false">
      <c r="B10" s="4" t="s">
        <v>129</v>
      </c>
      <c r="C10" s="20" t="n">
        <f aca="false">-Assumptions!$C$17</f>
        <v>-72669</v>
      </c>
      <c r="D10" s="22" t="n">
        <f aca="false">C10*(1+((D7/C7)-1)*0.5)</f>
        <v>-65402.1</v>
      </c>
      <c r="E10" s="22" t="n">
        <f aca="false">D10*(1+((E7/D7)-1)*0.5)</f>
        <v>-63767.0475</v>
      </c>
      <c r="F10" s="22" t="n">
        <f aca="false">E10*(1+((F7/E7)-1)*0.5)</f>
        <v>-62172.8713125</v>
      </c>
      <c r="G10" s="22" t="n">
        <f aca="false">F10*(1+((G7/F7)-1)*0.5)</f>
        <v>-60618.5495296875</v>
      </c>
      <c r="H10" s="22" t="n">
        <f aca="false">G10*(1+((H7/G7)-1)*0.5)</f>
        <v>-59103.0857914453</v>
      </c>
    </row>
    <row r="11" customFormat="false" ht="15" hidden="false" customHeight="false" outlineLevel="0" collapsed="false">
      <c r="B11" s="4" t="s">
        <v>130</v>
      </c>
      <c r="C11" s="26" t="n">
        <v>0</v>
      </c>
      <c r="D11" s="22" t="n">
        <f aca="false">-((Assumptions!$C$21*(1+Assumptions!$C$22))+Assumptions!$C$23)</f>
        <v>-103000</v>
      </c>
      <c r="E11" s="22" t="n">
        <f aca="false">-((Assumptions!$C$21*(1+Assumptions!$C$22))+Assumptions!$C$23)</f>
        <v>-103000</v>
      </c>
      <c r="F11" s="22" t="n">
        <f aca="false">-((Assumptions!$C$21*(1+Assumptions!$C$22))+Assumptions!$C$23)</f>
        <v>-103000</v>
      </c>
      <c r="G11" s="22" t="n">
        <f aca="false">-((Assumptions!$C$21*(1+Assumptions!$C$22))+Assumptions!$C$23)</f>
        <v>-103000</v>
      </c>
      <c r="H11" s="22" t="n">
        <f aca="false">-((Assumptions!$C$21*(1+Assumptions!$C$22))+Assumptions!$C$23)</f>
        <v>-103000</v>
      </c>
    </row>
    <row r="12" customFormat="false" ht="15" hidden="false" customHeight="false" outlineLevel="0" collapsed="false">
      <c r="B12" s="3" t="s">
        <v>131</v>
      </c>
      <c r="C12" s="25" t="n">
        <f aca="false">C9+C10+C11</f>
        <v>178761.693</v>
      </c>
      <c r="D12" s="25" t="n">
        <f aca="false">D9+D10+D11</f>
        <v>9827.25199999995</v>
      </c>
      <c r="E12" s="25" t="n">
        <f aca="false">E9+E10+E11</f>
        <v>2550.83689999998</v>
      </c>
      <c r="F12" s="25" t="n">
        <f aca="false">F9+F10+F11</f>
        <v>-4320.88113250004</v>
      </c>
      <c r="G12" s="25" t="n">
        <f aca="false">G9+G10+G11</f>
        <v>-10809.1588586875</v>
      </c>
      <c r="H12" s="25" t="n">
        <f aca="false">H9+H10+H11</f>
        <v>-16934.1646539954</v>
      </c>
    </row>
    <row r="15" customFormat="false" ht="15" hidden="false" customHeight="false" outlineLevel="0" collapsed="false">
      <c r="B15" s="17" t="s">
        <v>132</v>
      </c>
      <c r="C15" s="18"/>
      <c r="D15" s="18"/>
      <c r="E15" s="18"/>
      <c r="F15" s="18"/>
      <c r="G15" s="18"/>
      <c r="H15" s="18"/>
    </row>
    <row r="16" customFormat="false" ht="15" hidden="false" customHeight="false" outlineLevel="0" collapsed="false">
      <c r="B16" s="3"/>
      <c r="C16" s="19" t="s">
        <v>125</v>
      </c>
      <c r="D16" s="19" t="s">
        <v>114</v>
      </c>
      <c r="E16" s="19" t="s">
        <v>115</v>
      </c>
      <c r="F16" s="19" t="s">
        <v>116</v>
      </c>
      <c r="G16" s="19" t="s">
        <v>117</v>
      </c>
      <c r="H16" s="19" t="s">
        <v>118</v>
      </c>
    </row>
    <row r="17" customFormat="false" ht="15" hidden="false" customHeight="false" outlineLevel="0" collapsed="false">
      <c r="B17" s="4" t="s">
        <v>126</v>
      </c>
      <c r="C17" s="20" t="n">
        <f aca="false">Assumptions!$C$15</f>
        <v>1060889</v>
      </c>
      <c r="D17" s="22" t="n">
        <f aca="false">C17*(1+Assumptions!$C$29)</f>
        <v>1007844.55</v>
      </c>
      <c r="E17" s="22" t="n">
        <f aca="false">D17*(1+Assumptions!$D$29)</f>
        <v>1028001.441</v>
      </c>
      <c r="F17" s="22" t="n">
        <f aca="false">E17*(1+Assumptions!$D$29)</f>
        <v>1048561.46982</v>
      </c>
      <c r="G17" s="22" t="n">
        <f aca="false">F17*(1+Assumptions!$D$29)</f>
        <v>1069532.6992164</v>
      </c>
      <c r="H17" s="22" t="n">
        <f aca="false">G17*(1+Assumptions!$D$29)</f>
        <v>1090923.35320073</v>
      </c>
    </row>
    <row r="18" customFormat="false" ht="15" hidden="false" customHeight="false" outlineLevel="0" collapsed="false">
      <c r="B18" s="4" t="s">
        <v>127</v>
      </c>
      <c r="C18" s="22" t="n">
        <f aca="false">-C17*Assumptions!$C$16</f>
        <v>-809458.307</v>
      </c>
      <c r="D18" s="22" t="n">
        <f aca="false">-D17*Assumptions!$E$29</f>
        <v>-765961.858</v>
      </c>
      <c r="E18" s="22" t="n">
        <f aca="false">-E17*Assumptions!$E$29</f>
        <v>-781281.09516</v>
      </c>
      <c r="F18" s="22" t="n">
        <f aca="false">-F17*Assumptions!$E$29</f>
        <v>-796906.7170632</v>
      </c>
      <c r="G18" s="22" t="n">
        <f aca="false">-G17*Assumptions!$E$29</f>
        <v>-812844.851404464</v>
      </c>
      <c r="H18" s="22" t="n">
        <f aca="false">-H17*Assumptions!$E$29</f>
        <v>-829101.748432553</v>
      </c>
    </row>
    <row r="19" customFormat="false" ht="15" hidden="false" customHeight="false" outlineLevel="0" collapsed="false">
      <c r="B19" s="3" t="s">
        <v>128</v>
      </c>
      <c r="C19" s="24" t="n">
        <f aca="false">C17+C18</f>
        <v>251430.693</v>
      </c>
      <c r="D19" s="24" t="n">
        <f aca="false">D17+D18</f>
        <v>241882.692</v>
      </c>
      <c r="E19" s="24" t="n">
        <f aca="false">E17+E18</f>
        <v>246720.34584</v>
      </c>
      <c r="F19" s="24" t="n">
        <f aca="false">F17+F18</f>
        <v>251654.7527568</v>
      </c>
      <c r="G19" s="24" t="n">
        <f aca="false">G17+G18</f>
        <v>256687.847811936</v>
      </c>
      <c r="H19" s="24" t="n">
        <f aca="false">H17+H18</f>
        <v>261821.604768175</v>
      </c>
    </row>
    <row r="20" customFormat="false" ht="15" hidden="false" customHeight="false" outlineLevel="0" collapsed="false">
      <c r="B20" s="4" t="s">
        <v>129</v>
      </c>
      <c r="C20" s="20" t="n">
        <f aca="false">-Assumptions!$C$17</f>
        <v>-72669</v>
      </c>
      <c r="D20" s="22" t="n">
        <f aca="false">C20*(1+((D17/C17)-1)*0.5)</f>
        <v>-70852.275</v>
      </c>
      <c r="E20" s="22" t="n">
        <f aca="false">D20*(1+((E17/D17)-1)*0.5)</f>
        <v>-71560.79775</v>
      </c>
      <c r="F20" s="22" t="n">
        <f aca="false">E20*(1+((F17/E17)-1)*0.5)</f>
        <v>-72276.4057275</v>
      </c>
      <c r="G20" s="22" t="n">
        <f aca="false">F20*(1+((G17/F17)-1)*0.5)</f>
        <v>-72999.169784775</v>
      </c>
      <c r="H20" s="22" t="n">
        <f aca="false">G20*(1+((H17/G17)-1)*0.5)</f>
        <v>-73729.1614826228</v>
      </c>
    </row>
    <row r="21" customFormat="false" ht="15" hidden="false" customHeight="false" outlineLevel="0" collapsed="false">
      <c r="B21" s="4" t="s">
        <v>130</v>
      </c>
      <c r="C21" s="26" t="n">
        <v>0</v>
      </c>
      <c r="D21" s="22" t="n">
        <f aca="false">-((Assumptions!$C$21*(1+Assumptions!$C$22))+Assumptions!$C$23)</f>
        <v>-103000</v>
      </c>
      <c r="E21" s="22" t="n">
        <f aca="false">-((Assumptions!$C$21*(1+Assumptions!$C$22))+Assumptions!$C$23)</f>
        <v>-103000</v>
      </c>
      <c r="F21" s="22" t="n">
        <f aca="false">-((Assumptions!$C$21*(1+Assumptions!$C$22))+Assumptions!$C$23)</f>
        <v>-103000</v>
      </c>
      <c r="G21" s="22" t="n">
        <f aca="false">-((Assumptions!$C$21*(1+Assumptions!$C$22))+Assumptions!$C$23)</f>
        <v>-103000</v>
      </c>
      <c r="H21" s="22" t="n">
        <f aca="false">-((Assumptions!$C$21*(1+Assumptions!$C$22))+Assumptions!$C$23)</f>
        <v>-103000</v>
      </c>
    </row>
    <row r="22" customFormat="false" ht="15" hidden="false" customHeight="false" outlineLevel="0" collapsed="false">
      <c r="B22" s="3" t="s">
        <v>131</v>
      </c>
      <c r="C22" s="25" t="n">
        <f aca="false">C19+C20+C21</f>
        <v>178761.693</v>
      </c>
      <c r="D22" s="25" t="n">
        <f aca="false">D19+D20+D21</f>
        <v>68030.4169999999</v>
      </c>
      <c r="E22" s="25" t="n">
        <f aca="false">E19+E20+E21</f>
        <v>72159.54809</v>
      </c>
      <c r="F22" s="25" t="n">
        <f aca="false">F19+F20+F21</f>
        <v>76378.3470293001</v>
      </c>
      <c r="G22" s="25" t="n">
        <f aca="false">G19+G20+G21</f>
        <v>80688.6780271611</v>
      </c>
      <c r="H22" s="25" t="n">
        <f aca="false">H19+H20+H21</f>
        <v>85092.443285552</v>
      </c>
    </row>
    <row r="25" customFormat="false" ht="15" hidden="false" customHeight="false" outlineLevel="0" collapsed="false">
      <c r="B25" s="17" t="s">
        <v>133</v>
      </c>
      <c r="C25" s="18"/>
      <c r="D25" s="18"/>
      <c r="E25" s="18"/>
      <c r="F25" s="18"/>
      <c r="G25" s="18"/>
      <c r="H25" s="18"/>
    </row>
    <row r="26" customFormat="false" ht="15" hidden="false" customHeight="false" outlineLevel="0" collapsed="false">
      <c r="B26" s="3"/>
      <c r="C26" s="19" t="s">
        <v>125</v>
      </c>
      <c r="D26" s="19" t="s">
        <v>114</v>
      </c>
      <c r="E26" s="19" t="s">
        <v>115</v>
      </c>
      <c r="F26" s="19" t="s">
        <v>116</v>
      </c>
      <c r="G26" s="19" t="s">
        <v>117</v>
      </c>
      <c r="H26" s="19" t="s">
        <v>118</v>
      </c>
    </row>
    <row r="27" customFormat="false" ht="15" hidden="false" customHeight="false" outlineLevel="0" collapsed="false">
      <c r="B27" s="4" t="s">
        <v>126</v>
      </c>
      <c r="C27" s="20" t="n">
        <f aca="false">Assumptions!$C$15</f>
        <v>1060889</v>
      </c>
      <c r="D27" s="22" t="n">
        <f aca="false">C27*(1+Assumptions!$C$30)</f>
        <v>1113933.45</v>
      </c>
      <c r="E27" s="22" t="n">
        <f aca="false">D27*(1+Assumptions!$D$30)</f>
        <v>1203048.126</v>
      </c>
      <c r="F27" s="22" t="n">
        <f aca="false">E27*(1+Assumptions!$D$30)</f>
        <v>1299291.97608</v>
      </c>
      <c r="G27" s="22" t="n">
        <f aca="false">F27*(1+Assumptions!$D$30)</f>
        <v>1403235.3341664</v>
      </c>
      <c r="H27" s="22" t="n">
        <f aca="false">G27*(1+Assumptions!$D$30)</f>
        <v>1515494.16089971</v>
      </c>
    </row>
    <row r="28" customFormat="false" ht="15" hidden="false" customHeight="false" outlineLevel="0" collapsed="false">
      <c r="B28" s="4" t="s">
        <v>127</v>
      </c>
      <c r="C28" s="22" t="n">
        <f aca="false">-C27*Assumptions!$C$16</f>
        <v>-809458.307</v>
      </c>
      <c r="D28" s="22" t="n">
        <f aca="false">-D27*Assumptions!$E$30</f>
        <v>-824310.753</v>
      </c>
      <c r="E28" s="22" t="n">
        <f aca="false">-E27*Assumptions!$E$30</f>
        <v>-890255.61324</v>
      </c>
      <c r="F28" s="22" t="n">
        <f aca="false">-F27*Assumptions!$E$30</f>
        <v>-961476.0622992</v>
      </c>
      <c r="G28" s="22" t="n">
        <f aca="false">-G27*Assumptions!$E$30</f>
        <v>-1038394.14728314</v>
      </c>
      <c r="H28" s="22" t="n">
        <f aca="false">-H27*Assumptions!$E$30</f>
        <v>-1121465.67906579</v>
      </c>
    </row>
    <row r="29" customFormat="false" ht="15" hidden="false" customHeight="false" outlineLevel="0" collapsed="false">
      <c r="B29" s="3" t="s">
        <v>128</v>
      </c>
      <c r="C29" s="24" t="n">
        <f aca="false">C27+C28</f>
        <v>251430.693</v>
      </c>
      <c r="D29" s="24" t="n">
        <f aca="false">D27+D28</f>
        <v>289622.697</v>
      </c>
      <c r="E29" s="24" t="n">
        <f aca="false">E27+E28</f>
        <v>312792.51276</v>
      </c>
      <c r="F29" s="24" t="n">
        <f aca="false">F27+F28</f>
        <v>337815.9137808</v>
      </c>
      <c r="G29" s="24" t="n">
        <f aca="false">G27+G28</f>
        <v>364841.186883264</v>
      </c>
      <c r="H29" s="24" t="n">
        <f aca="false">H27+H28</f>
        <v>394028.481833925</v>
      </c>
    </row>
    <row r="30" customFormat="false" ht="15" hidden="false" customHeight="false" outlineLevel="0" collapsed="false">
      <c r="B30" s="4" t="s">
        <v>129</v>
      </c>
      <c r="C30" s="20" t="n">
        <f aca="false">-Assumptions!$C$17</f>
        <v>-72669</v>
      </c>
      <c r="D30" s="22" t="n">
        <f aca="false">C30*(1+((D27/C27)-1)*0.5)</f>
        <v>-74485.725</v>
      </c>
      <c r="E30" s="22" t="n">
        <f aca="false">D30*(1+((E27/D27)-1)*0.5)</f>
        <v>-77465.154</v>
      </c>
      <c r="F30" s="22" t="n">
        <f aca="false">E30*(1+((F27/E27)-1)*0.5)</f>
        <v>-80563.76016</v>
      </c>
      <c r="G30" s="22" t="n">
        <f aca="false">F30*(1+((G27/F27)-1)*0.5)</f>
        <v>-83786.3105664</v>
      </c>
      <c r="H30" s="22" t="n">
        <f aca="false">G30*(1+((H27/G27)-1)*0.5)</f>
        <v>-87137.762989056</v>
      </c>
    </row>
    <row r="31" customFormat="false" ht="15" hidden="false" customHeight="false" outlineLevel="0" collapsed="false">
      <c r="B31" s="4" t="s">
        <v>130</v>
      </c>
      <c r="C31" s="26" t="n">
        <v>0</v>
      </c>
      <c r="D31" s="22" t="n">
        <f aca="false">-((Assumptions!$C$21*(1+Assumptions!$C$22))+Assumptions!$C$23)</f>
        <v>-103000</v>
      </c>
      <c r="E31" s="22" t="n">
        <f aca="false">-((Assumptions!$C$21*(1+Assumptions!$C$22))+Assumptions!$C$23)</f>
        <v>-103000</v>
      </c>
      <c r="F31" s="22" t="n">
        <f aca="false">-((Assumptions!$C$21*(1+Assumptions!$C$22))+Assumptions!$C$23)</f>
        <v>-103000</v>
      </c>
      <c r="G31" s="22" t="n">
        <f aca="false">-((Assumptions!$C$21*(1+Assumptions!$C$22))+Assumptions!$C$23)</f>
        <v>-103000</v>
      </c>
      <c r="H31" s="22" t="n">
        <f aca="false">-((Assumptions!$C$21*(1+Assumptions!$C$22))+Assumptions!$C$23)</f>
        <v>-103000</v>
      </c>
    </row>
    <row r="32" customFormat="false" ht="15" hidden="false" customHeight="false" outlineLevel="0" collapsed="false">
      <c r="B32" s="3" t="s">
        <v>131</v>
      </c>
      <c r="C32" s="25" t="n">
        <f aca="false">C29+C30+C31</f>
        <v>178761.693</v>
      </c>
      <c r="D32" s="25" t="n">
        <f aca="false">D29+D30+D31</f>
        <v>112136.972</v>
      </c>
      <c r="E32" s="25" t="n">
        <f aca="false">E29+E30+E31</f>
        <v>132327.35876</v>
      </c>
      <c r="F32" s="25" t="n">
        <f aca="false">F29+F30+F31</f>
        <v>154252.1536208</v>
      </c>
      <c r="G32" s="25" t="n">
        <f aca="false">G29+G30+G31</f>
        <v>178054.876316864</v>
      </c>
      <c r="H32" s="25" t="n">
        <f aca="false">H29+H30+H31</f>
        <v>203890.718844869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8" min="3" style="0" width="14"/>
  </cols>
  <sheetData>
    <row r="2" customFormat="false" ht="19.7" hidden="false" customHeight="false" outlineLevel="0" collapsed="false">
      <c r="B2" s="1" t="s">
        <v>134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135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17" t="s">
        <v>136</v>
      </c>
      <c r="C5" s="18"/>
      <c r="D5" s="18"/>
      <c r="E5" s="18"/>
      <c r="F5" s="18"/>
      <c r="G5" s="18"/>
      <c r="H5" s="18"/>
    </row>
    <row r="6" customFormat="false" ht="15" hidden="false" customHeight="false" outlineLevel="0" collapsed="false">
      <c r="B6" s="3"/>
      <c r="C6" s="19" t="s">
        <v>114</v>
      </c>
      <c r="D6" s="19" t="s">
        <v>115</v>
      </c>
      <c r="E6" s="19" t="s">
        <v>116</v>
      </c>
      <c r="F6" s="19" t="s">
        <v>117</v>
      </c>
      <c r="G6" s="19" t="s">
        <v>118</v>
      </c>
    </row>
    <row r="7" customFormat="false" ht="15" hidden="false" customHeight="false" outlineLevel="0" collapsed="false">
      <c r="B7" s="4" t="s">
        <v>137</v>
      </c>
      <c r="C7" s="27" t="n">
        <f aca="false">Assumptions!$C$33*Assumptions!$C$44</f>
        <v>6</v>
      </c>
      <c r="D7" s="27" t="n">
        <f aca="false">Assumptions!$C$33*Assumptions!$C$44</f>
        <v>6</v>
      </c>
      <c r="E7" s="27" t="n">
        <f aca="false">Assumptions!$C$33*Assumptions!$C$44</f>
        <v>6</v>
      </c>
      <c r="F7" s="27" t="n">
        <f aca="false">Assumptions!$C$33*Assumptions!$C$44</f>
        <v>6</v>
      </c>
      <c r="G7" s="27" t="n">
        <f aca="false">Assumptions!$C$33*Assumptions!$C$44</f>
        <v>6</v>
      </c>
    </row>
    <row r="8" customFormat="false" ht="15" hidden="false" customHeight="false" outlineLevel="0" collapsed="false">
      <c r="B8" s="4" t="s">
        <v>138</v>
      </c>
      <c r="C8" s="27" t="n">
        <f aca="false">C7*Assumptions!$C$38</f>
        <v>3</v>
      </c>
      <c r="D8" s="27" t="n">
        <f aca="false">D7*Assumptions!$C$39</f>
        <v>5.1</v>
      </c>
      <c r="E8" s="27" t="n">
        <f aca="false">E7*Assumptions!$C$40</f>
        <v>6</v>
      </c>
      <c r="F8" s="27" t="n">
        <f aca="false">F7*Assumptions!$C$40</f>
        <v>6</v>
      </c>
      <c r="G8" s="27" t="n">
        <f aca="false">G7*Assumptions!$C$40</f>
        <v>6</v>
      </c>
    </row>
    <row r="9" customFormat="false" ht="15" hidden="false" customHeight="false" outlineLevel="0" collapsed="false">
      <c r="B9" s="4" t="s">
        <v>139</v>
      </c>
      <c r="C9" s="22" t="n">
        <f aca="false">C8*Assumptions!$C$34</f>
        <v>36000</v>
      </c>
      <c r="D9" s="22" t="n">
        <f aca="false">D8*Assumptions!$C$34</f>
        <v>61200</v>
      </c>
      <c r="E9" s="22" t="n">
        <f aca="false">E8*Assumptions!$C$34</f>
        <v>72000</v>
      </c>
      <c r="F9" s="22" t="n">
        <f aca="false">F8*Assumptions!$C$34</f>
        <v>72000</v>
      </c>
      <c r="G9" s="22" t="n">
        <f aca="false">G8*Assumptions!$C$34</f>
        <v>72000</v>
      </c>
    </row>
    <row r="10" customFormat="false" ht="15" hidden="false" customHeight="false" outlineLevel="0" collapsed="false">
      <c r="B10" s="3" t="s">
        <v>140</v>
      </c>
      <c r="C10" s="25" t="n">
        <f aca="false">C9*Assumptions!$C$35</f>
        <v>25200</v>
      </c>
      <c r="D10" s="25" t="n">
        <f aca="false">D9*Assumptions!$C$35</f>
        <v>42840</v>
      </c>
      <c r="E10" s="25" t="n">
        <f aca="false">E9*Assumptions!$C$35</f>
        <v>50400</v>
      </c>
      <c r="F10" s="25" t="n">
        <f aca="false">F9*Assumptions!$C$35</f>
        <v>50400</v>
      </c>
      <c r="G10" s="25" t="n">
        <f aca="false">G9*Assumptions!$C$35</f>
        <v>50400</v>
      </c>
    </row>
    <row r="13" customFormat="false" ht="15" hidden="false" customHeight="false" outlineLevel="0" collapsed="false">
      <c r="B13" s="17" t="s">
        <v>141</v>
      </c>
      <c r="C13" s="18"/>
      <c r="D13" s="18"/>
      <c r="E13" s="18"/>
      <c r="F13" s="18"/>
      <c r="G13" s="18"/>
      <c r="H13" s="18"/>
    </row>
    <row r="14" customFormat="false" ht="15" hidden="false" customHeight="false" outlineLevel="0" collapsed="false">
      <c r="B14" s="3"/>
      <c r="C14" s="19" t="s">
        <v>114</v>
      </c>
      <c r="D14" s="19" t="s">
        <v>115</v>
      </c>
      <c r="E14" s="19" t="s">
        <v>116</v>
      </c>
      <c r="F14" s="19" t="s">
        <v>117</v>
      </c>
      <c r="G14" s="19" t="s">
        <v>118</v>
      </c>
    </row>
    <row r="15" customFormat="false" ht="15" hidden="false" customHeight="false" outlineLevel="0" collapsed="false">
      <c r="B15" s="4" t="s">
        <v>137</v>
      </c>
      <c r="C15" s="27" t="n">
        <f aca="false">Assumptions!$C$33*Assumptions!$C$45</f>
        <v>12</v>
      </c>
      <c r="D15" s="27" t="n">
        <f aca="false">Assumptions!$C$33*Assumptions!$C$45</f>
        <v>12</v>
      </c>
      <c r="E15" s="27" t="n">
        <f aca="false">Assumptions!$C$33*Assumptions!$C$45</f>
        <v>12</v>
      </c>
      <c r="F15" s="27" t="n">
        <f aca="false">Assumptions!$C$33*Assumptions!$C$45</f>
        <v>12</v>
      </c>
      <c r="G15" s="27" t="n">
        <f aca="false">Assumptions!$C$33*Assumptions!$C$45</f>
        <v>12</v>
      </c>
    </row>
    <row r="16" customFormat="false" ht="15" hidden="false" customHeight="false" outlineLevel="0" collapsed="false">
      <c r="B16" s="4" t="s">
        <v>138</v>
      </c>
      <c r="C16" s="27" t="n">
        <f aca="false">C15*Assumptions!$C$38</f>
        <v>6</v>
      </c>
      <c r="D16" s="27" t="n">
        <f aca="false">D15*Assumptions!$C$39</f>
        <v>10.2</v>
      </c>
      <c r="E16" s="27" t="n">
        <f aca="false">E15*Assumptions!$C$40</f>
        <v>12</v>
      </c>
      <c r="F16" s="27" t="n">
        <f aca="false">F15*Assumptions!$C$40</f>
        <v>12</v>
      </c>
      <c r="G16" s="27" t="n">
        <f aca="false">G15*Assumptions!$C$40</f>
        <v>12</v>
      </c>
    </row>
    <row r="17" customFormat="false" ht="15" hidden="false" customHeight="false" outlineLevel="0" collapsed="false">
      <c r="B17" s="4" t="s">
        <v>139</v>
      </c>
      <c r="C17" s="22" t="n">
        <f aca="false">C16*Assumptions!$C$34</f>
        <v>72000</v>
      </c>
      <c r="D17" s="22" t="n">
        <f aca="false">D16*Assumptions!$C$34</f>
        <v>122400</v>
      </c>
      <c r="E17" s="22" t="n">
        <f aca="false">E16*Assumptions!$C$34</f>
        <v>144000</v>
      </c>
      <c r="F17" s="22" t="n">
        <f aca="false">F16*Assumptions!$C$34</f>
        <v>144000</v>
      </c>
      <c r="G17" s="22" t="n">
        <f aca="false">G16*Assumptions!$C$34</f>
        <v>144000</v>
      </c>
    </row>
    <row r="18" customFormat="false" ht="15" hidden="false" customHeight="false" outlineLevel="0" collapsed="false">
      <c r="B18" s="3" t="s">
        <v>140</v>
      </c>
      <c r="C18" s="25" t="n">
        <f aca="false">C17*Assumptions!$C$35</f>
        <v>50400</v>
      </c>
      <c r="D18" s="25" t="n">
        <f aca="false">D17*Assumptions!$C$35</f>
        <v>85680</v>
      </c>
      <c r="E18" s="25" t="n">
        <f aca="false">E17*Assumptions!$C$35</f>
        <v>100800</v>
      </c>
      <c r="F18" s="25" t="n">
        <f aca="false">F17*Assumptions!$C$35</f>
        <v>100800</v>
      </c>
      <c r="G18" s="25" t="n">
        <f aca="false">G17*Assumptions!$C$35</f>
        <v>100800</v>
      </c>
    </row>
    <row r="21" customFormat="false" ht="15" hidden="false" customHeight="false" outlineLevel="0" collapsed="false">
      <c r="B21" s="17" t="s">
        <v>142</v>
      </c>
      <c r="C21" s="18"/>
      <c r="D21" s="18"/>
      <c r="E21" s="18"/>
      <c r="F21" s="18"/>
      <c r="G21" s="18"/>
      <c r="H21" s="18"/>
    </row>
    <row r="22" customFormat="false" ht="15" hidden="false" customHeight="false" outlineLevel="0" collapsed="false">
      <c r="B22" s="3"/>
      <c r="C22" s="19" t="s">
        <v>114</v>
      </c>
      <c r="D22" s="19" t="s">
        <v>115</v>
      </c>
      <c r="E22" s="19" t="s">
        <v>116</v>
      </c>
      <c r="F22" s="19" t="s">
        <v>117</v>
      </c>
      <c r="G22" s="19" t="s">
        <v>118</v>
      </c>
    </row>
    <row r="23" customFormat="false" ht="15" hidden="false" customHeight="false" outlineLevel="0" collapsed="false">
      <c r="B23" s="4" t="s">
        <v>137</v>
      </c>
      <c r="C23" s="27" t="n">
        <f aca="false">Assumptions!$C$33*Assumptions!$C$46</f>
        <v>18</v>
      </c>
      <c r="D23" s="27" t="n">
        <f aca="false">Assumptions!$C$33*Assumptions!$C$46</f>
        <v>18</v>
      </c>
      <c r="E23" s="27" t="n">
        <f aca="false">Assumptions!$C$33*Assumptions!$C$46</f>
        <v>18</v>
      </c>
      <c r="F23" s="27" t="n">
        <f aca="false">Assumptions!$C$33*Assumptions!$C$46</f>
        <v>18</v>
      </c>
      <c r="G23" s="27" t="n">
        <f aca="false">Assumptions!$C$33*Assumptions!$C$46</f>
        <v>18</v>
      </c>
    </row>
    <row r="24" customFormat="false" ht="15" hidden="false" customHeight="false" outlineLevel="0" collapsed="false">
      <c r="B24" s="4" t="s">
        <v>138</v>
      </c>
      <c r="C24" s="27" t="n">
        <f aca="false">C23*Assumptions!$C$38</f>
        <v>9</v>
      </c>
      <c r="D24" s="27" t="n">
        <f aca="false">D23*Assumptions!$C$39</f>
        <v>15.3</v>
      </c>
      <c r="E24" s="27" t="n">
        <f aca="false">E23*Assumptions!$C$40</f>
        <v>18</v>
      </c>
      <c r="F24" s="27" t="n">
        <f aca="false">F23*Assumptions!$C$40</f>
        <v>18</v>
      </c>
      <c r="G24" s="27" t="n">
        <f aca="false">G23*Assumptions!$C$40</f>
        <v>18</v>
      </c>
    </row>
    <row r="25" customFormat="false" ht="15" hidden="false" customHeight="false" outlineLevel="0" collapsed="false">
      <c r="B25" s="4" t="s">
        <v>139</v>
      </c>
      <c r="C25" s="22" t="n">
        <f aca="false">C24*Assumptions!$C$34</f>
        <v>108000</v>
      </c>
      <c r="D25" s="22" t="n">
        <f aca="false">D24*Assumptions!$C$34</f>
        <v>183600</v>
      </c>
      <c r="E25" s="22" t="n">
        <f aca="false">E24*Assumptions!$C$34</f>
        <v>216000</v>
      </c>
      <c r="F25" s="22" t="n">
        <f aca="false">F24*Assumptions!$C$34</f>
        <v>216000</v>
      </c>
      <c r="G25" s="22" t="n">
        <f aca="false">G24*Assumptions!$C$34</f>
        <v>216000</v>
      </c>
    </row>
    <row r="26" customFormat="false" ht="15" hidden="false" customHeight="false" outlineLevel="0" collapsed="false">
      <c r="B26" s="3" t="s">
        <v>140</v>
      </c>
      <c r="C26" s="25" t="n">
        <f aca="false">C25*Assumptions!$C$35</f>
        <v>75600</v>
      </c>
      <c r="D26" s="25" t="n">
        <f aca="false">D25*Assumptions!$C$35</f>
        <v>128520</v>
      </c>
      <c r="E26" s="25" t="n">
        <f aca="false">E25*Assumptions!$C$35</f>
        <v>151200</v>
      </c>
      <c r="F26" s="25" t="n">
        <f aca="false">F25*Assumptions!$C$35</f>
        <v>151200</v>
      </c>
      <c r="G26" s="25" t="n">
        <f aca="false">G25*Assumptions!$C$35</f>
        <v>151200</v>
      </c>
    </row>
    <row r="29" customFormat="false" ht="15" hidden="false" customHeight="false" outlineLevel="0" collapsed="false">
      <c r="B29" s="17" t="s">
        <v>143</v>
      </c>
      <c r="C29" s="18"/>
      <c r="D29" s="18"/>
      <c r="E29" s="18"/>
      <c r="F29" s="18"/>
      <c r="G29" s="18"/>
      <c r="H29" s="18"/>
    </row>
    <row r="30" customFormat="false" ht="15" hidden="false" customHeight="false" outlineLevel="0" collapsed="false">
      <c r="B30" s="3"/>
      <c r="C30" s="19" t="s">
        <v>114</v>
      </c>
      <c r="D30" s="19" t="s">
        <v>115</v>
      </c>
      <c r="E30" s="19" t="s">
        <v>116</v>
      </c>
      <c r="F30" s="19" t="s">
        <v>117</v>
      </c>
      <c r="G30" s="19" t="s">
        <v>118</v>
      </c>
    </row>
    <row r="31" customFormat="false" ht="15" hidden="false" customHeight="false" outlineLevel="0" collapsed="false">
      <c r="B31" s="4" t="s">
        <v>137</v>
      </c>
      <c r="C31" s="27" t="n">
        <f aca="false">Assumptions!$C$33*Assumptions!$C$47</f>
        <v>24</v>
      </c>
      <c r="D31" s="27" t="n">
        <f aca="false">Assumptions!$C$33*Assumptions!$C$47</f>
        <v>24</v>
      </c>
      <c r="E31" s="27" t="n">
        <f aca="false">Assumptions!$C$33*Assumptions!$C$47</f>
        <v>24</v>
      </c>
      <c r="F31" s="27" t="n">
        <f aca="false">Assumptions!$C$33*Assumptions!$C$47</f>
        <v>24</v>
      </c>
      <c r="G31" s="27" t="n">
        <f aca="false">Assumptions!$C$33*Assumptions!$C$47</f>
        <v>24</v>
      </c>
    </row>
    <row r="32" customFormat="false" ht="15" hidden="false" customHeight="false" outlineLevel="0" collapsed="false">
      <c r="B32" s="4" t="s">
        <v>138</v>
      </c>
      <c r="C32" s="27" t="n">
        <f aca="false">C31*Assumptions!$C$38</f>
        <v>12</v>
      </c>
      <c r="D32" s="27" t="n">
        <f aca="false">D31*Assumptions!$C$39</f>
        <v>20.4</v>
      </c>
      <c r="E32" s="27" t="n">
        <f aca="false">E31*Assumptions!$C$40</f>
        <v>24</v>
      </c>
      <c r="F32" s="27" t="n">
        <f aca="false">F31*Assumptions!$C$40</f>
        <v>24</v>
      </c>
      <c r="G32" s="27" t="n">
        <f aca="false">G31*Assumptions!$C$40</f>
        <v>24</v>
      </c>
    </row>
    <row r="33" customFormat="false" ht="15" hidden="false" customHeight="false" outlineLevel="0" collapsed="false">
      <c r="B33" s="4" t="s">
        <v>139</v>
      </c>
      <c r="C33" s="22" t="n">
        <f aca="false">C32*Assumptions!$C$34</f>
        <v>144000</v>
      </c>
      <c r="D33" s="22" t="n">
        <f aca="false">D32*Assumptions!$C$34</f>
        <v>244800</v>
      </c>
      <c r="E33" s="22" t="n">
        <f aca="false">E32*Assumptions!$C$34</f>
        <v>288000</v>
      </c>
      <c r="F33" s="22" t="n">
        <f aca="false">F32*Assumptions!$C$34</f>
        <v>288000</v>
      </c>
      <c r="G33" s="22" t="n">
        <f aca="false">G32*Assumptions!$C$34</f>
        <v>288000</v>
      </c>
    </row>
    <row r="34" customFormat="false" ht="15" hidden="false" customHeight="false" outlineLevel="0" collapsed="false">
      <c r="B34" s="3" t="s">
        <v>140</v>
      </c>
      <c r="C34" s="25" t="n">
        <f aca="false">C33*Assumptions!$C$35</f>
        <v>100800</v>
      </c>
      <c r="D34" s="25" t="n">
        <f aca="false">D33*Assumptions!$C$35</f>
        <v>171360</v>
      </c>
      <c r="E34" s="25" t="n">
        <f aca="false">E33*Assumptions!$C$35</f>
        <v>201600</v>
      </c>
      <c r="F34" s="25" t="n">
        <f aca="false">F33*Assumptions!$C$35</f>
        <v>201600</v>
      </c>
      <c r="G34" s="25" t="n">
        <f aca="false">G33*Assumptions!$C$35</f>
        <v>201600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9" min="3" style="0" width="14"/>
  </cols>
  <sheetData>
    <row r="2" customFormat="false" ht="19.7" hidden="false" customHeight="false" outlineLevel="0" collapsed="false">
      <c r="B2" s="1" t="s">
        <v>144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B3" s="2" t="s">
        <v>145</v>
      </c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17" t="s">
        <v>146</v>
      </c>
      <c r="C5" s="18"/>
      <c r="D5" s="18"/>
      <c r="E5" s="18"/>
      <c r="F5" s="18"/>
      <c r="G5" s="18"/>
      <c r="H5" s="18"/>
      <c r="I5" s="18"/>
    </row>
    <row r="6" customFormat="false" ht="15" hidden="false" customHeight="false" outlineLevel="0" collapsed="false">
      <c r="B6" s="3"/>
      <c r="C6" s="19" t="s">
        <v>147</v>
      </c>
      <c r="D6" s="19" t="s">
        <v>114</v>
      </c>
      <c r="E6" s="19" t="s">
        <v>115</v>
      </c>
      <c r="F6" s="19" t="s">
        <v>116</v>
      </c>
      <c r="G6" s="19" t="s">
        <v>117</v>
      </c>
      <c r="H6" s="19" t="s">
        <v>118</v>
      </c>
      <c r="I6" s="19" t="s">
        <v>148</v>
      </c>
    </row>
    <row r="7" customFormat="false" ht="15" hidden="false" customHeight="false" outlineLevel="0" collapsed="false">
      <c r="B7" s="4" t="s">
        <v>149</v>
      </c>
      <c r="C7" s="22" t="n">
        <v>0</v>
      </c>
      <c r="D7" s="20" t="n">
        <f aca="false">Print_PnL!D12</f>
        <v>9827.25199999995</v>
      </c>
      <c r="E7" s="20" t="n">
        <f aca="false">Print_PnL!E12</f>
        <v>2550.83689999998</v>
      </c>
      <c r="F7" s="20" t="n">
        <f aca="false">Print_PnL!F12</f>
        <v>-4320.88113250004</v>
      </c>
      <c r="G7" s="20" t="n">
        <f aca="false">Print_PnL!G12</f>
        <v>-10809.1588586875</v>
      </c>
      <c r="H7" s="20" t="n">
        <f aca="false">Print_PnL!H12</f>
        <v>-16934.1646539954</v>
      </c>
      <c r="I7" s="24" t="n">
        <f aca="false">SUM(D7:H7)</f>
        <v>-19686.115745183</v>
      </c>
    </row>
    <row r="8" customFormat="false" ht="15" hidden="false" customHeight="false" outlineLevel="0" collapsed="false">
      <c r="B8" s="4" t="s">
        <v>150</v>
      </c>
      <c r="C8" s="22" t="n">
        <v>0</v>
      </c>
      <c r="D8" s="20" t="n">
        <f aca="false">MD_CrossSell!C10</f>
        <v>25200</v>
      </c>
      <c r="E8" s="20" t="n">
        <f aca="false">MD_CrossSell!D10</f>
        <v>42840</v>
      </c>
      <c r="F8" s="20" t="n">
        <f aca="false">MD_CrossSell!E10</f>
        <v>50400</v>
      </c>
      <c r="G8" s="20" t="n">
        <f aca="false">MD_CrossSell!F10</f>
        <v>50400</v>
      </c>
      <c r="H8" s="20" t="n">
        <f aca="false">MD_CrossSell!G10</f>
        <v>50400</v>
      </c>
      <c r="I8" s="24" t="n">
        <f aca="false">SUM(D8:H8)</f>
        <v>219240</v>
      </c>
    </row>
    <row r="9" customFormat="false" ht="15" hidden="false" customHeight="false" outlineLevel="0" collapsed="false">
      <c r="B9" s="4" t="s">
        <v>151</v>
      </c>
      <c r="C9" s="22" t="n">
        <v>0</v>
      </c>
      <c r="D9" s="20" t="n">
        <f aca="false">-Deal_Structure!$C$27</f>
        <v>-63787.6854870004</v>
      </c>
      <c r="E9" s="20" t="n">
        <f aca="false">-Deal_Structure!$D$27</f>
        <v>-63787.6854870004</v>
      </c>
      <c r="F9" s="20" t="n">
        <f aca="false">-Deal_Structure!$E$27</f>
        <v>-63787.6854870004</v>
      </c>
      <c r="G9" s="20" t="n">
        <f aca="false">-Deal_Structure!$F$27</f>
        <v>-48545.6188597336</v>
      </c>
      <c r="H9" s="20" t="n">
        <f aca="false">-Deal_Structure!$G$27</f>
        <v>-48545.6188597336</v>
      </c>
      <c r="I9" s="24" t="n">
        <f aca="false">SUM(D9:H9)</f>
        <v>-288454.294180469</v>
      </c>
    </row>
    <row r="10" customFormat="false" ht="15" hidden="false" customHeight="false" outlineLevel="0" collapsed="false">
      <c r="B10" s="4" t="s">
        <v>152</v>
      </c>
      <c r="C10" s="20" t="n">
        <f aca="false">-Deal_Structure!$C$11</f>
        <v>-105000</v>
      </c>
      <c r="D10" s="22" t="n">
        <v>0</v>
      </c>
      <c r="E10" s="22" t="n">
        <v>0</v>
      </c>
      <c r="F10" s="22" t="n">
        <v>0</v>
      </c>
      <c r="G10" s="22" t="n">
        <v>0</v>
      </c>
      <c r="H10" s="22" t="n">
        <v>0</v>
      </c>
      <c r="I10" s="24" t="n">
        <f aca="false">C10</f>
        <v>-105000</v>
      </c>
    </row>
    <row r="11" customFormat="false" ht="15" hidden="false" customHeight="false" outlineLevel="0" collapsed="false">
      <c r="B11" s="3" t="s">
        <v>153</v>
      </c>
      <c r="C11" s="25" t="n">
        <f aca="false">SUM(C7:C10)</f>
        <v>-105000</v>
      </c>
      <c r="D11" s="25" t="n">
        <f aca="false">SUM(D7:D10)</f>
        <v>-28760.4334870005</v>
      </c>
      <c r="E11" s="25" t="n">
        <f aca="false">SUM(E7:E10)</f>
        <v>-18396.8485870005</v>
      </c>
      <c r="F11" s="25" t="n">
        <f aca="false">SUM(F7:F10)</f>
        <v>-17708.5666195005</v>
      </c>
      <c r="G11" s="25" t="n">
        <f aca="false">SUM(G7:G10)</f>
        <v>-8954.77771842115</v>
      </c>
      <c r="H11" s="25" t="n">
        <f aca="false">SUM(H7:H10)</f>
        <v>-15079.783513729</v>
      </c>
      <c r="I11" s="25" t="n">
        <f aca="false">SUM(C11:H11)</f>
        <v>-193900.409925652</v>
      </c>
    </row>
    <row r="12" customFormat="false" ht="15" hidden="false" customHeight="false" outlineLevel="0" collapsed="false">
      <c r="B12" s="4" t="s">
        <v>154</v>
      </c>
      <c r="C12" s="22" t="n">
        <f aca="false">C11</f>
        <v>-105000</v>
      </c>
      <c r="D12" s="22" t="n">
        <f aca="false">C12+D11</f>
        <v>-133760.433487</v>
      </c>
      <c r="E12" s="22" t="n">
        <f aca="false">D12+E11</f>
        <v>-152157.282074001</v>
      </c>
      <c r="F12" s="22" t="n">
        <f aca="false">E12+F11</f>
        <v>-169865.848693501</v>
      </c>
      <c r="G12" s="22" t="n">
        <f aca="false">F12+G11</f>
        <v>-178820.626411923</v>
      </c>
      <c r="H12" s="22" t="n">
        <f aca="false">G12+H11</f>
        <v>-193900.409925652</v>
      </c>
    </row>
    <row r="13" customFormat="false" ht="15" hidden="false" customHeight="false" outlineLevel="0" collapsed="false">
      <c r="B13" s="3" t="s">
        <v>155</v>
      </c>
      <c r="C13" s="28" t="str">
        <f aca="false">IFERROR(IRR(C11:H11),"NM")</f>
        <v>NM</v>
      </c>
    </row>
    <row r="14" customFormat="false" ht="15" hidden="false" customHeight="false" outlineLevel="0" collapsed="false">
      <c r="B14" s="3" t="s">
        <v>156</v>
      </c>
      <c r="C14" s="29" t="n">
        <f aca="false">IFERROR(SUM(D11:H11)/(-C10),"NM")</f>
        <v>-0.846670570720491</v>
      </c>
    </row>
    <row r="17" customFormat="false" ht="15" hidden="false" customHeight="false" outlineLevel="0" collapsed="false">
      <c r="B17" s="17" t="s">
        <v>157</v>
      </c>
      <c r="C17" s="18"/>
      <c r="D17" s="18"/>
      <c r="E17" s="18"/>
      <c r="F17" s="18"/>
      <c r="G17" s="18"/>
      <c r="H17" s="18"/>
      <c r="I17" s="18"/>
    </row>
    <row r="18" customFormat="false" ht="15" hidden="false" customHeight="false" outlineLevel="0" collapsed="false">
      <c r="B18" s="3"/>
      <c r="C18" s="19" t="s">
        <v>147</v>
      </c>
      <c r="D18" s="19" t="s">
        <v>114</v>
      </c>
      <c r="E18" s="19" t="s">
        <v>115</v>
      </c>
      <c r="F18" s="19" t="s">
        <v>116</v>
      </c>
      <c r="G18" s="19" t="s">
        <v>117</v>
      </c>
      <c r="H18" s="19" t="s">
        <v>118</v>
      </c>
      <c r="I18" s="19" t="s">
        <v>148</v>
      </c>
    </row>
    <row r="19" customFormat="false" ht="15" hidden="false" customHeight="false" outlineLevel="0" collapsed="false">
      <c r="B19" s="4" t="s">
        <v>149</v>
      </c>
      <c r="C19" s="22" t="n">
        <v>0</v>
      </c>
      <c r="D19" s="20" t="n">
        <f aca="false">Print_PnL!D22</f>
        <v>68030.4169999999</v>
      </c>
      <c r="E19" s="20" t="n">
        <f aca="false">Print_PnL!E22</f>
        <v>72159.54809</v>
      </c>
      <c r="F19" s="20" t="n">
        <f aca="false">Print_PnL!F22</f>
        <v>76378.3470293001</v>
      </c>
      <c r="G19" s="20" t="n">
        <f aca="false">Print_PnL!G22</f>
        <v>80688.6780271611</v>
      </c>
      <c r="H19" s="20" t="n">
        <f aca="false">Print_PnL!H22</f>
        <v>85092.443285552</v>
      </c>
      <c r="I19" s="24" t="n">
        <f aca="false">SUM(D19:H19)</f>
        <v>382349.433432013</v>
      </c>
    </row>
    <row r="20" customFormat="false" ht="15" hidden="false" customHeight="false" outlineLevel="0" collapsed="false">
      <c r="B20" s="4" t="s">
        <v>150</v>
      </c>
      <c r="C20" s="22" t="n">
        <v>0</v>
      </c>
      <c r="D20" s="20" t="n">
        <f aca="false">MD_CrossSell!C10</f>
        <v>25200</v>
      </c>
      <c r="E20" s="20" t="n">
        <f aca="false">MD_CrossSell!D10</f>
        <v>42840</v>
      </c>
      <c r="F20" s="20" t="n">
        <f aca="false">MD_CrossSell!E10</f>
        <v>50400</v>
      </c>
      <c r="G20" s="20" t="n">
        <f aca="false">MD_CrossSell!F10</f>
        <v>50400</v>
      </c>
      <c r="H20" s="20" t="n">
        <f aca="false">MD_CrossSell!G10</f>
        <v>50400</v>
      </c>
      <c r="I20" s="24" t="n">
        <f aca="false">SUM(D20:H20)</f>
        <v>219240</v>
      </c>
    </row>
    <row r="21" customFormat="false" ht="15" hidden="false" customHeight="false" outlineLevel="0" collapsed="false">
      <c r="B21" s="4" t="s">
        <v>151</v>
      </c>
      <c r="C21" s="22" t="n">
        <v>0</v>
      </c>
      <c r="D21" s="20" t="n">
        <f aca="false">-Deal_Structure!$C$27</f>
        <v>-63787.6854870004</v>
      </c>
      <c r="E21" s="20" t="n">
        <f aca="false">-Deal_Structure!$D$27</f>
        <v>-63787.6854870004</v>
      </c>
      <c r="F21" s="20" t="n">
        <f aca="false">-Deal_Structure!$E$27</f>
        <v>-63787.6854870004</v>
      </c>
      <c r="G21" s="20" t="n">
        <f aca="false">-Deal_Structure!$F$27</f>
        <v>-48545.6188597336</v>
      </c>
      <c r="H21" s="20" t="n">
        <f aca="false">-Deal_Structure!$G$27</f>
        <v>-48545.6188597336</v>
      </c>
      <c r="I21" s="24" t="n">
        <f aca="false">SUM(D21:H21)</f>
        <v>-288454.294180469</v>
      </c>
    </row>
    <row r="22" customFormat="false" ht="15" hidden="false" customHeight="false" outlineLevel="0" collapsed="false">
      <c r="B22" s="4" t="s">
        <v>152</v>
      </c>
      <c r="C22" s="20" t="n">
        <f aca="false">-Deal_Structure!$C$11</f>
        <v>-105000</v>
      </c>
      <c r="D22" s="22" t="n">
        <v>0</v>
      </c>
      <c r="E22" s="22" t="n">
        <v>0</v>
      </c>
      <c r="F22" s="22" t="n">
        <v>0</v>
      </c>
      <c r="G22" s="22" t="n">
        <v>0</v>
      </c>
      <c r="H22" s="22" t="n">
        <v>0</v>
      </c>
      <c r="I22" s="24" t="n">
        <f aca="false">C22</f>
        <v>-105000</v>
      </c>
    </row>
    <row r="23" customFormat="false" ht="15" hidden="false" customHeight="false" outlineLevel="0" collapsed="false">
      <c r="B23" s="3" t="s">
        <v>153</v>
      </c>
      <c r="C23" s="25" t="n">
        <f aca="false">SUM(C19:C22)</f>
        <v>-105000</v>
      </c>
      <c r="D23" s="25" t="n">
        <f aca="false">SUM(D19:D22)</f>
        <v>29442.7315129995</v>
      </c>
      <c r="E23" s="25" t="n">
        <f aca="false">SUM(E19:E22)</f>
        <v>51211.8626029995</v>
      </c>
      <c r="F23" s="25" t="n">
        <f aca="false">SUM(F19:F22)</f>
        <v>62990.6615422996</v>
      </c>
      <c r="G23" s="25" t="n">
        <f aca="false">SUM(G19:G22)</f>
        <v>82543.0591674274</v>
      </c>
      <c r="H23" s="25" t="n">
        <f aca="false">SUM(H19:H22)</f>
        <v>86946.8244258183</v>
      </c>
      <c r="I23" s="25" t="n">
        <f aca="false">SUM(C23:H23)</f>
        <v>208135.139251544</v>
      </c>
    </row>
    <row r="24" customFormat="false" ht="15" hidden="false" customHeight="false" outlineLevel="0" collapsed="false">
      <c r="B24" s="4" t="s">
        <v>154</v>
      </c>
      <c r="C24" s="22" t="n">
        <f aca="false">C23</f>
        <v>-105000</v>
      </c>
      <c r="D24" s="22" t="n">
        <f aca="false">C24+D23</f>
        <v>-75557.2684870005</v>
      </c>
      <c r="E24" s="22" t="n">
        <f aca="false">D24+E23</f>
        <v>-24345.405884001</v>
      </c>
      <c r="F24" s="22" t="n">
        <f aca="false">E24+F23</f>
        <v>38645.2556582987</v>
      </c>
      <c r="G24" s="22" t="n">
        <f aca="false">F24+G23</f>
        <v>121188.314825726</v>
      </c>
      <c r="H24" s="22" t="n">
        <f aca="false">G24+H23</f>
        <v>208135.139251544</v>
      </c>
    </row>
    <row r="25" customFormat="false" ht="15" hidden="false" customHeight="false" outlineLevel="0" collapsed="false">
      <c r="B25" s="3" t="s">
        <v>155</v>
      </c>
      <c r="C25" s="28" t="n">
        <f aca="false">IFERROR(IRR(C23:H23),"NM")</f>
        <v>0.412801669276611</v>
      </c>
    </row>
    <row r="26" customFormat="false" ht="15" hidden="false" customHeight="false" outlineLevel="0" collapsed="false">
      <c r="B26" s="3" t="s">
        <v>156</v>
      </c>
      <c r="C26" s="29" t="n">
        <f aca="false">IFERROR(SUM(D23:H23)/(-C22),"NM")</f>
        <v>2.98223942144328</v>
      </c>
    </row>
    <row r="29" customFormat="false" ht="15" hidden="false" customHeight="false" outlineLevel="0" collapsed="false">
      <c r="B29" s="17" t="s">
        <v>158</v>
      </c>
      <c r="C29" s="18"/>
      <c r="D29" s="18"/>
      <c r="E29" s="18"/>
      <c r="F29" s="18"/>
      <c r="G29" s="18"/>
      <c r="H29" s="18"/>
      <c r="I29" s="18"/>
    </row>
    <row r="30" customFormat="false" ht="15" hidden="false" customHeight="false" outlineLevel="0" collapsed="false">
      <c r="B30" s="3"/>
      <c r="C30" s="19" t="s">
        <v>147</v>
      </c>
      <c r="D30" s="19" t="s">
        <v>114</v>
      </c>
      <c r="E30" s="19" t="s">
        <v>115</v>
      </c>
      <c r="F30" s="19" t="s">
        <v>116</v>
      </c>
      <c r="G30" s="19" t="s">
        <v>117</v>
      </c>
      <c r="H30" s="19" t="s">
        <v>118</v>
      </c>
      <c r="I30" s="19" t="s">
        <v>148</v>
      </c>
    </row>
    <row r="31" customFormat="false" ht="15" hidden="false" customHeight="false" outlineLevel="0" collapsed="false">
      <c r="B31" s="4" t="s">
        <v>149</v>
      </c>
      <c r="C31" s="22" t="n">
        <v>0</v>
      </c>
      <c r="D31" s="20" t="n">
        <f aca="false">Print_PnL!D22</f>
        <v>68030.4169999999</v>
      </c>
      <c r="E31" s="20" t="n">
        <f aca="false">Print_PnL!E22</f>
        <v>72159.54809</v>
      </c>
      <c r="F31" s="20" t="n">
        <f aca="false">Print_PnL!F22</f>
        <v>76378.3470293001</v>
      </c>
      <c r="G31" s="20" t="n">
        <f aca="false">Print_PnL!G22</f>
        <v>80688.6780271611</v>
      </c>
      <c r="H31" s="20" t="n">
        <f aca="false">Print_PnL!H22</f>
        <v>85092.443285552</v>
      </c>
      <c r="I31" s="24" t="n">
        <f aca="false">SUM(D31:H31)</f>
        <v>382349.433432013</v>
      </c>
    </row>
    <row r="32" customFormat="false" ht="15" hidden="false" customHeight="false" outlineLevel="0" collapsed="false">
      <c r="B32" s="4" t="s">
        <v>150</v>
      </c>
      <c r="C32" s="22" t="n">
        <v>0</v>
      </c>
      <c r="D32" s="20" t="n">
        <f aca="false">MD_CrossSell!C18</f>
        <v>50400</v>
      </c>
      <c r="E32" s="20" t="n">
        <f aca="false">MD_CrossSell!D18</f>
        <v>85680</v>
      </c>
      <c r="F32" s="20" t="n">
        <f aca="false">MD_CrossSell!E18</f>
        <v>100800</v>
      </c>
      <c r="G32" s="20" t="n">
        <f aca="false">MD_CrossSell!F18</f>
        <v>100800</v>
      </c>
      <c r="H32" s="20" t="n">
        <f aca="false">MD_CrossSell!G18</f>
        <v>100800</v>
      </c>
      <c r="I32" s="24" t="n">
        <f aca="false">SUM(D32:H32)</f>
        <v>438480</v>
      </c>
    </row>
    <row r="33" customFormat="false" ht="15" hidden="false" customHeight="false" outlineLevel="0" collapsed="false">
      <c r="B33" s="4" t="s">
        <v>151</v>
      </c>
      <c r="C33" s="22" t="n">
        <v>0</v>
      </c>
      <c r="D33" s="20" t="n">
        <f aca="false">-Deal_Structure!$C$27</f>
        <v>-63787.6854870004</v>
      </c>
      <c r="E33" s="20" t="n">
        <f aca="false">-Deal_Structure!$D$27</f>
        <v>-63787.6854870004</v>
      </c>
      <c r="F33" s="20" t="n">
        <f aca="false">-Deal_Structure!$E$27</f>
        <v>-63787.6854870004</v>
      </c>
      <c r="G33" s="20" t="n">
        <f aca="false">-Deal_Structure!$F$27</f>
        <v>-48545.6188597336</v>
      </c>
      <c r="H33" s="20" t="n">
        <f aca="false">-Deal_Structure!$G$27</f>
        <v>-48545.6188597336</v>
      </c>
      <c r="I33" s="24" t="n">
        <f aca="false">SUM(D33:H33)</f>
        <v>-288454.294180469</v>
      </c>
    </row>
    <row r="34" customFormat="false" ht="15" hidden="false" customHeight="false" outlineLevel="0" collapsed="false">
      <c r="B34" s="4" t="s">
        <v>152</v>
      </c>
      <c r="C34" s="20" t="n">
        <f aca="false">-Deal_Structure!$C$11</f>
        <v>-105000</v>
      </c>
      <c r="D34" s="22" t="n">
        <v>0</v>
      </c>
      <c r="E34" s="22" t="n">
        <v>0</v>
      </c>
      <c r="F34" s="22" t="n">
        <v>0</v>
      </c>
      <c r="G34" s="22" t="n">
        <v>0</v>
      </c>
      <c r="H34" s="22" t="n">
        <v>0</v>
      </c>
      <c r="I34" s="24" t="n">
        <f aca="false">C34</f>
        <v>-105000</v>
      </c>
    </row>
    <row r="35" customFormat="false" ht="15" hidden="false" customHeight="false" outlineLevel="0" collapsed="false">
      <c r="B35" s="3" t="s">
        <v>153</v>
      </c>
      <c r="C35" s="25" t="n">
        <f aca="false">SUM(C31:C34)</f>
        <v>-105000</v>
      </c>
      <c r="D35" s="25" t="n">
        <f aca="false">SUM(D31:D34)</f>
        <v>54642.7315129995</v>
      </c>
      <c r="E35" s="25" t="n">
        <f aca="false">SUM(E31:E34)</f>
        <v>94051.8626029995</v>
      </c>
      <c r="F35" s="25" t="n">
        <f aca="false">SUM(F31:F34)</f>
        <v>113390.6615423</v>
      </c>
      <c r="G35" s="25" t="n">
        <f aca="false">SUM(G31:G34)</f>
        <v>132943.059167427</v>
      </c>
      <c r="H35" s="25" t="n">
        <f aca="false">SUM(H31:H34)</f>
        <v>137346.824425818</v>
      </c>
      <c r="I35" s="25" t="n">
        <f aca="false">SUM(C35:H35)</f>
        <v>427375.139251544</v>
      </c>
    </row>
    <row r="36" customFormat="false" ht="15" hidden="false" customHeight="false" outlineLevel="0" collapsed="false">
      <c r="B36" s="4" t="s">
        <v>154</v>
      </c>
      <c r="C36" s="22" t="n">
        <f aca="false">C35</f>
        <v>-105000</v>
      </c>
      <c r="D36" s="22" t="n">
        <f aca="false">C36+D35</f>
        <v>-50357.2684870005</v>
      </c>
      <c r="E36" s="22" t="n">
        <f aca="false">D36+E35</f>
        <v>43694.594115999</v>
      </c>
      <c r="F36" s="22" t="n">
        <f aca="false">E36+F35</f>
        <v>157085.255658299</v>
      </c>
      <c r="G36" s="22" t="n">
        <f aca="false">F36+G35</f>
        <v>290028.314825726</v>
      </c>
      <c r="H36" s="22" t="n">
        <f aca="false">G36+H35</f>
        <v>427375.139251544</v>
      </c>
    </row>
    <row r="37" customFormat="false" ht="15" hidden="false" customHeight="false" outlineLevel="0" collapsed="false">
      <c r="B37" s="3" t="s">
        <v>155</v>
      </c>
      <c r="C37" s="28" t="n">
        <f aca="false">IFERROR(IRR(C35:H35),"NM")</f>
        <v>0.754389324201455</v>
      </c>
    </row>
    <row r="38" customFormat="false" ht="15" hidden="false" customHeight="false" outlineLevel="0" collapsed="false">
      <c r="B38" s="3" t="s">
        <v>156</v>
      </c>
      <c r="C38" s="29" t="n">
        <f aca="false">IFERROR(SUM(D35:H35)/(-C34),"NM")</f>
        <v>5.07023942144328</v>
      </c>
    </row>
    <row r="41" customFormat="false" ht="15" hidden="false" customHeight="false" outlineLevel="0" collapsed="false">
      <c r="B41" s="17" t="s">
        <v>159</v>
      </c>
      <c r="C41" s="18"/>
      <c r="D41" s="18"/>
      <c r="E41" s="18"/>
      <c r="F41" s="18"/>
      <c r="G41" s="18"/>
      <c r="H41" s="18"/>
      <c r="I41" s="18"/>
    </row>
    <row r="42" customFormat="false" ht="15" hidden="false" customHeight="false" outlineLevel="0" collapsed="false">
      <c r="B42" s="3"/>
      <c r="C42" s="19" t="s">
        <v>147</v>
      </c>
      <c r="D42" s="19" t="s">
        <v>114</v>
      </c>
      <c r="E42" s="19" t="s">
        <v>115</v>
      </c>
      <c r="F42" s="19" t="s">
        <v>116</v>
      </c>
      <c r="G42" s="19" t="s">
        <v>117</v>
      </c>
      <c r="H42" s="19" t="s">
        <v>118</v>
      </c>
      <c r="I42" s="19" t="s">
        <v>148</v>
      </c>
    </row>
    <row r="43" customFormat="false" ht="15" hidden="false" customHeight="false" outlineLevel="0" collapsed="false">
      <c r="B43" s="4" t="s">
        <v>149</v>
      </c>
      <c r="C43" s="22" t="n">
        <v>0</v>
      </c>
      <c r="D43" s="20" t="n">
        <f aca="false">Print_PnL!D22</f>
        <v>68030.4169999999</v>
      </c>
      <c r="E43" s="20" t="n">
        <f aca="false">Print_PnL!E22</f>
        <v>72159.54809</v>
      </c>
      <c r="F43" s="20" t="n">
        <f aca="false">Print_PnL!F22</f>
        <v>76378.3470293001</v>
      </c>
      <c r="G43" s="20" t="n">
        <f aca="false">Print_PnL!G22</f>
        <v>80688.6780271611</v>
      </c>
      <c r="H43" s="20" t="n">
        <f aca="false">Print_PnL!H22</f>
        <v>85092.443285552</v>
      </c>
      <c r="I43" s="24" t="n">
        <f aca="false">SUM(D43:H43)</f>
        <v>382349.433432013</v>
      </c>
    </row>
    <row r="44" customFormat="false" ht="15" hidden="false" customHeight="false" outlineLevel="0" collapsed="false">
      <c r="B44" s="4" t="s">
        <v>150</v>
      </c>
      <c r="C44" s="22" t="n">
        <v>0</v>
      </c>
      <c r="D44" s="20" t="n">
        <f aca="false">MD_CrossSell!C26</f>
        <v>75600</v>
      </c>
      <c r="E44" s="20" t="n">
        <f aca="false">MD_CrossSell!D26</f>
        <v>128520</v>
      </c>
      <c r="F44" s="20" t="n">
        <f aca="false">MD_CrossSell!E26</f>
        <v>151200</v>
      </c>
      <c r="G44" s="20" t="n">
        <f aca="false">MD_CrossSell!F26</f>
        <v>151200</v>
      </c>
      <c r="H44" s="20" t="n">
        <f aca="false">MD_CrossSell!G26</f>
        <v>151200</v>
      </c>
      <c r="I44" s="24" t="n">
        <f aca="false">SUM(D44:H44)</f>
        <v>657720</v>
      </c>
    </row>
    <row r="45" customFormat="false" ht="15" hidden="false" customHeight="false" outlineLevel="0" collapsed="false">
      <c r="B45" s="4" t="s">
        <v>151</v>
      </c>
      <c r="C45" s="22" t="n">
        <v>0</v>
      </c>
      <c r="D45" s="20" t="n">
        <f aca="false">-Deal_Structure!$C$27</f>
        <v>-63787.6854870004</v>
      </c>
      <c r="E45" s="20" t="n">
        <f aca="false">-Deal_Structure!$D$27</f>
        <v>-63787.6854870004</v>
      </c>
      <c r="F45" s="20" t="n">
        <f aca="false">-Deal_Structure!$E$27</f>
        <v>-63787.6854870004</v>
      </c>
      <c r="G45" s="20" t="n">
        <f aca="false">-Deal_Structure!$F$27</f>
        <v>-48545.6188597336</v>
      </c>
      <c r="H45" s="20" t="n">
        <f aca="false">-Deal_Structure!$G$27</f>
        <v>-48545.6188597336</v>
      </c>
      <c r="I45" s="24" t="n">
        <f aca="false">SUM(D45:H45)</f>
        <v>-288454.294180469</v>
      </c>
    </row>
    <row r="46" customFormat="false" ht="15" hidden="false" customHeight="false" outlineLevel="0" collapsed="false">
      <c r="B46" s="4" t="s">
        <v>152</v>
      </c>
      <c r="C46" s="20" t="n">
        <f aca="false">-Deal_Structure!$C$11</f>
        <v>-105000</v>
      </c>
      <c r="D46" s="22" t="n">
        <v>0</v>
      </c>
      <c r="E46" s="22" t="n">
        <v>0</v>
      </c>
      <c r="F46" s="22" t="n">
        <v>0</v>
      </c>
      <c r="G46" s="22" t="n">
        <v>0</v>
      </c>
      <c r="H46" s="22" t="n">
        <v>0</v>
      </c>
      <c r="I46" s="24" t="n">
        <f aca="false">C46</f>
        <v>-105000</v>
      </c>
    </row>
    <row r="47" customFormat="false" ht="15" hidden="false" customHeight="false" outlineLevel="0" collapsed="false">
      <c r="B47" s="3" t="s">
        <v>153</v>
      </c>
      <c r="C47" s="25" t="n">
        <f aca="false">SUM(C43:C46)</f>
        <v>-105000</v>
      </c>
      <c r="D47" s="25" t="n">
        <f aca="false">SUM(D43:D46)</f>
        <v>79842.7315129995</v>
      </c>
      <c r="E47" s="25" t="n">
        <f aca="false">SUM(E43:E46)</f>
        <v>136891.862603</v>
      </c>
      <c r="F47" s="25" t="n">
        <f aca="false">SUM(F43:F46)</f>
        <v>163790.6615423</v>
      </c>
      <c r="G47" s="25" t="n">
        <f aca="false">SUM(G43:G46)</f>
        <v>183343.059167427</v>
      </c>
      <c r="H47" s="25" t="n">
        <f aca="false">SUM(H43:H46)</f>
        <v>187746.824425818</v>
      </c>
      <c r="I47" s="25" t="n">
        <f aca="false">SUM(C47:H47)</f>
        <v>646615.139251544</v>
      </c>
    </row>
    <row r="48" customFormat="false" ht="15" hidden="false" customHeight="false" outlineLevel="0" collapsed="false">
      <c r="B48" s="4" t="s">
        <v>154</v>
      </c>
      <c r="C48" s="22" t="n">
        <f aca="false">C47</f>
        <v>-105000</v>
      </c>
      <c r="D48" s="22" t="n">
        <f aca="false">C48+D47</f>
        <v>-25157.2684870005</v>
      </c>
      <c r="E48" s="22" t="n">
        <f aca="false">D48+E47</f>
        <v>111734.594115999</v>
      </c>
      <c r="F48" s="22" t="n">
        <f aca="false">E48+F47</f>
        <v>275525.255658299</v>
      </c>
      <c r="G48" s="22" t="n">
        <f aca="false">F48+G47</f>
        <v>458868.314825726</v>
      </c>
      <c r="H48" s="22" t="n">
        <f aca="false">G48+H47</f>
        <v>646615.139251544</v>
      </c>
    </row>
    <row r="49" customFormat="false" ht="15" hidden="false" customHeight="false" outlineLevel="0" collapsed="false">
      <c r="B49" s="3" t="s">
        <v>155</v>
      </c>
      <c r="C49" s="28" t="n">
        <f aca="false">IFERROR(IRR(C47:H47),"NM")</f>
        <v>1.05995994489066</v>
      </c>
    </row>
    <row r="50" customFormat="false" ht="15" hidden="false" customHeight="false" outlineLevel="0" collapsed="false">
      <c r="B50" s="3" t="s">
        <v>156</v>
      </c>
      <c r="C50" s="29" t="n">
        <f aca="false">IFERROR(SUM(D47:H47)/(-C46),"NM")</f>
        <v>7.15823942144328</v>
      </c>
    </row>
    <row r="53" customFormat="false" ht="15" hidden="false" customHeight="false" outlineLevel="0" collapsed="false">
      <c r="B53" s="17" t="s">
        <v>160</v>
      </c>
      <c r="C53" s="18"/>
      <c r="D53" s="18"/>
      <c r="E53" s="18"/>
      <c r="F53" s="18"/>
      <c r="G53" s="18"/>
      <c r="H53" s="18"/>
      <c r="I53" s="18"/>
    </row>
    <row r="54" customFormat="false" ht="15" hidden="false" customHeight="false" outlineLevel="0" collapsed="false">
      <c r="B54" s="3"/>
      <c r="C54" s="19" t="s">
        <v>147</v>
      </c>
      <c r="D54" s="19" t="s">
        <v>114</v>
      </c>
      <c r="E54" s="19" t="s">
        <v>115</v>
      </c>
      <c r="F54" s="19" t="s">
        <v>116</v>
      </c>
      <c r="G54" s="19" t="s">
        <v>117</v>
      </c>
      <c r="H54" s="19" t="s">
        <v>118</v>
      </c>
      <c r="I54" s="19" t="s">
        <v>148</v>
      </c>
    </row>
    <row r="55" customFormat="false" ht="15" hidden="false" customHeight="false" outlineLevel="0" collapsed="false">
      <c r="B55" s="4" t="s">
        <v>149</v>
      </c>
      <c r="C55" s="22" t="n">
        <v>0</v>
      </c>
      <c r="D55" s="20" t="n">
        <f aca="false">Print_PnL!D32</f>
        <v>112136.972</v>
      </c>
      <c r="E55" s="20" t="n">
        <f aca="false">Print_PnL!E32</f>
        <v>132327.35876</v>
      </c>
      <c r="F55" s="20" t="n">
        <f aca="false">Print_PnL!F32</f>
        <v>154252.1536208</v>
      </c>
      <c r="G55" s="20" t="n">
        <f aca="false">Print_PnL!G32</f>
        <v>178054.876316864</v>
      </c>
      <c r="H55" s="20" t="n">
        <f aca="false">Print_PnL!H32</f>
        <v>203890.718844869</v>
      </c>
      <c r="I55" s="24" t="n">
        <f aca="false">SUM(D55:H55)</f>
        <v>780662.079542533</v>
      </c>
    </row>
    <row r="56" customFormat="false" ht="15" hidden="false" customHeight="false" outlineLevel="0" collapsed="false">
      <c r="B56" s="4" t="s">
        <v>150</v>
      </c>
      <c r="C56" s="22" t="n">
        <v>0</v>
      </c>
      <c r="D56" s="20" t="n">
        <f aca="false">MD_CrossSell!C18</f>
        <v>50400</v>
      </c>
      <c r="E56" s="20" t="n">
        <f aca="false">MD_CrossSell!D18</f>
        <v>85680</v>
      </c>
      <c r="F56" s="20" t="n">
        <f aca="false">MD_CrossSell!E18</f>
        <v>100800</v>
      </c>
      <c r="G56" s="20" t="n">
        <f aca="false">MD_CrossSell!F18</f>
        <v>100800</v>
      </c>
      <c r="H56" s="20" t="n">
        <f aca="false">MD_CrossSell!G18</f>
        <v>100800</v>
      </c>
      <c r="I56" s="24" t="n">
        <f aca="false">SUM(D56:H56)</f>
        <v>438480</v>
      </c>
    </row>
    <row r="57" customFormat="false" ht="15" hidden="false" customHeight="false" outlineLevel="0" collapsed="false">
      <c r="B57" s="4" t="s">
        <v>151</v>
      </c>
      <c r="C57" s="22" t="n">
        <v>0</v>
      </c>
      <c r="D57" s="20" t="n">
        <f aca="false">-Deal_Structure!$C$27</f>
        <v>-63787.6854870004</v>
      </c>
      <c r="E57" s="20" t="n">
        <f aca="false">-Deal_Structure!$D$27</f>
        <v>-63787.6854870004</v>
      </c>
      <c r="F57" s="20" t="n">
        <f aca="false">-Deal_Structure!$E$27</f>
        <v>-63787.6854870004</v>
      </c>
      <c r="G57" s="20" t="n">
        <f aca="false">-Deal_Structure!$F$27</f>
        <v>-48545.6188597336</v>
      </c>
      <c r="H57" s="20" t="n">
        <f aca="false">-Deal_Structure!$G$27</f>
        <v>-48545.6188597336</v>
      </c>
      <c r="I57" s="24" t="n">
        <f aca="false">SUM(D57:H57)</f>
        <v>-288454.294180469</v>
      </c>
    </row>
    <row r="58" customFormat="false" ht="15" hidden="false" customHeight="false" outlineLevel="0" collapsed="false">
      <c r="B58" s="4" t="s">
        <v>152</v>
      </c>
      <c r="C58" s="20" t="n">
        <f aca="false">-Deal_Structure!$C$11</f>
        <v>-105000</v>
      </c>
      <c r="D58" s="22" t="n">
        <v>0</v>
      </c>
      <c r="E58" s="22" t="n">
        <v>0</v>
      </c>
      <c r="F58" s="22" t="n">
        <v>0</v>
      </c>
      <c r="G58" s="22" t="n">
        <v>0</v>
      </c>
      <c r="H58" s="22" t="n">
        <v>0</v>
      </c>
      <c r="I58" s="24" t="n">
        <f aca="false">C58</f>
        <v>-105000</v>
      </c>
    </row>
    <row r="59" customFormat="false" ht="15" hidden="false" customHeight="false" outlineLevel="0" collapsed="false">
      <c r="B59" s="3" t="s">
        <v>153</v>
      </c>
      <c r="C59" s="25" t="n">
        <f aca="false">SUM(C55:C58)</f>
        <v>-105000</v>
      </c>
      <c r="D59" s="25" t="n">
        <f aca="false">SUM(D55:D58)</f>
        <v>98749.2865129996</v>
      </c>
      <c r="E59" s="25" t="n">
        <f aca="false">SUM(E55:E58)</f>
        <v>154219.673273</v>
      </c>
      <c r="F59" s="25" t="n">
        <f aca="false">SUM(F55:F58)</f>
        <v>191264.4681338</v>
      </c>
      <c r="G59" s="25" t="n">
        <f aca="false">SUM(G55:G58)</f>
        <v>230309.25745713</v>
      </c>
      <c r="H59" s="25" t="n">
        <f aca="false">SUM(H55:H58)</f>
        <v>256145.099985136</v>
      </c>
      <c r="I59" s="25" t="n">
        <f aca="false">SUM(C59:H59)</f>
        <v>825687.785362065</v>
      </c>
    </row>
    <row r="60" customFormat="false" ht="15" hidden="false" customHeight="false" outlineLevel="0" collapsed="false">
      <c r="B60" s="4" t="s">
        <v>154</v>
      </c>
      <c r="C60" s="22" t="n">
        <f aca="false">C59</f>
        <v>-105000</v>
      </c>
      <c r="D60" s="22" t="n">
        <f aca="false">C60+D59</f>
        <v>-6250.71348700037</v>
      </c>
      <c r="E60" s="22" t="n">
        <f aca="false">D60+E59</f>
        <v>147968.959785999</v>
      </c>
      <c r="F60" s="22" t="n">
        <f aca="false">E60+F59</f>
        <v>339233.427919799</v>
      </c>
      <c r="G60" s="22" t="n">
        <f aca="false">F60+G59</f>
        <v>569542.685376929</v>
      </c>
      <c r="H60" s="22" t="n">
        <f aca="false">G60+H59</f>
        <v>825687.785362065</v>
      </c>
    </row>
    <row r="61" customFormat="false" ht="15" hidden="false" customHeight="false" outlineLevel="0" collapsed="false">
      <c r="B61" s="3" t="s">
        <v>155</v>
      </c>
      <c r="C61" s="28" t="n">
        <f aca="false">IFERROR(IRR(C59:H59),"NM")</f>
        <v>1.24549613304511</v>
      </c>
    </row>
    <row r="62" customFormat="false" ht="15" hidden="false" customHeight="false" outlineLevel="0" collapsed="false">
      <c r="B62" s="3" t="s">
        <v>156</v>
      </c>
      <c r="C62" s="29" t="n">
        <f aca="false">IFERROR(SUM(D59:H59)/(-C58),"NM")</f>
        <v>8.86369319392443</v>
      </c>
    </row>
    <row r="65" customFormat="false" ht="15" hidden="false" customHeight="false" outlineLevel="0" collapsed="false">
      <c r="B65" s="17" t="s">
        <v>161</v>
      </c>
      <c r="C65" s="18"/>
      <c r="D65" s="18"/>
      <c r="E65" s="18"/>
      <c r="F65" s="18"/>
      <c r="G65" s="18"/>
      <c r="H65" s="18"/>
      <c r="I65" s="18"/>
    </row>
    <row r="66" customFormat="false" ht="15" hidden="false" customHeight="false" outlineLevel="0" collapsed="false">
      <c r="B66" s="3"/>
      <c r="C66" s="19" t="s">
        <v>147</v>
      </c>
      <c r="D66" s="19" t="s">
        <v>114</v>
      </c>
      <c r="E66" s="19" t="s">
        <v>115</v>
      </c>
      <c r="F66" s="19" t="s">
        <v>116</v>
      </c>
      <c r="G66" s="19" t="s">
        <v>117</v>
      </c>
      <c r="H66" s="19" t="s">
        <v>118</v>
      </c>
      <c r="I66" s="19" t="s">
        <v>148</v>
      </c>
    </row>
    <row r="67" customFormat="false" ht="15" hidden="false" customHeight="false" outlineLevel="0" collapsed="false">
      <c r="B67" s="4" t="s">
        <v>149</v>
      </c>
      <c r="C67" s="22" t="n">
        <v>0</v>
      </c>
      <c r="D67" s="20" t="n">
        <f aca="false">Print_PnL!D32</f>
        <v>112136.972</v>
      </c>
      <c r="E67" s="20" t="n">
        <f aca="false">Print_PnL!E32</f>
        <v>132327.35876</v>
      </c>
      <c r="F67" s="20" t="n">
        <f aca="false">Print_PnL!F32</f>
        <v>154252.1536208</v>
      </c>
      <c r="G67" s="20" t="n">
        <f aca="false">Print_PnL!G32</f>
        <v>178054.876316864</v>
      </c>
      <c r="H67" s="20" t="n">
        <f aca="false">Print_PnL!H32</f>
        <v>203890.718844869</v>
      </c>
      <c r="I67" s="24" t="n">
        <f aca="false">SUM(D67:H67)</f>
        <v>780662.079542533</v>
      </c>
    </row>
    <row r="68" customFormat="false" ht="15" hidden="false" customHeight="false" outlineLevel="0" collapsed="false">
      <c r="B68" s="4" t="s">
        <v>150</v>
      </c>
      <c r="C68" s="22" t="n">
        <v>0</v>
      </c>
      <c r="D68" s="20" t="n">
        <f aca="false">MD_CrossSell!C26</f>
        <v>75600</v>
      </c>
      <c r="E68" s="20" t="n">
        <f aca="false">MD_CrossSell!D26</f>
        <v>128520</v>
      </c>
      <c r="F68" s="20" t="n">
        <f aca="false">MD_CrossSell!E26</f>
        <v>151200</v>
      </c>
      <c r="G68" s="20" t="n">
        <f aca="false">MD_CrossSell!F26</f>
        <v>151200</v>
      </c>
      <c r="H68" s="20" t="n">
        <f aca="false">MD_CrossSell!G26</f>
        <v>151200</v>
      </c>
      <c r="I68" s="24" t="n">
        <f aca="false">SUM(D68:H68)</f>
        <v>657720</v>
      </c>
    </row>
    <row r="69" customFormat="false" ht="15" hidden="false" customHeight="false" outlineLevel="0" collapsed="false">
      <c r="B69" s="4" t="s">
        <v>151</v>
      </c>
      <c r="C69" s="22" t="n">
        <v>0</v>
      </c>
      <c r="D69" s="20" t="n">
        <f aca="false">-Deal_Structure!$C$27</f>
        <v>-63787.6854870004</v>
      </c>
      <c r="E69" s="20" t="n">
        <f aca="false">-Deal_Structure!$D$27</f>
        <v>-63787.6854870004</v>
      </c>
      <c r="F69" s="20" t="n">
        <f aca="false">-Deal_Structure!$E$27</f>
        <v>-63787.6854870004</v>
      </c>
      <c r="G69" s="20" t="n">
        <f aca="false">-Deal_Structure!$F$27</f>
        <v>-48545.6188597336</v>
      </c>
      <c r="H69" s="20" t="n">
        <f aca="false">-Deal_Structure!$G$27</f>
        <v>-48545.6188597336</v>
      </c>
      <c r="I69" s="24" t="n">
        <f aca="false">SUM(D69:H69)</f>
        <v>-288454.294180469</v>
      </c>
    </row>
    <row r="70" customFormat="false" ht="15" hidden="false" customHeight="false" outlineLevel="0" collapsed="false">
      <c r="B70" s="4" t="s">
        <v>152</v>
      </c>
      <c r="C70" s="20" t="n">
        <f aca="false">-Deal_Structure!$C$11</f>
        <v>-105000</v>
      </c>
      <c r="D70" s="22" t="n">
        <v>0</v>
      </c>
      <c r="E70" s="22" t="n">
        <v>0</v>
      </c>
      <c r="F70" s="22" t="n">
        <v>0</v>
      </c>
      <c r="G70" s="22" t="n">
        <v>0</v>
      </c>
      <c r="H70" s="22" t="n">
        <v>0</v>
      </c>
      <c r="I70" s="24" t="n">
        <f aca="false">C70</f>
        <v>-105000</v>
      </c>
    </row>
    <row r="71" customFormat="false" ht="15" hidden="false" customHeight="false" outlineLevel="0" collapsed="false">
      <c r="B71" s="3" t="s">
        <v>153</v>
      </c>
      <c r="C71" s="25" t="n">
        <f aca="false">SUM(C67:C70)</f>
        <v>-105000</v>
      </c>
      <c r="D71" s="25" t="n">
        <f aca="false">SUM(D67:D70)</f>
        <v>123949.286513</v>
      </c>
      <c r="E71" s="25" t="n">
        <f aca="false">SUM(E67:E70)</f>
        <v>197059.673273</v>
      </c>
      <c r="F71" s="25" t="n">
        <f aca="false">SUM(F67:F70)</f>
        <v>241664.4681338</v>
      </c>
      <c r="G71" s="25" t="n">
        <f aca="false">SUM(G67:G70)</f>
        <v>280709.257457131</v>
      </c>
      <c r="H71" s="25" t="n">
        <f aca="false">SUM(H67:H70)</f>
        <v>306545.099985136</v>
      </c>
      <c r="I71" s="25" t="n">
        <f aca="false">SUM(C71:H71)</f>
        <v>1044927.78536206</v>
      </c>
    </row>
    <row r="72" customFormat="false" ht="15" hidden="false" customHeight="false" outlineLevel="0" collapsed="false">
      <c r="B72" s="4" t="s">
        <v>154</v>
      </c>
      <c r="C72" s="22" t="n">
        <f aca="false">C71</f>
        <v>-105000</v>
      </c>
      <c r="D72" s="22" t="n">
        <f aca="false">C72+D71</f>
        <v>18949.2865129996</v>
      </c>
      <c r="E72" s="22" t="n">
        <f aca="false">D72+E71</f>
        <v>216008.959785999</v>
      </c>
      <c r="F72" s="22" t="n">
        <f aca="false">E72+F71</f>
        <v>457673.427919799</v>
      </c>
      <c r="G72" s="22" t="n">
        <f aca="false">F72+G71</f>
        <v>738382.685376929</v>
      </c>
      <c r="H72" s="22" t="n">
        <f aca="false">G72+H71</f>
        <v>1044927.78536206</v>
      </c>
    </row>
    <row r="73" customFormat="false" ht="15" hidden="false" customHeight="false" outlineLevel="0" collapsed="false">
      <c r="B73" s="3" t="s">
        <v>155</v>
      </c>
      <c r="C73" s="28" t="n">
        <f aca="false">IFERROR(IRR(C71:H71),"NM")</f>
        <v>1.52374432165484</v>
      </c>
    </row>
    <row r="74" customFormat="false" ht="15" hidden="false" customHeight="false" outlineLevel="0" collapsed="false">
      <c r="B74" s="3" t="s">
        <v>156</v>
      </c>
      <c r="C74" s="29" t="n">
        <f aca="false">IFERROR(SUM(D71:H71)/(-C70),"NM")</f>
        <v>10.9516931939244</v>
      </c>
    </row>
    <row r="77" customFormat="false" ht="15" hidden="false" customHeight="false" outlineLevel="0" collapsed="false">
      <c r="B77" s="17" t="s">
        <v>162</v>
      </c>
      <c r="C77" s="18"/>
      <c r="D77" s="18"/>
      <c r="E77" s="18"/>
      <c r="F77" s="18"/>
      <c r="G77" s="18"/>
      <c r="H77" s="18"/>
      <c r="I77" s="18"/>
    </row>
    <row r="78" customFormat="false" ht="15" hidden="false" customHeight="false" outlineLevel="0" collapsed="false">
      <c r="B78" s="3"/>
      <c r="C78" s="19" t="s">
        <v>147</v>
      </c>
      <c r="D78" s="19" t="s">
        <v>114</v>
      </c>
      <c r="E78" s="19" t="s">
        <v>115</v>
      </c>
      <c r="F78" s="19" t="s">
        <v>116</v>
      </c>
      <c r="G78" s="19" t="s">
        <v>117</v>
      </c>
      <c r="H78" s="19" t="s">
        <v>118</v>
      </c>
      <c r="I78" s="19" t="s">
        <v>148</v>
      </c>
    </row>
    <row r="79" customFormat="false" ht="15" hidden="false" customHeight="false" outlineLevel="0" collapsed="false">
      <c r="B79" s="4" t="s">
        <v>149</v>
      </c>
      <c r="C79" s="22" t="n">
        <v>0</v>
      </c>
      <c r="D79" s="20" t="n">
        <f aca="false">Print_PnL!D32</f>
        <v>112136.972</v>
      </c>
      <c r="E79" s="20" t="n">
        <f aca="false">Print_PnL!E32</f>
        <v>132327.35876</v>
      </c>
      <c r="F79" s="20" t="n">
        <f aca="false">Print_PnL!F32</f>
        <v>154252.1536208</v>
      </c>
      <c r="G79" s="20" t="n">
        <f aca="false">Print_PnL!G32</f>
        <v>178054.876316864</v>
      </c>
      <c r="H79" s="20" t="n">
        <f aca="false">Print_PnL!H32</f>
        <v>203890.718844869</v>
      </c>
      <c r="I79" s="24" t="n">
        <f aca="false">SUM(D79:H79)</f>
        <v>780662.079542533</v>
      </c>
    </row>
    <row r="80" customFormat="false" ht="15" hidden="false" customHeight="false" outlineLevel="0" collapsed="false">
      <c r="B80" s="4" t="s">
        <v>150</v>
      </c>
      <c r="C80" s="22" t="n">
        <v>0</v>
      </c>
      <c r="D80" s="20" t="n">
        <f aca="false">MD_CrossSell!C34</f>
        <v>100800</v>
      </c>
      <c r="E80" s="20" t="n">
        <f aca="false">MD_CrossSell!D34</f>
        <v>171360</v>
      </c>
      <c r="F80" s="20" t="n">
        <f aca="false">MD_CrossSell!E34</f>
        <v>201600</v>
      </c>
      <c r="G80" s="20" t="n">
        <f aca="false">MD_CrossSell!F34</f>
        <v>201600</v>
      </c>
      <c r="H80" s="20" t="n">
        <f aca="false">MD_CrossSell!G34</f>
        <v>201600</v>
      </c>
      <c r="I80" s="24" t="n">
        <f aca="false">SUM(D80:H80)</f>
        <v>876960</v>
      </c>
    </row>
    <row r="81" customFormat="false" ht="15" hidden="false" customHeight="false" outlineLevel="0" collapsed="false">
      <c r="B81" s="4" t="s">
        <v>151</v>
      </c>
      <c r="C81" s="22" t="n">
        <v>0</v>
      </c>
      <c r="D81" s="20" t="n">
        <f aca="false">-Deal_Structure!$C$27</f>
        <v>-63787.6854870004</v>
      </c>
      <c r="E81" s="20" t="n">
        <f aca="false">-Deal_Structure!$D$27</f>
        <v>-63787.6854870004</v>
      </c>
      <c r="F81" s="20" t="n">
        <f aca="false">-Deal_Structure!$E$27</f>
        <v>-63787.6854870004</v>
      </c>
      <c r="G81" s="20" t="n">
        <f aca="false">-Deal_Structure!$F$27</f>
        <v>-48545.6188597336</v>
      </c>
      <c r="H81" s="20" t="n">
        <f aca="false">-Deal_Structure!$G$27</f>
        <v>-48545.6188597336</v>
      </c>
      <c r="I81" s="24" t="n">
        <f aca="false">SUM(D81:H81)</f>
        <v>-288454.294180469</v>
      </c>
    </row>
    <row r="82" customFormat="false" ht="15" hidden="false" customHeight="false" outlineLevel="0" collapsed="false">
      <c r="B82" s="4" t="s">
        <v>152</v>
      </c>
      <c r="C82" s="20" t="n">
        <f aca="false">-Deal_Structure!$C$11</f>
        <v>-105000</v>
      </c>
      <c r="D82" s="22" t="n">
        <v>0</v>
      </c>
      <c r="E82" s="22" t="n">
        <v>0</v>
      </c>
      <c r="F82" s="22" t="n">
        <v>0</v>
      </c>
      <c r="G82" s="22" t="n">
        <v>0</v>
      </c>
      <c r="H82" s="22" t="n">
        <v>0</v>
      </c>
      <c r="I82" s="24" t="n">
        <f aca="false">C82</f>
        <v>-105000</v>
      </c>
    </row>
    <row r="83" customFormat="false" ht="15" hidden="false" customHeight="false" outlineLevel="0" collapsed="false">
      <c r="B83" s="3" t="s">
        <v>153</v>
      </c>
      <c r="C83" s="25" t="n">
        <f aca="false">SUM(C79:C82)</f>
        <v>-105000</v>
      </c>
      <c r="D83" s="25" t="n">
        <f aca="false">SUM(D79:D82)</f>
        <v>149149.286513</v>
      </c>
      <c r="E83" s="25" t="n">
        <f aca="false">SUM(E79:E82)</f>
        <v>239899.673273</v>
      </c>
      <c r="F83" s="25" t="n">
        <f aca="false">SUM(F79:F82)</f>
        <v>292064.4681338</v>
      </c>
      <c r="G83" s="25" t="n">
        <f aca="false">SUM(G79:G82)</f>
        <v>331109.257457131</v>
      </c>
      <c r="H83" s="25" t="n">
        <f aca="false">SUM(H79:H82)</f>
        <v>356945.099985136</v>
      </c>
      <c r="I83" s="25" t="n">
        <f aca="false">SUM(C83:H83)</f>
        <v>1264167.78536206</v>
      </c>
    </row>
    <row r="84" customFormat="false" ht="15" hidden="false" customHeight="false" outlineLevel="0" collapsed="false">
      <c r="B84" s="4" t="s">
        <v>154</v>
      </c>
      <c r="C84" s="22" t="n">
        <f aca="false">C83</f>
        <v>-105000</v>
      </c>
      <c r="D84" s="22" t="n">
        <f aca="false">C84+D83</f>
        <v>44149.2865129996</v>
      </c>
      <c r="E84" s="22" t="n">
        <f aca="false">D84+E83</f>
        <v>284048.959785999</v>
      </c>
      <c r="F84" s="22" t="n">
        <f aca="false">E84+F83</f>
        <v>576113.427919799</v>
      </c>
      <c r="G84" s="22" t="n">
        <f aca="false">F84+G83</f>
        <v>907222.685376929</v>
      </c>
      <c r="H84" s="22" t="n">
        <f aca="false">G84+H83</f>
        <v>1264167.78536206</v>
      </c>
    </row>
    <row r="85" customFormat="false" ht="15" hidden="false" customHeight="false" outlineLevel="0" collapsed="false">
      <c r="B85" s="3" t="s">
        <v>155</v>
      </c>
      <c r="C85" s="28" t="n">
        <f aca="false">IFERROR(IRR(C83:H83),"NM")</f>
        <v>1.79449692900507</v>
      </c>
    </row>
    <row r="86" customFormat="false" ht="15" hidden="false" customHeight="false" outlineLevel="0" collapsed="false">
      <c r="B86" s="3" t="s">
        <v>156</v>
      </c>
      <c r="C86" s="29" t="n">
        <f aca="false">IFERROR(SUM(D83:H83)/(-C82),"NM")</f>
        <v>13.0396931939244</v>
      </c>
    </row>
    <row r="89" customFormat="false" ht="15" hidden="false" customHeight="false" outlineLevel="0" collapsed="false">
      <c r="B89" s="17" t="s">
        <v>163</v>
      </c>
      <c r="C89" s="18"/>
      <c r="D89" s="18"/>
      <c r="E89" s="18"/>
      <c r="F89" s="18"/>
      <c r="G89" s="18"/>
      <c r="H89" s="18"/>
      <c r="I89" s="18"/>
    </row>
    <row r="90" customFormat="false" ht="15" hidden="false" customHeight="false" outlineLevel="0" collapsed="false">
      <c r="B90" s="19" t="s">
        <v>164</v>
      </c>
      <c r="C90" s="19" t="s">
        <v>165</v>
      </c>
      <c r="D90" s="19" t="s">
        <v>166</v>
      </c>
      <c r="E90" s="19" t="s">
        <v>167</v>
      </c>
    </row>
    <row r="91" customFormat="false" ht="15" hidden="false" customHeight="false" outlineLevel="0" collapsed="false">
      <c r="B91" s="4" t="s">
        <v>168</v>
      </c>
      <c r="C91" s="30" t="str">
        <f aca="false">Combined_Returns!$C$13</f>
        <v>NM</v>
      </c>
      <c r="D91" s="31" t="n">
        <f aca="false">Combined_Returns!$C$14</f>
        <v>-0.846670570720491</v>
      </c>
      <c r="E91" s="20" t="n">
        <f aca="false">Combined_Returns!F11</f>
        <v>-17708.5666195005</v>
      </c>
    </row>
    <row r="92" customFormat="false" ht="15" hidden="false" customHeight="false" outlineLevel="0" collapsed="false">
      <c r="B92" s="4" t="s">
        <v>169</v>
      </c>
      <c r="C92" s="30" t="n">
        <f aca="false">Combined_Returns!$C$25</f>
        <v>0.412801669276611</v>
      </c>
      <c r="D92" s="31" t="n">
        <f aca="false">Combined_Returns!$C$26</f>
        <v>2.98223942144328</v>
      </c>
      <c r="E92" s="20" t="n">
        <f aca="false">Combined_Returns!F23</f>
        <v>62990.6615422996</v>
      </c>
    </row>
    <row r="93" customFormat="false" ht="15" hidden="false" customHeight="false" outlineLevel="0" collapsed="false">
      <c r="B93" s="4" t="s">
        <v>170</v>
      </c>
      <c r="C93" s="30" t="n">
        <f aca="false">Combined_Returns!$C$37</f>
        <v>0.754389324201455</v>
      </c>
      <c r="D93" s="31" t="n">
        <f aca="false">Combined_Returns!$C$38</f>
        <v>5.07023942144328</v>
      </c>
      <c r="E93" s="20" t="n">
        <f aca="false">Combined_Returns!F35</f>
        <v>113390.6615423</v>
      </c>
    </row>
    <row r="94" customFormat="false" ht="15" hidden="false" customHeight="false" outlineLevel="0" collapsed="false">
      <c r="B94" s="4" t="s">
        <v>171</v>
      </c>
      <c r="C94" s="30" t="n">
        <f aca="false">Combined_Returns!$C$49</f>
        <v>1.05995994489066</v>
      </c>
      <c r="D94" s="31" t="n">
        <f aca="false">Combined_Returns!$C$50</f>
        <v>7.15823942144328</v>
      </c>
      <c r="E94" s="20" t="n">
        <f aca="false">Combined_Returns!F47</f>
        <v>163790.6615423</v>
      </c>
    </row>
    <row r="95" customFormat="false" ht="15" hidden="false" customHeight="false" outlineLevel="0" collapsed="false">
      <c r="B95" s="4" t="s">
        <v>172</v>
      </c>
      <c r="C95" s="30" t="n">
        <f aca="false">Combined_Returns!$C$61</f>
        <v>1.24549613304511</v>
      </c>
      <c r="D95" s="31" t="n">
        <f aca="false">Combined_Returns!$C$62</f>
        <v>8.86369319392443</v>
      </c>
      <c r="E95" s="20" t="n">
        <f aca="false">Combined_Returns!F59</f>
        <v>191264.4681338</v>
      </c>
    </row>
    <row r="96" customFormat="false" ht="15" hidden="false" customHeight="false" outlineLevel="0" collapsed="false">
      <c r="B96" s="4" t="s">
        <v>173</v>
      </c>
      <c r="C96" s="30" t="n">
        <f aca="false">Combined_Returns!$C$73</f>
        <v>1.52374432165484</v>
      </c>
      <c r="D96" s="31" t="n">
        <f aca="false">Combined_Returns!$C$74</f>
        <v>10.9516931939244</v>
      </c>
      <c r="E96" s="20" t="n">
        <f aca="false">Combined_Returns!F71</f>
        <v>241664.4681338</v>
      </c>
    </row>
    <row r="97" customFormat="false" ht="15" hidden="false" customHeight="false" outlineLevel="0" collapsed="false">
      <c r="B97" s="4" t="s">
        <v>174</v>
      </c>
      <c r="C97" s="30" t="n">
        <f aca="false">Combined_Returns!$C$85</f>
        <v>1.79449692900507</v>
      </c>
      <c r="D97" s="31" t="n">
        <f aca="false">Combined_Returns!$C$86</f>
        <v>13.0396931939244</v>
      </c>
      <c r="E97" s="20" t="n">
        <f aca="false">Combined_Returns!F83</f>
        <v>292064.4681338</v>
      </c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7" min="3" style="0" width="14"/>
  </cols>
  <sheetData>
    <row r="2" customFormat="false" ht="19.7" hidden="false" customHeight="false" outlineLevel="0" collapsed="false">
      <c r="B2" s="1" t="s">
        <v>175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176</v>
      </c>
      <c r="C3" s="2"/>
      <c r="D3" s="2"/>
      <c r="E3" s="2"/>
      <c r="F3" s="2"/>
      <c r="G3" s="2"/>
    </row>
    <row r="5" customFormat="false" ht="15" hidden="false" customHeight="false" outlineLevel="0" collapsed="false">
      <c r="B5" s="5" t="s">
        <v>177</v>
      </c>
      <c r="C5" s="5"/>
      <c r="D5" s="5"/>
      <c r="E5" s="5"/>
      <c r="F5" s="5"/>
      <c r="G5" s="5"/>
    </row>
    <row r="6" customFormat="false" ht="15" hidden="false" customHeight="false" outlineLevel="0" collapsed="false">
      <c r="B6" s="3" t="s">
        <v>178</v>
      </c>
      <c r="C6" s="32" t="n">
        <v>0.05</v>
      </c>
      <c r="D6" s="32" t="n">
        <v>0.075</v>
      </c>
      <c r="E6" s="32" t="n">
        <v>0.1</v>
      </c>
      <c r="F6" s="32" t="n">
        <v>0.15</v>
      </c>
      <c r="G6" s="32" t="n">
        <v>0.2</v>
      </c>
    </row>
    <row r="7" customFormat="false" ht="15" hidden="false" customHeight="false" outlineLevel="0" collapsed="false">
      <c r="B7" s="33" t="n">
        <v>350000</v>
      </c>
      <c r="C7" s="34" t="n">
        <f aca="false">Print_PnL!F22+(Assumptions!$C$33*0.05*Assumptions!$C$34*Assumptions!$C$35)-(-PMT(Assumptions!$C$8,Assumptions!$C$9,350000*Assumptions!$C$6))-(-PMT(Assumptions!$C$10,Assumptions!$C$11,350000*Assumptions!$C$7))</f>
        <v>70964.1222281747</v>
      </c>
      <c r="D7" s="34" t="n">
        <f aca="false">Print_PnL!F22+(Assumptions!$C$33*0.075*Assumptions!$C$34*Assumptions!$C$35)-(-PMT(Assumptions!$C$8,Assumptions!$C$9,350000*Assumptions!$C$6))-(-PMT(Assumptions!$C$10,Assumptions!$C$11,350000*Assumptions!$C$7))</f>
        <v>96164.1222281747</v>
      </c>
      <c r="E7" s="34" t="n">
        <f aca="false">Print_PnL!F22+(Assumptions!$C$33*0.1*Assumptions!$C$34*Assumptions!$C$35)-(-PMT(Assumptions!$C$8,Assumptions!$C$9,350000*Assumptions!$C$6))-(-PMT(Assumptions!$C$10,Assumptions!$C$11,350000*Assumptions!$C$7))</f>
        <v>121364.122228175</v>
      </c>
      <c r="F7" s="34" t="n">
        <f aca="false">Print_PnL!F22+(Assumptions!$C$33*0.15*Assumptions!$C$34*Assumptions!$C$35)-(-PMT(Assumptions!$C$8,Assumptions!$C$9,350000*Assumptions!$C$6))-(-PMT(Assumptions!$C$10,Assumptions!$C$11,350000*Assumptions!$C$7))</f>
        <v>171764.122228175</v>
      </c>
      <c r="G7" s="34" t="n">
        <f aca="false">Print_PnL!F22+(Assumptions!$C$33*0.2*Assumptions!$C$34*Assumptions!$C$35)-(-PMT(Assumptions!$C$8,Assumptions!$C$9,350000*Assumptions!$C$6))-(-PMT(Assumptions!$C$10,Assumptions!$C$11,350000*Assumptions!$C$7))</f>
        <v>222164.122228175</v>
      </c>
    </row>
    <row r="8" customFormat="false" ht="15" hidden="false" customHeight="false" outlineLevel="0" collapsed="false">
      <c r="B8" s="33" t="n">
        <v>400000</v>
      </c>
      <c r="C8" s="34" t="n">
        <f aca="false">Print_PnL!F22+(Assumptions!$C$33*0.05*Assumptions!$C$34*Assumptions!$C$35)-(-PMT(Assumptions!$C$8,Assumptions!$C$9,400000*Assumptions!$C$6))-(-PMT(Assumptions!$C$10,Assumptions!$C$11,400000*Assumptions!$C$7))</f>
        <v>62990.6615422996</v>
      </c>
      <c r="D8" s="34" t="n">
        <f aca="false">Print_PnL!F22+(Assumptions!$C$33*0.075*Assumptions!$C$34*Assumptions!$C$35)-(-PMT(Assumptions!$C$8,Assumptions!$C$9,400000*Assumptions!$C$6))-(-PMT(Assumptions!$C$10,Assumptions!$C$11,400000*Assumptions!$C$7))</f>
        <v>88190.6615422996</v>
      </c>
      <c r="E8" s="34" t="n">
        <f aca="false">Print_PnL!F22+(Assumptions!$C$33*0.1*Assumptions!$C$34*Assumptions!$C$35)-(-PMT(Assumptions!$C$8,Assumptions!$C$9,400000*Assumptions!$C$6))-(-PMT(Assumptions!$C$10,Assumptions!$C$11,400000*Assumptions!$C$7))</f>
        <v>113390.6615423</v>
      </c>
      <c r="F8" s="34" t="n">
        <f aca="false">Print_PnL!F22+(Assumptions!$C$33*0.15*Assumptions!$C$34*Assumptions!$C$35)-(-PMT(Assumptions!$C$8,Assumptions!$C$9,400000*Assumptions!$C$6))-(-PMT(Assumptions!$C$10,Assumptions!$C$11,400000*Assumptions!$C$7))</f>
        <v>163790.6615423</v>
      </c>
      <c r="G8" s="34" t="n">
        <f aca="false">Print_PnL!F22+(Assumptions!$C$33*0.2*Assumptions!$C$34*Assumptions!$C$35)-(-PMT(Assumptions!$C$8,Assumptions!$C$9,400000*Assumptions!$C$6))-(-PMT(Assumptions!$C$10,Assumptions!$C$11,400000*Assumptions!$C$7))</f>
        <v>214190.6615423</v>
      </c>
    </row>
    <row r="9" customFormat="false" ht="15" hidden="false" customHeight="false" outlineLevel="0" collapsed="false">
      <c r="B9" s="33" t="n">
        <v>450000</v>
      </c>
      <c r="C9" s="34" t="n">
        <f aca="false">Print_PnL!F22+(Assumptions!$C$33*0.05*Assumptions!$C$34*Assumptions!$C$35)-(-PMT(Assumptions!$C$8,Assumptions!$C$9,450000*Assumptions!$C$6))-(-PMT(Assumptions!$C$10,Assumptions!$C$11,450000*Assumptions!$C$7))</f>
        <v>55017.2008564246</v>
      </c>
      <c r="D9" s="34" t="n">
        <f aca="false">Print_PnL!F22+(Assumptions!$C$33*0.075*Assumptions!$C$34*Assumptions!$C$35)-(-PMT(Assumptions!$C$8,Assumptions!$C$9,450000*Assumptions!$C$6))-(-PMT(Assumptions!$C$10,Assumptions!$C$11,450000*Assumptions!$C$7))</f>
        <v>80217.2008564246</v>
      </c>
      <c r="E9" s="34" t="n">
        <f aca="false">Print_PnL!F22+(Assumptions!$C$33*0.1*Assumptions!$C$34*Assumptions!$C$35)-(-PMT(Assumptions!$C$8,Assumptions!$C$9,450000*Assumptions!$C$6))-(-PMT(Assumptions!$C$10,Assumptions!$C$11,450000*Assumptions!$C$7))</f>
        <v>105417.200856425</v>
      </c>
      <c r="F9" s="34" t="n">
        <f aca="false">Print_PnL!F22+(Assumptions!$C$33*0.15*Assumptions!$C$34*Assumptions!$C$35)-(-PMT(Assumptions!$C$8,Assumptions!$C$9,450000*Assumptions!$C$6))-(-PMT(Assumptions!$C$10,Assumptions!$C$11,450000*Assumptions!$C$7))</f>
        <v>155817.200856425</v>
      </c>
      <c r="G9" s="34" t="n">
        <f aca="false">Print_PnL!F22+(Assumptions!$C$33*0.2*Assumptions!$C$34*Assumptions!$C$35)-(-PMT(Assumptions!$C$8,Assumptions!$C$9,450000*Assumptions!$C$6))-(-PMT(Assumptions!$C$10,Assumptions!$C$11,450000*Assumptions!$C$7))</f>
        <v>206217.200856425</v>
      </c>
    </row>
    <row r="10" customFormat="false" ht="15" hidden="false" customHeight="false" outlineLevel="0" collapsed="false">
      <c r="B10" s="33" t="n">
        <v>500000</v>
      </c>
      <c r="C10" s="34" t="n">
        <f aca="false">Print_PnL!F22+(Assumptions!$C$33*0.05*Assumptions!$C$34*Assumptions!$C$35)-(-PMT(Assumptions!$C$8,Assumptions!$C$9,500000*Assumptions!$C$6))-(-PMT(Assumptions!$C$10,Assumptions!$C$11,500000*Assumptions!$C$7))</f>
        <v>47043.7401705495</v>
      </c>
      <c r="D10" s="34" t="n">
        <f aca="false">Print_PnL!F22+(Assumptions!$C$33*0.075*Assumptions!$C$34*Assumptions!$C$35)-(-PMT(Assumptions!$C$8,Assumptions!$C$9,500000*Assumptions!$C$6))-(-PMT(Assumptions!$C$10,Assumptions!$C$11,500000*Assumptions!$C$7))</f>
        <v>72243.7401705495</v>
      </c>
      <c r="E10" s="34" t="n">
        <f aca="false">Print_PnL!F22+(Assumptions!$C$33*0.1*Assumptions!$C$34*Assumptions!$C$35)-(-PMT(Assumptions!$C$8,Assumptions!$C$9,500000*Assumptions!$C$6))-(-PMT(Assumptions!$C$10,Assumptions!$C$11,500000*Assumptions!$C$7))</f>
        <v>97443.7401705495</v>
      </c>
      <c r="F10" s="34" t="n">
        <f aca="false">Print_PnL!F22+(Assumptions!$C$33*0.15*Assumptions!$C$34*Assumptions!$C$35)-(-PMT(Assumptions!$C$8,Assumptions!$C$9,500000*Assumptions!$C$6))-(-PMT(Assumptions!$C$10,Assumptions!$C$11,500000*Assumptions!$C$7))</f>
        <v>147843.74017055</v>
      </c>
      <c r="G10" s="34" t="n">
        <f aca="false">Print_PnL!F22+(Assumptions!$C$33*0.2*Assumptions!$C$34*Assumptions!$C$35)-(-PMT(Assumptions!$C$8,Assumptions!$C$9,500000*Assumptions!$C$6))-(-PMT(Assumptions!$C$10,Assumptions!$C$11,500000*Assumptions!$C$7))</f>
        <v>198243.74017055</v>
      </c>
    </row>
    <row r="11" customFormat="false" ht="15" hidden="false" customHeight="false" outlineLevel="0" collapsed="false">
      <c r="B11" s="33" t="n">
        <v>550000</v>
      </c>
      <c r="C11" s="34" t="n">
        <f aca="false">Print_PnL!F22+(Assumptions!$C$33*0.05*Assumptions!$C$34*Assumptions!$C$35)-(-PMT(Assumptions!$C$8,Assumptions!$C$9,550000*Assumptions!$C$6))-(-PMT(Assumptions!$C$10,Assumptions!$C$11,550000*Assumptions!$C$7))</f>
        <v>39070.2794846744</v>
      </c>
      <c r="D11" s="34" t="n">
        <f aca="false">Print_PnL!F22+(Assumptions!$C$33*0.075*Assumptions!$C$34*Assumptions!$C$35)-(-PMT(Assumptions!$C$8,Assumptions!$C$9,550000*Assumptions!$C$6))-(-PMT(Assumptions!$C$10,Assumptions!$C$11,550000*Assumptions!$C$7))</f>
        <v>64270.2794846744</v>
      </c>
      <c r="E11" s="34" t="n">
        <f aca="false">Print_PnL!F22+(Assumptions!$C$33*0.1*Assumptions!$C$34*Assumptions!$C$35)-(-PMT(Assumptions!$C$8,Assumptions!$C$9,550000*Assumptions!$C$6))-(-PMT(Assumptions!$C$10,Assumptions!$C$11,550000*Assumptions!$C$7))</f>
        <v>89470.2794846745</v>
      </c>
      <c r="F11" s="34" t="n">
        <f aca="false">Print_PnL!F22+(Assumptions!$C$33*0.15*Assumptions!$C$34*Assumptions!$C$35)-(-PMT(Assumptions!$C$8,Assumptions!$C$9,550000*Assumptions!$C$6))-(-PMT(Assumptions!$C$10,Assumptions!$C$11,550000*Assumptions!$C$7))</f>
        <v>139870.279484674</v>
      </c>
      <c r="G11" s="34" t="n">
        <f aca="false">Print_PnL!F22+(Assumptions!$C$33*0.2*Assumptions!$C$34*Assumptions!$C$35)-(-PMT(Assumptions!$C$8,Assumptions!$C$9,550000*Assumptions!$C$6))-(-PMT(Assumptions!$C$10,Assumptions!$C$11,550000*Assumptions!$C$7))</f>
        <v>190270.279484674</v>
      </c>
    </row>
    <row r="14" customFormat="false" ht="15" hidden="false" customHeight="false" outlineLevel="0" collapsed="false">
      <c r="B14" s="3" t="s">
        <v>179</v>
      </c>
    </row>
    <row r="15" customFormat="false" ht="15" hidden="false" customHeight="false" outlineLevel="0" collapsed="false">
      <c r="B15" s="4" t="s">
        <v>180</v>
      </c>
    </row>
    <row r="16" customFormat="false" ht="15" hidden="false" customHeight="false" outlineLevel="0" collapsed="false">
      <c r="B16" s="4" t="s">
        <v>181</v>
      </c>
    </row>
    <row r="17" customFormat="false" ht="15" hidden="false" customHeight="false" outlineLevel="0" collapsed="false">
      <c r="B17" s="4" t="s">
        <v>182</v>
      </c>
    </row>
  </sheetData>
  <mergeCells count="3">
    <mergeCell ref="B2:G2"/>
    <mergeCell ref="B3:G3"/>
    <mergeCell ref="B5:G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2026-04-27T18:14:42Z</dcterms:created>
  <dc:creator>openpyxl</dc:creator>
  <dc:description/>
  <dc:language>en-US</dc:language>
  <cp:lastModifiedBy/>
  <dcterms:modified xsi:type="dcterms:W3CDTF">2026-04-27T18:14:42Z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