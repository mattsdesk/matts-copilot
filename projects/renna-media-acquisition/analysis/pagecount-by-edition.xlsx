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 Counts" sheetId="1" state="visible" r:id="rId3"/>
    <sheet name="Tidy" sheetId="2" state="visible" r:id="rId4"/>
    <sheet name="Summary by Paper" sheetId="3" state="visible" r:id="rId5"/>
  </sheets>
  <definedNames>
    <definedName function="false" hidden="true" localSheetId="1" name="_xlnm._FilterDatabase" vbProcedure="false">Tidy!$A$1:$H$1372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<sst xmlns="http://schemas.openxmlformats.org/spreadsheetml/2006/main" count="7059" uniqueCount="1569">
  <si>
    <t xml:space="preserve">Renna Media — Pages per Edition</t>
  </si>
  <si>
    <t xml:space="preserve">Source: rennamedia.com publication archives. Pulled 2026-04-28. 1371 editions across 30 papers.</t>
  </si>
  <si>
    <t xml:space="preserve">Month</t>
  </si>
  <si>
    <t xml:space="preserve">Berkeley Heights Community News</t>
  </si>
  <si>
    <t xml:space="preserve">Clark Monthly</t>
  </si>
  <si>
    <t xml:space="preserve">The Chathams</t>
  </si>
  <si>
    <t xml:space="preserve">Cranford Monthly</t>
  </si>
  <si>
    <t xml:space="preserve">East Hanover View</t>
  </si>
  <si>
    <t xml:space="preserve">Elmora Hills</t>
  </si>
  <si>
    <t xml:space="preserve">Fanwood Post</t>
  </si>
  <si>
    <t xml:space="preserve">Florham Park Press</t>
  </si>
  <si>
    <t xml:space="preserve">Garwood Times</t>
  </si>
  <si>
    <t xml:space="preserve">Green Brook Gazette</t>
  </si>
  <si>
    <t xml:space="preserve">Hanover Township Press</t>
  </si>
  <si>
    <t xml:space="preserve">Kenilworth Business Life</t>
  </si>
  <si>
    <t xml:space="preserve">Life in Linden</t>
  </si>
  <si>
    <t xml:space="preserve">Livingston Monthly</t>
  </si>
  <si>
    <t xml:space="preserve">Long Hill Leader</t>
  </si>
  <si>
    <t xml:space="preserve">Madison Monthly</t>
  </si>
  <si>
    <t xml:space="preserve">Millburn Short Hills Monthly</t>
  </si>
  <si>
    <t xml:space="preserve">Mountainside View</t>
  </si>
  <si>
    <t xml:space="preserve">Morristown Monthly</t>
  </si>
  <si>
    <t xml:space="preserve">Morris Township Times</t>
  </si>
  <si>
    <t xml:space="preserve">New Providence News</t>
  </si>
  <si>
    <t xml:space="preserve">Our Town Rahway</t>
  </si>
  <si>
    <t xml:space="preserve">Peterstown NJ</t>
  </si>
  <si>
    <t xml:space="preserve">Life in Roseland</t>
  </si>
  <si>
    <t xml:space="preserve">Roselle Park Monthly</t>
  </si>
  <si>
    <t xml:space="preserve">Scotch Plains Monthly</t>
  </si>
  <si>
    <t xml:space="preserve">Spirit of Union</t>
  </si>
  <si>
    <t xml:space="preserve">Summit Times</t>
  </si>
  <si>
    <t xml:space="preserve">Pride of North Plainfield</t>
  </si>
  <si>
    <t xml:space="preserve">Warren Monthly</t>
  </si>
  <si>
    <t xml:space="preserve">Watchung Post</t>
  </si>
  <si>
    <t xml:space="preserve">Westfield Monthly</t>
  </si>
  <si>
    <t xml:space="preserve">Total</t>
  </si>
  <si>
    <t xml:space="preserve">Jan 2022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</si>
  <si>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</si>
  <si>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</si>
  <si>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</si>
  <si>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</si>
  <si>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</si>
  <si>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Jul 2022</t>
  </si>
  <si>
    <t xml:space="preserve">Aug 2022</t>
  </si>
  <si>
    <t xml:space="preserve">Sep 2022</t>
  </si>
  <si>
    <t xml:space="preserve">Oct 2022</t>
  </si>
  <si>
    <t xml:space="preserve">Nov 2022</t>
  </si>
  <si>
    <t xml:space="preserve">Dec 2022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</si>
  <si>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</si>
  <si>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</si>
  <si>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</si>
  <si>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</si>
  <si>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</si>
  <si>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</si>
  <si>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</si>
  <si>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</si>
  <si>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</si>
  <si>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</si>
  <si>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</si>
  <si>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</si>
  <si>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</si>
  <si>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</si>
  <si>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</si>
  <si>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</si>
  <si>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</si>
  <si>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</si>
  <si>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</si>
  <si>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</si>
  <si>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</si>
  <si>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</si>
  <si>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</si>
  <si>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</si>
  <si>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</si>
  <si>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</si>
  <si>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</si>
  <si>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</si>
  <si>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</si>
  <si>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</si>
  <si>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</si>
  <si>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</si>
  <si>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</si>
  <si>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</si>
  <si>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</si>
  <si>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</si>
  <si>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</si>
  <si>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</si>
  <si>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</si>
  <si>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</si>
  <si>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</si>
  <si>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Avg pages / issue</t>
  </si>
  <si>
    <t xml:space="preserve"># issues</t>
  </si>
  <si>
    <t xml:space="preserve">Slug</t>
  </si>
  <si>
    <t xml:space="preserve">Publication</t>
  </si>
  <si>
    <t xml:space="preserve">Year</t>
  </si>
  <si>
    <t xml:space="preserve">Month Name</t>
  </si>
  <si>
    <t xml:space="preserve">YYYY-MM</t>
  </si>
  <si>
    <t xml:space="preserve">Pages</t>
  </si>
  <si>
    <t xml:space="preserve">PDF URL</t>
  </si>
  <si>
    <t xml:space="preserve">berkeley-heights-news</t>
  </si>
  <si>
    <t xml:space="preserve">Jan</t>
  </si>
  <si>
    <t xml:space="preserve">2022-01</t>
  </si>
  <si>
    <t xml:space="preserve">https://rennamedia.com/wp-content/uploads/2021/12/BerkeleyHeightsJanuary2022.pdf</t>
  </si>
  <si>
    <t xml:space="preserve">Feb</t>
  </si>
  <si>
    <t xml:space="preserve">2022-02</t>
  </si>
  <si>
    <t xml:space="preserve">https://rennamedia.com/wp-content/uploads/2022/01/BerkeleyHeightsFebruary2022.pdf</t>
  </si>
  <si>
    <t xml:space="preserve">Mar</t>
  </si>
  <si>
    <t xml:space="preserve">2022-03</t>
  </si>
  <si>
    <t xml:space="preserve">https://rennamedia.com/wp-content/uploads/2022/02/BerkeleyHeightsMarch2022.pdf</t>
  </si>
  <si>
    <t xml:space="preserve">Apr</t>
  </si>
  <si>
    <t xml:space="preserve">2022-04</t>
  </si>
  <si>
    <t xml:space="preserve">https://rennamedia.com/wp-content/uploads/2022/03/BerkeleyHeightsApril2022.pdf</t>
  </si>
  <si>
    <t xml:space="preserve">May</t>
  </si>
  <si>
    <t xml:space="preserve">2022-05</t>
  </si>
  <si>
    <t xml:space="preserve">https://rennamedia.com/wp-content/uploads/2022/04/BerkeleyHeightsMay2022.pdf</t>
  </si>
  <si>
    <t xml:space="preserve">Jun</t>
  </si>
  <si>
    <t xml:space="preserve">2022-06</t>
  </si>
  <si>
    <t xml:space="preserve">https://rennamedia.com/wp-content/uploads/2022/05/BerkeleyHeightsJune2022.pdf</t>
  </si>
  <si>
    <t xml:space="preserve">Jul</t>
  </si>
  <si>
    <t xml:space="preserve">2022-07</t>
  </si>
  <si>
    <t xml:space="preserve">https://rennamedia.com/wp-content/uploads/2022/06/BerkeleyHeightsJuly2022.pdf</t>
  </si>
  <si>
    <t xml:space="preserve">Aug</t>
  </si>
  <si>
    <t xml:space="preserve">2022-08</t>
  </si>
  <si>
    <t xml:space="preserve">https://rennamedia.com/wp-content/uploads/2022/07/BerkeleyHeightsAugust2022.pdf</t>
  </si>
  <si>
    <t xml:space="preserve">Sep</t>
  </si>
  <si>
    <t xml:space="preserve">2022-09</t>
  </si>
  <si>
    <t xml:space="preserve">https://rennamedia.com/wp-content/uploads/2022/09/BerkeleyHeightsSeptember2022.pdf</t>
  </si>
  <si>
    <t xml:space="preserve">Oct</t>
  </si>
  <si>
    <t xml:space="preserve">2022-10</t>
  </si>
  <si>
    <t xml:space="preserve">https://rennamedia.com/wp-content/uploads/2022/10/BerkeleyHeightsOctober2022.pdf</t>
  </si>
  <si>
    <t xml:space="preserve">Nov</t>
  </si>
  <si>
    <t xml:space="preserve">2022-11</t>
  </si>
  <si>
    <t xml:space="preserve">https://rennamedia.com/wp-content/uploads/2022/11/BerkeleyHeightsNovember2022.pdf</t>
  </si>
  <si>
    <t xml:space="preserve">Dec</t>
  </si>
  <si>
    <t xml:space="preserve">2022-12</t>
  </si>
  <si>
    <t xml:space="preserve">https://rennamedia.com/wp-content/uploads/2022/11/BerkeleyHeightsDecember2022.pdf</t>
  </si>
  <si>
    <t xml:space="preserve">2023-01</t>
  </si>
  <si>
    <t xml:space="preserve">https://rennamedia.com/wp-content/uploads/2022/12/BerkeleyHeightsJanuary2023.pdf</t>
  </si>
  <si>
    <t xml:space="preserve">2023-02</t>
  </si>
  <si>
    <t xml:space="preserve">https://rennamedia.com/wp-content/uploads/2023/01/BerkeleyHeightsFebruary2023.pdf</t>
  </si>
  <si>
    <t xml:space="preserve">2023-03</t>
  </si>
  <si>
    <t xml:space="preserve">https://rennamedia.com/wp-content/uploads/2023/02/BerkeleyHeightsMarch2023.pdf</t>
  </si>
  <si>
    <t xml:space="preserve">2023-04</t>
  </si>
  <si>
    <t xml:space="preserve">https://rennamedia.com/wp-content/uploads/2023/03/BerkeleyHeightsApril2023.pdf</t>
  </si>
  <si>
    <t xml:space="preserve">2023-05</t>
  </si>
  <si>
    <t xml:space="preserve">https://rennamedia.com/wp-content/uploads/2023/04/BerkeleyHeightsMay2023.pdf</t>
  </si>
  <si>
    <t xml:space="preserve">2023-06</t>
  </si>
  <si>
    <t xml:space="preserve">https://rennamedia.com/wp-content/uploads/2023/05/BerkeleyHeightsJune2023.pdf</t>
  </si>
  <si>
    <t xml:space="preserve">2023-07</t>
  </si>
  <si>
    <t xml:space="preserve">https://rennamedia.com/wp-content/uploads/2023/06/BerkeleyHeightsJuly2023.pdf</t>
  </si>
  <si>
    <t xml:space="preserve">2023-08</t>
  </si>
  <si>
    <t xml:space="preserve">https://rennamedia.com/wp-content/uploads/2023/07/BerkeleyHeightsAug2023.pdf</t>
  </si>
  <si>
    <t xml:space="preserve">2023-09</t>
  </si>
  <si>
    <t xml:space="preserve">https://rennamedia.com/wp-content/uploads/2023/08/BerkeleyHeightsSep2023.pdf</t>
  </si>
  <si>
    <t xml:space="preserve">2023-10</t>
  </si>
  <si>
    <t xml:space="preserve">https://rennamedia.com/wp-content/uploads/2023/10/BerkeleyHeightsOct2023.pdf</t>
  </si>
  <si>
    <t xml:space="preserve">2023-11</t>
  </si>
  <si>
    <t xml:space="preserve">https://rennamedia.com/wp-content/uploads/2023/10/BerkeleyHeightsNov2023.pdf</t>
  </si>
  <si>
    <t xml:space="preserve">2023-12</t>
  </si>
  <si>
    <t xml:space="preserve">https://rennamedia.com/wp-content/uploads/2023/11/BerkeleyHeightsDec2023.pdf</t>
  </si>
  <si>
    <t xml:space="preserve">2024-01</t>
  </si>
  <si>
    <t xml:space="preserve">https://rennamedia.com/wp-content/uploads/2023/12/BerkeleyHeightsJan2024.pdf</t>
  </si>
  <si>
    <t xml:space="preserve">2024-02</t>
  </si>
  <si>
    <t xml:space="preserve">https://rennamedia.com/wp-content/uploads/2024/01/BerkeleyHeightsFeb2024.pdf</t>
  </si>
  <si>
    <t xml:space="preserve">2024-03</t>
  </si>
  <si>
    <t xml:space="preserve">https://rennamedia.com/wp-content/uploads/2024/02/BerkeleyHeightsMar2024.pdf</t>
  </si>
  <si>
    <t xml:space="preserve">2024-04</t>
  </si>
  <si>
    <t xml:space="preserve">https://rennamedia.com/wp-content/uploads/2024/03/BerkeleyHeightsApr2024.pdf</t>
  </si>
  <si>
    <t xml:space="preserve">2024-05</t>
  </si>
  <si>
    <t xml:space="preserve">https://rennamedia.com/wp-content/uploads/2024/04/BerkeleyHeightsMay2024.pdf</t>
  </si>
  <si>
    <t xml:space="preserve">2024-06</t>
  </si>
  <si>
    <t xml:space="preserve">https://rennamedia.com/wp-content/uploads/2024/05/BerkeleyHeightsJune2024.pdf</t>
  </si>
  <si>
    <t xml:space="preserve">2024-07</t>
  </si>
  <si>
    <t xml:space="preserve">https://rennamedia.com/wp-content/uploads/2024/06/BerkeleyHeightsJuly2024.pdf</t>
  </si>
  <si>
    <t xml:space="preserve">2024-08</t>
  </si>
  <si>
    <t xml:space="preserve">https://rennamedia.com/wp-content/uploads/2024/07/BerkeleyHeightsAugust2024.pdf</t>
  </si>
  <si>
    <t xml:space="preserve">2024-09</t>
  </si>
  <si>
    <t xml:space="preserve">https://rennamedia.com/wp-content/uploads/2024/08/BerkeleyHeightsSeptember2024.pdf</t>
  </si>
  <si>
    <t xml:space="preserve">2024-10</t>
  </si>
  <si>
    <t xml:space="preserve">https://rennamedia.com/wp-content/uploads/2024/09/BerkeleyHeightsOctober2024.pdf</t>
  </si>
  <si>
    <t xml:space="preserve">2024-11</t>
  </si>
  <si>
    <t xml:space="preserve">https://rennamedia.com/wp-content/uploads/2024/10/BerkeleyHeightsNovember2024.pdf</t>
  </si>
  <si>
    <t xml:space="preserve">2024-12</t>
  </si>
  <si>
    <t xml:space="preserve">https://rennamedia.com/wp-content/uploads/2024/11/BerkeleyHeightsDecember2024.pdf</t>
  </si>
  <si>
    <t xml:space="preserve">2025-01</t>
  </si>
  <si>
    <t xml:space="preserve">https://rennamedia.com/wp-content/uploads/2024/12/BerkeleyHeightsJanuary2025.pdf</t>
  </si>
  <si>
    <t xml:space="preserve">2025-02</t>
  </si>
  <si>
    <t xml:space="preserve">https://rennamedia.com/wp-content/uploads/2025/02/BerkeleyHeightsFebruary2025.pdf</t>
  </si>
  <si>
    <t xml:space="preserve">2025-03</t>
  </si>
  <si>
    <t xml:space="preserve">https://rennamedia.com/wp-content/uploads/2025/02/BerkeleyHeightsMarch2025.pdf</t>
  </si>
  <si>
    <t xml:space="preserve">2025-04</t>
  </si>
  <si>
    <t xml:space="preserve">https://rennamedia.com/wp-content/uploads/2025/03/BerkeleyHeightsApril2025.pdf</t>
  </si>
  <si>
    <t xml:space="preserve">2025-05</t>
  </si>
  <si>
    <t xml:space="preserve">https://rennamedia.com/wp-content/uploads/2025/04/BerkeleyHeightsMay2025.pdf</t>
  </si>
  <si>
    <t xml:space="preserve">2025-06</t>
  </si>
  <si>
    <t xml:space="preserve">https://rennamedia.com/wp-content/uploads/2025/05/BerkeleyHeightsJune2025.pdf</t>
  </si>
  <si>
    <t xml:space="preserve">2025-07</t>
  </si>
  <si>
    <t xml:space="preserve">https://rennamedia.com/wp-content/uploads/2025/06/BerkeleyHeightsJuly2025.pdf</t>
  </si>
  <si>
    <t xml:space="preserve">2025-08</t>
  </si>
  <si>
    <t xml:space="preserve">https://rennamedia.com/wp-content/uploads/2025/07/BerkeleyHeightsAugust2025.pdf</t>
  </si>
  <si>
    <t xml:space="preserve">2025-09</t>
  </si>
  <si>
    <t xml:space="preserve">https://rennamedia.com/wp-content/uploads/2025/08/BerkeleyHeightsSeptember2025.pdf</t>
  </si>
  <si>
    <t xml:space="preserve">2025-10</t>
  </si>
  <si>
    <t xml:space="preserve">https://rennamedia.com/wp-content/uploads/2025/09/BerkeleyHeightsOctober2025.pdf</t>
  </si>
  <si>
    <t xml:space="preserve">2025-11</t>
  </si>
  <si>
    <t xml:space="preserve">https://rennamedia.com/wp-content/uploads/2025/10/BerkeleyHeightsNovember2025.pdf</t>
  </si>
  <si>
    <t xml:space="preserve">2025-12</t>
  </si>
  <si>
    <t xml:space="preserve">https://rennamedia.com/wp-content/uploads/2025/11/BerkeleyHeightsDecember2025.pdf</t>
  </si>
  <si>
    <t xml:space="preserve">2026-01</t>
  </si>
  <si>
    <t xml:space="preserve">https://rennamedia.com/wp-content/uploads/2025/12/BerkeleyHeightsJanuary2026.pdf</t>
  </si>
  <si>
    <t xml:space="preserve">2026-02</t>
  </si>
  <si>
    <t xml:space="preserve">https://rennamedia.com/wp-content/uploads/2026/01/BerkeleyHeightsFebruary2026.pdf</t>
  </si>
  <si>
    <t xml:space="preserve">2026-03</t>
  </si>
  <si>
    <t xml:space="preserve">https://rennamedia.com/wp-content/uploads/2026/02/BerkeleyHeightsMarch2026.pdf</t>
  </si>
  <si>
    <t xml:space="preserve">2026-04</t>
  </si>
  <si>
    <t xml:space="preserve">https://rennamedia.com/wp-content/uploads/2026/03/BerkeleyHeightsApril2026.pdf</t>
  </si>
  <si>
    <t xml:space="preserve">2026-05</t>
  </si>
  <si>
    <t xml:space="preserve">https://rennamedia.com/wp-content/uploads/2026/04/BerkeleyHeightsMay2026.pdf</t>
  </si>
  <si>
    <t xml:space="preserve">clark-monthly</t>
  </si>
  <si>
    <t xml:space="preserve">https://rennamedia.com/wp-content/uploads/2021/12/ClarkJanuary2022.pdf</t>
  </si>
  <si>
    <t xml:space="preserve">https://rennamedia.com/wp-content/uploads/2022/01/ClarkFebruary2022.pdf</t>
  </si>
  <si>
    <t xml:space="preserve">https://rennamedia.com/wp-content/uploads/2022/02/ClarkMarch2022.pdf</t>
  </si>
  <si>
    <t xml:space="preserve">https://rennamedia.com/wp-content/uploads/2022/03/ClarkApril2022.pdf</t>
  </si>
  <si>
    <t xml:space="preserve">https://rennamedia.com/wp-content/uploads/2022/04/ClarkMay2022.pdf</t>
  </si>
  <si>
    <t xml:space="preserve">https://rennamedia.com/wp-content/uploads/2022/05/ClarkJune2022.pdf</t>
  </si>
  <si>
    <t xml:space="preserve">https://rennamedia.com/wp-content/uploads/2022/06/ClarkJuly2022.pdf</t>
  </si>
  <si>
    <t xml:space="preserve">https://rennamedia.com/wp-content/uploads/2022/07/ChathamsAugust2022.pdf</t>
  </si>
  <si>
    <t xml:space="preserve">https://rennamedia.com/wp-content/uploads/2022/09/ClarkSeptember2022.pdf</t>
  </si>
  <si>
    <t xml:space="preserve">https://rennamedia.com/wp-content/uploads/2022/10/ClarkOctober2022.pdf</t>
  </si>
  <si>
    <t xml:space="preserve">https://rennamedia.com/wp-content/uploads/2022/11/ClarkNovember2022.pdf</t>
  </si>
  <si>
    <t xml:space="preserve">https://rennamedia.com/wp-content/uploads/2022/11/ClarkDecember2022.pdf</t>
  </si>
  <si>
    <t xml:space="preserve">https://rennamedia.com/wp-content/uploads/2022/12/ClarkJanuary2023.pdf</t>
  </si>
  <si>
    <t xml:space="preserve">https://rennamedia.com/wp-content/uploads/2023/01/ClarkFebruary2023.pdf</t>
  </si>
  <si>
    <t xml:space="preserve">https://rennamedia.com/wp-content/uploads/2023/02/ClarkMarch2023.pdf</t>
  </si>
  <si>
    <t xml:space="preserve">https://rennamedia.com/wp-content/uploads/2023/03/ClarkApril2023.pdf</t>
  </si>
  <si>
    <t xml:space="preserve">https://rennamedia.com/wp-content/uploads/2023/04/ClarkMay2023.pdf</t>
  </si>
  <si>
    <t xml:space="preserve">https://rennamedia.com/wp-content/uploads/2023/05/ClarkJune2023.pdf</t>
  </si>
  <si>
    <t xml:space="preserve">https://rennamedia.com/wp-content/uploads/2023/06/ClarkJuly2023.pdf</t>
  </si>
  <si>
    <t xml:space="preserve">https://rennamedia.com/wp-content/uploads/2023/07/ClarkAug2023.pdf</t>
  </si>
  <si>
    <t xml:space="preserve">https://rennamedia.com/wp-content/uploads/2023/08/ClarkSep2023.pdf</t>
  </si>
  <si>
    <t xml:space="preserve">https://rennamedia.com/wp-content/uploads/2023/09/ClarkOct2023.pdf</t>
  </si>
  <si>
    <t xml:space="preserve">https://rennamedia.com/wp-content/uploads/2023/10/ClarkNov2023.pdf</t>
  </si>
  <si>
    <t xml:space="preserve">https://rennamedia.com/wp-content/uploads/2023/11/ClarkDec2023.pdf</t>
  </si>
  <si>
    <t xml:space="preserve">https://rennamedia.com/wp-content/uploads/2023/12/ClarkJan2024.pdf</t>
  </si>
  <si>
    <t xml:space="preserve">https://rennamedia.com/wp-content/uploads/2024/01/ClarkFeb2024.pdf</t>
  </si>
  <si>
    <t xml:space="preserve">https://rennamedia.com/wp-content/uploads/2024/02/ClarkMar2024.pdf</t>
  </si>
  <si>
    <t xml:space="preserve">https://rennamedia.com/wp-content/uploads/2024/03/ClarkApr2024.pdf</t>
  </si>
  <si>
    <t xml:space="preserve">https://rennamedia.com/wp-content/uploads/2024/04/ClarkMay2024.pdf</t>
  </si>
  <si>
    <t xml:space="preserve">https://rennamedia.com/wp-content/uploads/2024/05/ClarkJune2024.pdf</t>
  </si>
  <si>
    <t xml:space="preserve">https://rennamedia.com/wp-content/uploads/2024/06/ClarkJuly2024.pdf</t>
  </si>
  <si>
    <t xml:space="preserve">https://rennamedia.com/wp-content/uploads/2024/07/ClarkAugust2024.pdf</t>
  </si>
  <si>
    <t xml:space="preserve">https://rennamedia.com/wp-content/uploads/2024/08/ClarkSeptember2024.pdf</t>
  </si>
  <si>
    <t xml:space="preserve">https://rennamedia.com/wp-content/uploads/2024/09/ClarkOctober2024.pdf</t>
  </si>
  <si>
    <t xml:space="preserve">https://rennamedia.com/wp-content/uploads/2024/10/ClarkNovember2024.pdf</t>
  </si>
  <si>
    <t xml:space="preserve">https://rennamedia.com/wp-content/uploads/2024/11/ClarkDecember2024.pdf</t>
  </si>
  <si>
    <t xml:space="preserve">https://rennamedia.com/wp-content/uploads/2024/12/ClarkJanuary2025.pdf</t>
  </si>
  <si>
    <t xml:space="preserve">https://rennamedia.com/wp-content/uploads/2025/02/ClarkFebruary2025.pdf</t>
  </si>
  <si>
    <t xml:space="preserve">https://rennamedia.com/wp-content/uploads/2025/02/ClarkMarch2025.pdf</t>
  </si>
  <si>
    <t xml:space="preserve">https://rennamedia.com/wp-content/uploads/2025/03/ClarkApril2025.pdf</t>
  </si>
  <si>
    <t xml:space="preserve">https://rennamedia.com/wp-content/uploads/2025/04/ClarkMay2025.pdf</t>
  </si>
  <si>
    <t xml:space="preserve">https://rennamedia.com/wp-content/uploads/2025/05/ClarkJune2025.pdf</t>
  </si>
  <si>
    <t xml:space="preserve">https://rennamedia.com/wp-content/uploads/2025/06/ClarkJuly2025.pdf</t>
  </si>
  <si>
    <t xml:space="preserve">https://rennamedia.com/wp-content/uploads/2025/07/ClarkAugust2025.pdf</t>
  </si>
  <si>
    <t xml:space="preserve">https://rennamedia.com/wp-content/uploads/2025/08/ClarkSeptember2025.pdf</t>
  </si>
  <si>
    <t xml:space="preserve">https://rennamedia.com/wp-content/uploads/2025/09/ClarkOctober2025.pdf</t>
  </si>
  <si>
    <t xml:space="preserve">https://rennamedia.com/wp-content/uploads/2025/10/ClarkNovember2025.pdf</t>
  </si>
  <si>
    <t xml:space="preserve">https://rennamedia.com/wp-content/uploads/2025/11/ClarkDecember2025.pdf</t>
  </si>
  <si>
    <t xml:space="preserve">https://rennamedia.com/wp-content/uploads/2025/12/ClarkJanuary2026.pdf</t>
  </si>
  <si>
    <t xml:space="preserve">https://rennamedia.com/wp-content/uploads/2026/01/ClarkFebruary2026.pdf</t>
  </si>
  <si>
    <t xml:space="preserve">https://rennamedia.com/wp-content/uploads/2026/02/ClarkMarch2026.pdf</t>
  </si>
  <si>
    <t xml:space="preserve">https://rennamedia.com/wp-content/uploads/2026/03/ClarkApril2026.pdf</t>
  </si>
  <si>
    <t xml:space="preserve">https://rennamedia.com/wp-content/uploads/2026/04/ClarkMay2026.pdf</t>
  </si>
  <si>
    <t xml:space="preserve">the-chathams</t>
  </si>
  <si>
    <t xml:space="preserve">https://rennamedia.com/wp-content/uploads/2021/12/ChathamsJanuary2022.pdf</t>
  </si>
  <si>
    <t xml:space="preserve">https://rennamedia.com/wp-content/uploads/2022/01/ChathamsFebruary2022i.pdf</t>
  </si>
  <si>
    <t xml:space="preserve">https://rennamedia.com/wp-content/uploads/2022/02/ChathamsMarch2022.pdf</t>
  </si>
  <si>
    <t xml:space="preserve">https://rennamedia.com/wp-content/uploads/2022/03/ChathamsApril2022.pdf</t>
  </si>
  <si>
    <t xml:space="preserve">https://rennamedia.com/wp-content/uploads/2022/04/ChathamsMay2022.pdf</t>
  </si>
  <si>
    <t xml:space="preserve">https://rennamedia.com/wp-content/uploads/2022/05/ChathamsJune2022.pdf</t>
  </si>
  <si>
    <t xml:space="preserve">https://rennamedia.com/wp-content/uploads/2022/06/ChathamsJuly2022.pdf</t>
  </si>
  <si>
    <t xml:space="preserve">https://rennamedia.com/wp-content/uploads/2022/09/ChathamsSeptember2022.pdf</t>
  </si>
  <si>
    <t xml:space="preserve">https://rennamedia.com/wp-content/uploads/2022/10/ChathamsOctober2022.pdf</t>
  </si>
  <si>
    <t xml:space="preserve">https://rennamedia.com/wp-content/uploads/2022/11/ChathamsNovember2022.pdf</t>
  </si>
  <si>
    <t xml:space="preserve">https://rennamedia.com/wp-content/uploads/2022/11/ChathamsDecember2022.pdf</t>
  </si>
  <si>
    <t xml:space="preserve">https://rennamedia.com/wp-content/uploads/2022/12/ChathamsJanuary2023.pdf</t>
  </si>
  <si>
    <t xml:space="preserve">https://rennamedia.com/wp-content/uploads/2023/01/ChathamsFebruary2023.pdf</t>
  </si>
  <si>
    <t xml:space="preserve">https://rennamedia.com/wp-content/uploads/2023/02/ChathamsMarch2023.pdf</t>
  </si>
  <si>
    <t xml:space="preserve">https://rennamedia.com/wp-content/uploads/2023/03/ChathamsApril2023.pdf</t>
  </si>
  <si>
    <t xml:space="preserve">https://rennamedia.com/wp-content/uploads/2023/04/ChathamsMay2023.pdf</t>
  </si>
  <si>
    <t xml:space="preserve">https://rennamedia.com/wp-content/uploads/2023/05/ChathamsJune2023.pdf</t>
  </si>
  <si>
    <t xml:space="preserve">https://rennamedia.com/wp-content/uploads/2023/06/ChathamsJuly2023.pdf</t>
  </si>
  <si>
    <t xml:space="preserve">https://rennamedia.com/wp-content/uploads/2023/07/ChathamsAug2023.pdf</t>
  </si>
  <si>
    <t xml:space="preserve">https://rennamedia.com/wp-content/uploads/2023/08/ChathamsSep2023.pdf</t>
  </si>
  <si>
    <t xml:space="preserve">https://rennamedia.com/wp-content/uploads/2023/09/ChathamsOct2023.pdf</t>
  </si>
  <si>
    <t xml:space="preserve">https://rennamedia.com/wp-content/uploads/2023/10/ChathamsNov2023.pdf</t>
  </si>
  <si>
    <t xml:space="preserve">https://rennamedia.com/wp-content/uploads/2023/11/ChathamsDec2023.pdf</t>
  </si>
  <si>
    <t xml:space="preserve">https://rennamedia.com/wp-content/uploads/2023/12/ChathamsJan2024.pdf</t>
  </si>
  <si>
    <t xml:space="preserve">https://rennamedia.com/wp-content/uploads/2024/01/ChathamsFeb2024.pdf</t>
  </si>
  <si>
    <t xml:space="preserve">https://rennamedia.com/wp-content/uploads/2024/02/ChathamsMar2024.pdf</t>
  </si>
  <si>
    <t xml:space="preserve">https://rennamedia.com/wp-content/uploads/2024/03/ChathamsApr2024.pdf</t>
  </si>
  <si>
    <t xml:space="preserve">https://rennamedia.com/wp-content/uploads/2024/04/ChathamsMay2024.pdf</t>
  </si>
  <si>
    <t xml:space="preserve">https://rennamedia.com/wp-content/uploads/2024/05/ChathamsJune2024.pdf</t>
  </si>
  <si>
    <t xml:space="preserve">https://rennamedia.com/wp-content/uploads/2024/06/ChathamsJuly2024.pdf</t>
  </si>
  <si>
    <t xml:space="preserve">https://rennamedia.com/wp-content/uploads/2024/07/ChathamsAugust2024.pdf</t>
  </si>
  <si>
    <t xml:space="preserve">https://rennamedia.com/wp-content/uploads/2024/08/ChathamsSeptember2024.pdf</t>
  </si>
  <si>
    <t xml:space="preserve">https://rennamedia.com/wp-content/uploads/2024/09/ChathamsOctober2024.pdf</t>
  </si>
  <si>
    <t xml:space="preserve">https://rennamedia.com/wp-content/uploads/2024/10/ChathamsNovember2024.pdf</t>
  </si>
  <si>
    <t xml:space="preserve">https://rennamedia.com/wp-content/uploads/2024/11/ChathamsDecember2024.pdf</t>
  </si>
  <si>
    <t xml:space="preserve">https://rennamedia.com/wp-content/uploads/2024/12/ChathamsJanuary2025.pdf</t>
  </si>
  <si>
    <t xml:space="preserve">https://rennamedia.com/wp-content/uploads/2025/02/ChathamsFebruary2025.pdf</t>
  </si>
  <si>
    <t xml:space="preserve">https://rennamedia.com/wp-content/uploads/2025/02/ChathamsMarch2025.pdf</t>
  </si>
  <si>
    <t xml:space="preserve">https://rennamedia.com/wp-content/uploads/2025/03/ChathamsApril2025.pdf</t>
  </si>
  <si>
    <t xml:space="preserve">https://rennamedia.com/wp-content/uploads/2025/04/ChathamsMay2025.pdf</t>
  </si>
  <si>
    <t xml:space="preserve">https://rennamedia.com/wp-content/uploads/2025/05/ChathamsJune2025.pdf</t>
  </si>
  <si>
    <t xml:space="preserve">https://rennamedia.com/wp-content/uploads/2025/06/ChathamsJuly2025.pdf</t>
  </si>
  <si>
    <t xml:space="preserve">https://rennamedia.com/wp-content/uploads/2025/07/ChathamsAugust2025.pdf</t>
  </si>
  <si>
    <t xml:space="preserve">https://rennamedia.com/wp-content/uploads/2025/08/ChathamsSeptember2025.pdf</t>
  </si>
  <si>
    <t xml:space="preserve">https://rennamedia.com/wp-content/uploads/2025/09/ChathamsOctober2025.pdf</t>
  </si>
  <si>
    <t xml:space="preserve">https://rennamedia.com/wp-content/uploads/2025/10/ChathamsNovember2025.pdf</t>
  </si>
  <si>
    <t xml:space="preserve">https://rennamedia.com/wp-content/uploads/2025/11/ChathamsDecember2025.pdf</t>
  </si>
  <si>
    <t xml:space="preserve">https://rennamedia.com/wp-content/uploads/2025/12/ChathamsJanuary2026.pdf</t>
  </si>
  <si>
    <t xml:space="preserve">https://rennamedia.com/wp-content/uploads/2026/01/ChathamsFebruary2026.pdf</t>
  </si>
  <si>
    <t xml:space="preserve">https://rennamedia.com/wp-content/uploads/2026/02/ChathamsMarch2026proof.pdf</t>
  </si>
  <si>
    <t xml:space="preserve">https://rennamedia.com/wp-content/uploads/2026/03/ChathamsApril2026.pdf</t>
  </si>
  <si>
    <t xml:space="preserve">https://rennamedia.com/wp-content/uploads/2026/04/ChathamsMay2026.pdf</t>
  </si>
  <si>
    <t xml:space="preserve">cranford-monthly</t>
  </si>
  <si>
    <t xml:space="preserve">https://rennamedia.com/wp-content/uploads/2021/12/CranfordJanuary2022.pdf</t>
  </si>
  <si>
    <t xml:space="preserve">https://rennamedia.com/wp-content/uploads/2022/01/CranfordFebruary2022.pdf</t>
  </si>
  <si>
    <t xml:space="preserve">https://rennamedia.com/wp-content/uploads/2022/02/CranfordMarch2022.pdf</t>
  </si>
  <si>
    <t xml:space="preserve">https://rennamedia.com/wp-content/uploads/2022/03/CranfordApril2022.pdf</t>
  </si>
  <si>
    <t xml:space="preserve">https://rennamedia.com/wp-content/uploads/2022/04/CranfordMay2022.pdf</t>
  </si>
  <si>
    <t xml:space="preserve">https://rennamedia.com/wp-content/uploads/2022/05/CranfordJune2022.pdf</t>
  </si>
  <si>
    <t xml:space="preserve">https://rennamedia.com/wp-content/uploads/2022/06/CranfordJuly2022.pdf</t>
  </si>
  <si>
    <t xml:space="preserve">https://rennamedia.com/wp-content/uploads/2022/07/CranfordAugust2022.pdf</t>
  </si>
  <si>
    <t xml:space="preserve">https://rennamedia.com/wp-content/uploads/2022/09/CranfordSeptember2022.pdf</t>
  </si>
  <si>
    <t xml:space="preserve">https://rennamedia.com/wp-content/uploads/2022/10/CranfordOctober2022.pdf</t>
  </si>
  <si>
    <t xml:space="preserve">https://rennamedia.com/wp-content/uploads/2022/11/CranfordNovember2022.pdf</t>
  </si>
  <si>
    <t xml:space="preserve">https://rennamedia.com/wp-content/uploads/2022/11/CranfordDecember2022.pdf</t>
  </si>
  <si>
    <t xml:space="preserve">https://rennamedia.com/wp-content/uploads/2022/12/CranfordJanuary2023.pdf</t>
  </si>
  <si>
    <t xml:space="preserve">https://rennamedia.com/wp-content/uploads/2023/01/CranfordFebruary2023.pdf</t>
  </si>
  <si>
    <t xml:space="preserve">https://rennamedia.com/wp-content/uploads/2023/02/CranfordMarch2023.pdf</t>
  </si>
  <si>
    <t xml:space="preserve">https://rennamedia.com/wp-content/uploads/2023/03/CranfordApril2023.pdf</t>
  </si>
  <si>
    <t xml:space="preserve">https://rennamedia.com/wp-content/uploads/2023/04/CranfordMay2023.pdf</t>
  </si>
  <si>
    <t xml:space="preserve">https://rennamedia.com/wp-content/uploads/2023/05/CranfordJune2023.pdf</t>
  </si>
  <si>
    <t xml:space="preserve">https://rennamedia.com/wp-content/uploads/2023/06/CranfordJuly2023.pdf</t>
  </si>
  <si>
    <t xml:space="preserve">https://rennamedia.com/wp-content/uploads/2023/07/CranfordAug2023.pdf</t>
  </si>
  <si>
    <t xml:space="preserve">https://rennamedia.com/wp-content/uploads/2023/08/CranfordSep2023.pdf</t>
  </si>
  <si>
    <t xml:space="preserve">https://rennamedia.com/wp-content/uploads/2023/09/CranfordOct2023.pdf</t>
  </si>
  <si>
    <t xml:space="preserve">https://rennamedia.com/wp-content/uploads/2023/10/CranfordNov2023.pdf</t>
  </si>
  <si>
    <t xml:space="preserve">https://rennamedia.com/wp-content/uploads/2023/11/CranfordDec2023.pdf</t>
  </si>
  <si>
    <t xml:space="preserve">https://rennamedia.com/wp-content/uploads/2023/12/CranfordJan2024.pdf</t>
  </si>
  <si>
    <t xml:space="preserve">https://rennamedia.com/wp-content/uploads/2024/01/CranfordFeb2024.pdf</t>
  </si>
  <si>
    <t xml:space="preserve">https://rennamedia.com/wp-content/uploads/2024/02/CranfordMar2024.pdf</t>
  </si>
  <si>
    <t xml:space="preserve">https://rennamedia.com/wp-content/uploads/2024/03/CranfordApr2024.pdf</t>
  </si>
  <si>
    <t xml:space="preserve">https://rennamedia.com/wp-content/uploads/2024/04/CranfordMay2024.pdf</t>
  </si>
  <si>
    <t xml:space="preserve">https://rennamedia.com/wp-content/uploads/2024/05/CranfordJune2024.pdf</t>
  </si>
  <si>
    <t xml:space="preserve">https://rennamedia.com/wp-content/uploads/2024/06/CranfordJuly2024.pdf</t>
  </si>
  <si>
    <t xml:space="preserve">https://rennamedia.com/wp-content/uploads/2024/07/CranfordAugust2024.pdf</t>
  </si>
  <si>
    <t xml:space="preserve">https://rennamedia.com/wp-content/uploads/2024/08/CranfordSeptember2024.pdf</t>
  </si>
  <si>
    <t xml:space="preserve">https://rennamedia.com/wp-content/uploads/2024/09/CranfordOctober2024.pdf</t>
  </si>
  <si>
    <t xml:space="preserve">https://rennamedia.com/wp-content/uploads/2024/10/CranfordNovember2024.pdf</t>
  </si>
  <si>
    <t xml:space="preserve">https://rennamedia.com/wp-content/uploads/2024/11/CranfordDecember2024.pdf</t>
  </si>
  <si>
    <t xml:space="preserve">https://rennamedia.com/wp-content/uploads/2024/12/CranfordJanuary2025.pdf</t>
  </si>
  <si>
    <t xml:space="preserve">https://rennamedia.com/wp-content/uploads/2025/02/CranfordFebruary2025.pdf</t>
  </si>
  <si>
    <t xml:space="preserve">https://rennamedia.com/wp-content/uploads/2025/02/CranfordMarch2025.pdf</t>
  </si>
  <si>
    <t xml:space="preserve">https://rennamedia.com/wp-content/uploads/2025/03/CranfordApril2025.pdf</t>
  </si>
  <si>
    <t xml:space="preserve">https://rennamedia.com/wp-content/uploads/2025/04/CranfordMay2025.pdf</t>
  </si>
  <si>
    <t xml:space="preserve">https://rennamedia.com/wp-content/uploads/2025/05/CranfordJune2025.pdf</t>
  </si>
  <si>
    <t xml:space="preserve">https://rennamedia.com/wp-content/uploads/2025/06/CranfordJuly2025.pdf</t>
  </si>
  <si>
    <t xml:space="preserve">https://rennamedia.com/wp-content/uploads/2025/07/CranfordJAugust2025.pdf</t>
  </si>
  <si>
    <t xml:space="preserve">https://rennamedia.com/wp-content/uploads/2025/08/CranfordSeptember2025.pdf</t>
  </si>
  <si>
    <t xml:space="preserve">https://rennamedia.com/wp-content/uploads/2025/09/CranfordOctober2025.pdf</t>
  </si>
  <si>
    <t xml:space="preserve">https://rennamedia.com/wp-content/uploads/2025/10/CranfordNovember2025.pdf</t>
  </si>
  <si>
    <t xml:space="preserve">https://rennamedia.com/wp-content/uploads/2025/11/CranfordDecember2025.pdf</t>
  </si>
  <si>
    <t xml:space="preserve">https://rennamedia.com/wp-content/uploads/2025/12/CranfordJanuary2026.pdf</t>
  </si>
  <si>
    <t xml:space="preserve">https://rennamedia.com/wp-content/uploads/2026/01/CranfordFebruary2026.pdf</t>
  </si>
  <si>
    <t xml:space="preserve">https://rennamedia.com/wp-content/uploads/2026/02/CranfordMarch2026.pdf</t>
  </si>
  <si>
    <t xml:space="preserve">https://rennamedia.com/wp-content/uploads/2026/03/CranfordApril2026.pdf</t>
  </si>
  <si>
    <t xml:space="preserve">https://rennamedia.com/wp-content/uploads/2026/04/CranfordMay2026.pdf</t>
  </si>
  <si>
    <t xml:space="preserve">east-hanover-view</t>
  </si>
  <si>
    <t xml:space="preserve">https://rennamedia.com/wp-content/uploads/2024/11/EastHanoverViewDecember2024.pdf</t>
  </si>
  <si>
    <t xml:space="preserve">https://rennamedia.com/wp-content/uploads/2024/12/EastHanoverViewJanuary2025.pdf</t>
  </si>
  <si>
    <t xml:space="preserve">https://rennamedia.com/wp-content/uploads/2025/02/EastHanoverViewFebruary2025.pdf</t>
  </si>
  <si>
    <t xml:space="preserve">https://rennamedia.com/wp-content/uploads/2025/02/EastHanoverViewMarch2025.pdf</t>
  </si>
  <si>
    <t xml:space="preserve">https://rennamedia.com/wp-content/uploads/2025/03/EastHanoverViewApril2025.pdf</t>
  </si>
  <si>
    <t xml:space="preserve">https://rennamedia.com/wp-content/uploads/2025/04/EastHanoverViewMay2025.pdf</t>
  </si>
  <si>
    <t xml:space="preserve">https://rennamedia.com/wp-content/uploads/2025/05/EastHanoverViewJune2025.pdf</t>
  </si>
  <si>
    <t xml:space="preserve">https://rennamedia.com/wp-content/uploads/2025/06/EastHanoverViewJuly2025.pdf</t>
  </si>
  <si>
    <t xml:space="preserve">https://rennamedia.com/wp-content/uploads/2025/07/EastHanoverViewAugust2025.pdf</t>
  </si>
  <si>
    <t xml:space="preserve">https://rennamedia.com/wp-content/uploads/2025/08/EastHanoverViewSeptember2025.pdf</t>
  </si>
  <si>
    <t xml:space="preserve">https://rennamedia.com/wp-content/uploads/2025/09/EastHanoverViewOctober2025.pdf</t>
  </si>
  <si>
    <t xml:space="preserve">https://rennamedia.com/wp-content/uploads/2025/10/EastHanoverViewNovember2025.pdf</t>
  </si>
  <si>
    <t xml:space="preserve">https://rennamedia.com/wp-content/uploads/2025/11/EastHanoverViewDecember2025.pdf</t>
  </si>
  <si>
    <t xml:space="preserve">https://rennamedia.com/wp-content/uploads/2025/12/EastHanoverViewJanuary2026.pdf</t>
  </si>
  <si>
    <t xml:space="preserve">https://rennamedia.com/wp-content/uploads/2026/01/EastHanoverViewFebruary2026.pdf</t>
  </si>
  <si>
    <t xml:space="preserve">https://rennamedia.com/wp-content/uploads/2026/02/EastHanoverViewMarch2026.pdf</t>
  </si>
  <si>
    <t xml:space="preserve">https://rennamedia.com/wp-content/uploads/2026/03/EastHanoverViewApril2026.pdf</t>
  </si>
  <si>
    <t xml:space="preserve">https://rennamedia.com/wp-content/uploads/2026/04/EastHanoverViewMay2026.pdf</t>
  </si>
  <si>
    <t xml:space="preserve">elmora-hills</t>
  </si>
  <si>
    <t xml:space="preserve">https://rennamedia.com/wp-content/uploads/2022/02/ElmoraHillsMonthlyMarch2022.pdf</t>
  </si>
  <si>
    <t xml:space="preserve">https://rennamedia.com/wp-content/uploads/2022/03/ElmoraHillsMonthlyApril2022.pdf</t>
  </si>
  <si>
    <t xml:space="preserve">https://rennamedia.com/wp-content/uploads/2022/04/ElmoraHillsMonthlyMay2022.pdf</t>
  </si>
  <si>
    <t xml:space="preserve">https://rennamedia.com/wp-content/uploads/2022/05/ElmoraHillsMonthlyJune2022.pdf</t>
  </si>
  <si>
    <t xml:space="preserve">https://rennamedia.com/wp-content/uploads/2022/06/ElmoraHillsMonthlyJuly2022.pdf</t>
  </si>
  <si>
    <t xml:space="preserve">https://rennamedia.com/wp-content/uploads/2022/07/ElmoraHillsMonthlyAugust2022.pdf</t>
  </si>
  <si>
    <t xml:space="preserve">https://rennamedia.com/wp-content/uploads/2022/09/ElmoraHillsMonthlySeptember2022.pdf</t>
  </si>
  <si>
    <t xml:space="preserve">https://rennamedia.com/wp-content/uploads/2022/10/ElmoraHillsMonthlyOctober2022.pdf</t>
  </si>
  <si>
    <t xml:space="preserve">https://rennamedia.com/wp-content/uploads/2022/11/ElmoraHillsMonthlyNovember2022.pdf</t>
  </si>
  <si>
    <t xml:space="preserve">https://rennamedia.com/wp-content/uploads/2022/11/ElmoraHillsMonthlyDecember2022.pdf</t>
  </si>
  <si>
    <t xml:space="preserve">https://rennamedia.com/wp-content/uploads/2022/12/ElmoraHillsMonthlyJanuary2023.pdf</t>
  </si>
  <si>
    <t xml:space="preserve">https://rennamedia.com/wp-content/uploads/2023/01/ElmoraHillsMonthlyFebruary2023.pdf</t>
  </si>
  <si>
    <t xml:space="preserve">https://rennamedia.com/wp-content/uploads/2023/02/ElmoraHillsMonthlyMarch2023.pdf</t>
  </si>
  <si>
    <t xml:space="preserve">https://rennamedia.com/wp-content/uploads/2023/03/ElmoraHillsMonthlyApril2023.pdf</t>
  </si>
  <si>
    <t xml:space="preserve">https://rennamedia.com/wp-content/uploads/2023/04/ElmoraHillsMonthlyMay2023.pdf</t>
  </si>
  <si>
    <t xml:space="preserve">https://rennamedia.com/wp-content/uploads/2023/05/ElmoraHillsMonthlyJune2023.pdf</t>
  </si>
  <si>
    <t xml:space="preserve">https://rennamedia.com/wp-content/uploads/2023/06/ElmoraHillsMonthlyJuly2023.pdf</t>
  </si>
  <si>
    <t xml:space="preserve">https://rennamedia.com/wp-content/uploads/2023/07/ElmoraHillsMonthlyAug2023.pdf</t>
  </si>
  <si>
    <t xml:space="preserve">https://rennamedia.com/wp-content/uploads/2023/08/ElmoraHillsMonthlySep2023.pdf</t>
  </si>
  <si>
    <t xml:space="preserve">https://rennamedia.com/wp-content/uploads/2023/09/ElmoraHillsMonthlyOct2023.pdf</t>
  </si>
  <si>
    <t xml:space="preserve">https://rennamedia.com/wp-content/uploads/2023/10/ElmoraHillsMonthlyNov2023.pdf</t>
  </si>
  <si>
    <t xml:space="preserve">https://rennamedia.com/wp-content/uploads/2023/11/ElmoraHillsMonthlyDec2023.pdf</t>
  </si>
  <si>
    <t xml:space="preserve">https://rennamedia.com/wp-content/uploads/2023/12/ElmoraHillsMonthlyJan2024.pdf</t>
  </si>
  <si>
    <t xml:space="preserve">https://rennamedia.com/wp-content/uploads/2024/01/ElmoraHillsMonthlyFeb2024.pdf</t>
  </si>
  <si>
    <t xml:space="preserve">https://rennamedia.com/wp-content/uploads/2024/02/ElmoraHillsMonthlyMar2024.pdf</t>
  </si>
  <si>
    <t xml:space="preserve">https://rennamedia.com/wp-content/uploads/2024/03/ElmoraHillsMonthlyApr2024.pdf</t>
  </si>
  <si>
    <t xml:space="preserve">https://rennamedia.com/wp-content/uploads/2024/04/ElmoraHillsMonthlyMay2024.pdf</t>
  </si>
  <si>
    <t xml:space="preserve">https://rennamedia.com/wp-content/uploads/2024/05/ElmoraHillsMonthlyJune2024.pdf</t>
  </si>
  <si>
    <t xml:space="preserve">https://rennamedia.com/wp-content/uploads/2024/06/ElmoraHillsMonthlyJuly2024.pdf</t>
  </si>
  <si>
    <t xml:space="preserve">https://rennamedia.com/wp-content/uploads/2024/07/ElmoraHillsMonthlyAugust2024.pdf</t>
  </si>
  <si>
    <t xml:space="preserve">https://rennamedia.com/wp-content/uploads/2024/08/ElmoraHillsMonthlySeptember2024.pdf</t>
  </si>
  <si>
    <t xml:space="preserve">https://rennamedia.com/wp-content/uploads/2024/09/ElmoraHillsMonthlyOctober2024.pdf</t>
  </si>
  <si>
    <t xml:space="preserve">https://rennamedia.com/wp-content/uploads/2024/10/ElmoraHillsMonthlyNovember2024.pdf</t>
  </si>
  <si>
    <t xml:space="preserve">https://rennamedia.com/wp-content/uploads/2024/11/ElmoraHillsMonthlyDecember2024.pdf</t>
  </si>
  <si>
    <t xml:space="preserve">https://rennamedia.com/wp-content/uploads/2024/12/ElmoraHillsMonthlyJanuary2025i.pdf</t>
  </si>
  <si>
    <t xml:space="preserve">https://rennamedia.com/wp-content/uploads/2025/02/ElmoraHillsMonthlyFebruary2025.pdf</t>
  </si>
  <si>
    <t xml:space="preserve">https://rennamedia.com/wp-content/uploads/2025/02/ElmoraHillsMonthlyMarch2025.pdf</t>
  </si>
  <si>
    <t xml:space="preserve">https://rennamedia.com/wp-content/uploads/2025/03/ElmoraHillsMonthlyApril2025.pdf</t>
  </si>
  <si>
    <t xml:space="preserve">https://rennamedia.com/wp-content/uploads/2025/04/ElmoraHillsMonthlyMay2025.pdf</t>
  </si>
  <si>
    <t xml:space="preserve">https://rennamedia.com/wp-content/uploads/2025/05/ElmoraHillsMonthlyJune2025.pdf</t>
  </si>
  <si>
    <t xml:space="preserve">https://rennamedia.com/wp-content/uploads/2025/06/ElmoraHillsMonthlyJuly2025.pdf</t>
  </si>
  <si>
    <t xml:space="preserve">https://rennamedia.com/wp-content/uploads/2025/07/ElmoraHillsMonthlyAugust2025.pdf</t>
  </si>
  <si>
    <t xml:space="preserve">https://rennamedia.com/wp-content/uploads/2025/08/ElmoraHillsMonthlySeptember2025.pdf</t>
  </si>
  <si>
    <t xml:space="preserve">https://rennamedia.com/wp-content/uploads/2025/09/ElmoraHillsMonthlyOctober2025.pdf</t>
  </si>
  <si>
    <t xml:space="preserve">https://rennamedia.com/wp-content/uploads/2025/10/ElmoraHillsMonthlyNovember2025.pdf</t>
  </si>
  <si>
    <t xml:space="preserve">https://rennamedia.com/wp-content/uploads/2025/11/ElmoraHillsMonthlyDecember2025.pdf</t>
  </si>
  <si>
    <t xml:space="preserve">https://rennamedia.com/wp-content/uploads/2025/12/ElmoraHillsMonthlyJanuary2026.pdf</t>
  </si>
  <si>
    <t xml:space="preserve">https://rennamedia.com/wp-content/uploads/2026/01/ElmoraHillsMonthlyFebruary2026.pdf</t>
  </si>
  <si>
    <t xml:space="preserve">https://rennamedia.com/wp-content/uploads/2026/02/ElmoraHillsMonthlyMarch2026.pdf</t>
  </si>
  <si>
    <t xml:space="preserve">https://rennamedia.com/wp-content/uploads/2026/03/ElmoraHillsMonthlyApril2026.pdf</t>
  </si>
  <si>
    <t xml:space="preserve">https://rennamedia.com/wp-content/uploads/2026/04/ElmoraHillsMonthlymay2026.pdf</t>
  </si>
  <si>
    <t xml:space="preserve">fanwood-post</t>
  </si>
  <si>
    <t xml:space="preserve">https://rennamedia.com/wp-content/uploads/2021/12/FanwoodJanuary2022.pdf</t>
  </si>
  <si>
    <t xml:space="preserve">https://rennamedia.com/wp-content/uploads/2022/01/FanwoodFebruary2022.pdf</t>
  </si>
  <si>
    <t xml:space="preserve">https://rennamedia.com/wp-content/uploads/2022/02/FanwoodMarch2022.pdf</t>
  </si>
  <si>
    <t xml:space="preserve">https://rennamedia.com/wp-content/uploads/2022/03/FanwoodApril2022.pdf</t>
  </si>
  <si>
    <t xml:space="preserve">https://rennamedia.com/wp-content/uploads/2022/04/FanwoodMay2022.pdf</t>
  </si>
  <si>
    <t xml:space="preserve">https://rennamedia.com/wp-content/uploads/2022/05/FanwoodJune2022.pdf</t>
  </si>
  <si>
    <t xml:space="preserve">https://rennamedia.com/wp-content/uploads/2022/06/FanwoodJuly2022.pdf</t>
  </si>
  <si>
    <t xml:space="preserve">https://rennamedia.com/wp-content/uploads/2022/07/FanwoodAugust2022.pdf</t>
  </si>
  <si>
    <t xml:space="preserve">https://rennamedia.com/wp-content/uploads/2022/09/FanwoodSeptember2022.pdf</t>
  </si>
  <si>
    <t xml:space="preserve">https://rennamedia.com/wp-content/uploads/2022/10/FanwoodOctober2022.pdf</t>
  </si>
  <si>
    <t xml:space="preserve">https://rennamedia.com/wp-content/uploads/2022/11/FanwoodNovember2022.pdf</t>
  </si>
  <si>
    <t xml:space="preserve">https://rennamedia.com/wp-content/uploads/2022/11/FanwoodDecember2022.pdf</t>
  </si>
  <si>
    <t xml:space="preserve">https://rennamedia.com/wp-content/uploads/2022/12/FanwoodJanuary2023.pdf</t>
  </si>
  <si>
    <t xml:space="preserve">https://rennamedia.com/wp-content/uploads/2023/01/FanwoodFebruary2023.pdf</t>
  </si>
  <si>
    <t xml:space="preserve">https://rennamedia.com/wp-content/uploads/2023/02/FanwoodMarch2023.pdf</t>
  </si>
  <si>
    <t xml:space="preserve">https://rennamedia.com/wp-content/uploads/2023/03/FanwoodApril2023.pdf</t>
  </si>
  <si>
    <t xml:space="preserve">https://rennamedia.com/wp-content/uploads/2023/04/FanwoodMay2023.pdf</t>
  </si>
  <si>
    <t xml:space="preserve">https://rennamedia.com/wp-content/uploads/2023/05/FanwoodJune2023.pdf</t>
  </si>
  <si>
    <t xml:space="preserve">https://rennamedia.com/wp-content/uploads/2023/06/FanwoodJuly2023.pdf</t>
  </si>
  <si>
    <t xml:space="preserve">https://rennamedia.com/wp-content/uploads/2023/07/FanwoodAug2023.pdf</t>
  </si>
  <si>
    <t xml:space="preserve">https://rennamedia.com/wp-content/uploads/2023/08/FanwoodSep2023.pdf</t>
  </si>
  <si>
    <t xml:space="preserve">https://rennamedia.com/wp-content/uploads/2023/09/FanwoodOct2023.pdf</t>
  </si>
  <si>
    <t xml:space="preserve">https://rennamedia.com/wp-content/uploads/2023/10/FanwoodNov2023.pdf</t>
  </si>
  <si>
    <t xml:space="preserve">https://rennamedia.com/wp-content/uploads/2023/11/FanwoodDec2023.pdf</t>
  </si>
  <si>
    <t xml:space="preserve">https://rennamedia.com/wp-content/uploads/2023/12/FanwoodJan2024.pdf</t>
  </si>
  <si>
    <t xml:space="preserve">https://rennamedia.com/wp-content/uploads/2024/01/FanwoodFeb2024.pdf</t>
  </si>
  <si>
    <t xml:space="preserve">https://rennamedia.com/wp-content/uploads/2024/02/FanwoodMar2024.pdf</t>
  </si>
  <si>
    <t xml:space="preserve">https://rennamedia.com/wp-content/uploads/2024/03/FanwoodApr2024.pdf</t>
  </si>
  <si>
    <t xml:space="preserve">https://rennamedia.com/wp-content/uploads/2024/04/FanwoodMay2024.pdf</t>
  </si>
  <si>
    <t xml:space="preserve">https://rennamedia.com/wp-content/uploads/2024/05/FanwoodJune2024.pdf</t>
  </si>
  <si>
    <t xml:space="preserve">https://rennamedia.com/wp-content/uploads/2024/06/FanwoodJuly2024.pdf</t>
  </si>
  <si>
    <t xml:space="preserve">https://rennamedia.com/wp-content/uploads/2024/07/FanwoodAugust2024.pdf</t>
  </si>
  <si>
    <t xml:space="preserve">https://rennamedia.com/wp-content/uploads/2024/08/FanwoodSeptember2024.pdf</t>
  </si>
  <si>
    <t xml:space="preserve">https://rennamedia.com/wp-content/uploads/2024/10/FanwoodOctober2024x.pdf</t>
  </si>
  <si>
    <t xml:space="preserve">https://rennamedia.com/wp-content/uploads/2024/10/FanwoodNovember2024.pdf</t>
  </si>
  <si>
    <t xml:space="preserve">https://rennamedia.com/wp-content/uploads/2024/11/FanwoodDecember2024.pdf</t>
  </si>
  <si>
    <t xml:space="preserve">https://rennamedia.com/wp-content/uploads/2024/12/FanwoodJanuary2025.pdf</t>
  </si>
  <si>
    <t xml:space="preserve">https://rennamedia.com/wp-content/uploads/2025/02/FanwoodFebruary2025.pdf</t>
  </si>
  <si>
    <t xml:space="preserve">https://rennamedia.com/wp-content/uploads/2025/02/FanwoodMarch2025.pdf</t>
  </si>
  <si>
    <t xml:space="preserve">https://rennamedia.com/wp-content/uploads/2025/03/FanwoodApril2025.pdf</t>
  </si>
  <si>
    <t xml:space="preserve">https://rennamedia.com/wp-content/uploads/2025/04/FanwoodMay2025.pdf</t>
  </si>
  <si>
    <t xml:space="preserve">https://rennamedia.com/wp-content/uploads/2025/05/FanwoodJune2025.pdf</t>
  </si>
  <si>
    <t xml:space="preserve">https://rennamedia.com/wp-content/uploads/2025/06/FanwoodJuly2025.pdf</t>
  </si>
  <si>
    <t xml:space="preserve">https://rennamedia.com/wp-content/uploads/2025/07/FanwoodAugust2025.pdf</t>
  </si>
  <si>
    <t xml:space="preserve">https://rennamedia.com/wp-content/uploads/2025/08/FanwoodSeptember2025.pdf</t>
  </si>
  <si>
    <t xml:space="preserve">https://rennamedia.com/wp-content/uploads/2025/09/FanwoodOctober2025.pdf</t>
  </si>
  <si>
    <t xml:space="preserve">https://rennamedia.com/wp-content/uploads/2025/10/FanwoodNovember2025.pdf</t>
  </si>
  <si>
    <t xml:space="preserve">https://rennamedia.com/wp-content/uploads/2025/11/FanwoodDecember2025.pdf</t>
  </si>
  <si>
    <t xml:space="preserve">https://rennamedia.com/wp-content/uploads/2025/12/FanwoodJanuary2026.pdf</t>
  </si>
  <si>
    <t xml:space="preserve">https://rennamedia.com/wp-content/uploads/2026/01/FanwoodFebruary2026.pdf</t>
  </si>
  <si>
    <t xml:space="preserve">https://rennamedia.com/wp-content/uploads/2026/02/FanwoodMarch2026.pdf</t>
  </si>
  <si>
    <t xml:space="preserve">https://rennamedia.com/wp-content/uploads/2026/03/FanwoodApril2026.pdf</t>
  </si>
  <si>
    <t xml:space="preserve">https://rennamedia.com/wp-content/uploads/2026/04/FanwoodMay2026.pdf</t>
  </si>
  <si>
    <t xml:space="preserve">florham-park-press</t>
  </si>
  <si>
    <t xml:space="preserve">https://rennamedia.com/wp-content/uploads/2022/02/FlorhamParkMonthlyMarch2022.pdf</t>
  </si>
  <si>
    <t xml:space="preserve">https://rennamedia.com/wp-content/uploads/2022/03/FlorhamParkMonthlyApril2022.pdf</t>
  </si>
  <si>
    <t xml:space="preserve">https://rennamedia.com/wp-content/uploads/2022/04/FlorhamParkMonthlyMay2022.pdf</t>
  </si>
  <si>
    <t xml:space="preserve">https://rennamedia.com/wp-content/uploads/2022/05/FlorhamParkMonthlyJune2022.pdf</t>
  </si>
  <si>
    <t xml:space="preserve">https://rennamedia.com/wp-content/uploads/2022/06/FlorhamParkMonthlyJuly2022.pdf</t>
  </si>
  <si>
    <t xml:space="preserve">https://rennamedia.com/wp-content/uploads/2022/07/FlorhamParkMonthlyAugust2022.pdf</t>
  </si>
  <si>
    <t xml:space="preserve">https://rennamedia.com/wp-content/uploads/2022/09/FlorhamParkMonthlySeptember2022.pdf</t>
  </si>
  <si>
    <t xml:space="preserve">https://rennamedia.com/wp-content/uploads/2022/10/FlorhamParkMonthlyOctober2022.pdf</t>
  </si>
  <si>
    <t xml:space="preserve">https://rennamedia.com/wp-content/uploads/2022/11/FlorhamParkMonthlyNovember2022.pdf</t>
  </si>
  <si>
    <t xml:space="preserve">https://rennamedia.com/wp-content/uploads/2022/11/FlorhamParkMonthlyDecember2022.pdf</t>
  </si>
  <si>
    <t xml:space="preserve">https://rennamedia.com/wp-content/uploads/2022/12/FlorhamParkMonthlyJanuary2023.pdf</t>
  </si>
  <si>
    <t xml:space="preserve">https://rennamedia.com/wp-content/uploads/2023/01/FlorhamParkMonthlyFebruary2023.pdf</t>
  </si>
  <si>
    <t xml:space="preserve">https://rennamedia.com/wp-content/uploads/2023/02/FlorhamParkMonthlyMarch2023.pdf</t>
  </si>
  <si>
    <t xml:space="preserve">https://rennamedia.com/wp-content/uploads/2023/03/FlorhamParkMonthlyApril2023.pdf</t>
  </si>
  <si>
    <t xml:space="preserve">https://rennamedia.com/wp-content/uploads/2023/04/FlorhamParkMonthlyMay2023.pdf</t>
  </si>
  <si>
    <t xml:space="preserve">https://rennamedia.com/wp-content/uploads/2023/05/FlorhamParkMonthlyJune2023.pdf</t>
  </si>
  <si>
    <t xml:space="preserve">https://rennamedia.com/wp-content/uploads/2023/06/FlorhamParkMonthlyJuly2023.pdf</t>
  </si>
  <si>
    <t xml:space="preserve">https://rennamedia.com/wp-content/uploads/2023/07/FlorhamParkMonthlyAug2023.pdf</t>
  </si>
  <si>
    <t xml:space="preserve">https://rennamedia.com/wp-content/uploads/2023/08/FlorhamParkMonthlySep2023.pdf</t>
  </si>
  <si>
    <t xml:space="preserve">https://rennamedia.com/wp-content/uploads/2023/09/FlorhamParkMonthlyOct2023.pdf</t>
  </si>
  <si>
    <t xml:space="preserve">https://rennamedia.com/wp-content/uploads/2023/10/FlorhamParkMonthlyNov2023.pdf</t>
  </si>
  <si>
    <t xml:space="preserve">https://rennamedia.com/wp-content/uploads/2023/11/FlorhamParkMonthlyDec2023.pdf</t>
  </si>
  <si>
    <t xml:space="preserve">https://rennamedia.com/wp-content/uploads/2023/12/FlorhamParkMonthlyJan2024.pdf</t>
  </si>
  <si>
    <t xml:space="preserve">https://rennamedia.com/wp-content/uploads/2024/01/FlorhamParkMonthlyFeb2024.pdf</t>
  </si>
  <si>
    <t xml:space="preserve">https://rennamedia.com/wp-content/uploads/2024/02/FlorhamParkMonthlyMar2024.pdf</t>
  </si>
  <si>
    <t xml:space="preserve">https://rennamedia.com/wp-content/uploads/2024/03/FlorhamParkMonthlyApr2024.pdf</t>
  </si>
  <si>
    <t xml:space="preserve">https://rennamedia.com/wp-content/uploads/2024/04/FlorhamParkMonthlyMay2024.pdf</t>
  </si>
  <si>
    <t xml:space="preserve">https://rennamedia.com/wp-content/uploads/2024/05/FlorhamParkMonthlyJune2024.pdf</t>
  </si>
  <si>
    <t xml:space="preserve">https://rennamedia.com/wp-content/uploads/2024/06/FlorhamParkMonthlyJuly2024.pdf</t>
  </si>
  <si>
    <t xml:space="preserve">https://rennamedia.com/wp-content/uploads/2024/07/FlorhamParkMonthlyAugust2024.pdf</t>
  </si>
  <si>
    <t xml:space="preserve">https://rennamedia.com/wp-content/uploads/2024/08/FlorhamParkMonthlySeptember2024.pdf</t>
  </si>
  <si>
    <t xml:space="preserve">https://rennamedia.com/wp-content/uploads/2024/09/FlorhamParkMonthlyOctober2024.pdf</t>
  </si>
  <si>
    <t xml:space="preserve">https://rennamedia.com/wp-content/uploads/2024/10/FlorhamParkMonthlyNovember2024.pdf</t>
  </si>
  <si>
    <t xml:space="preserve">https://rennamedia.com/wp-content/uploads/2024/11/FlorhamParkMonthlyDecember2024.pdf</t>
  </si>
  <si>
    <t xml:space="preserve">https://rennamedia.com/wp-content/uploads/2024/12/FlorhamParkMonthlyJanuary2025.pdf</t>
  </si>
  <si>
    <t xml:space="preserve">https://rennamedia.com/wp-content/uploads/2025/02/FlorhamParkMonthlyFebruary2025.pdf</t>
  </si>
  <si>
    <t xml:space="preserve">https://rennamedia.com/wp-content/uploads/2025/02/FlorhamParkMonthlyMarch2025.pdf</t>
  </si>
  <si>
    <t xml:space="preserve">https://rennamedia.com/wp-content/uploads/2025/03/FlorhamParkMonthlyApril2025.pdf</t>
  </si>
  <si>
    <t xml:space="preserve">https://rennamedia.com/wp-content/uploads/2025/04/FlorhamParkMonthlyMay2025.pdf</t>
  </si>
  <si>
    <t xml:space="preserve">https://rennamedia.com/wp-content/uploads/2025/05/FlorhamParkMonthlyJune2025.pdf</t>
  </si>
  <si>
    <t xml:space="preserve">https://rennamedia.com/wp-content/uploads/2025/06/FlorhamParkMonthlyJuly2025.pdf</t>
  </si>
  <si>
    <t xml:space="preserve">https://rennamedia.com/wp-content/uploads/2025/07/FlorhamParkMonthlyAugust2025.pdf</t>
  </si>
  <si>
    <t xml:space="preserve">https://rennamedia.com/wp-content/uploads/2025/09/FlorhamParkMonthlyOctober2025.pdf</t>
  </si>
  <si>
    <t xml:space="preserve">https://rennamedia.com/wp-content/uploads/2025/10/FlorhamParkMonthlyNovember2025.pdf</t>
  </si>
  <si>
    <t xml:space="preserve">https://rennamedia.com/wp-content/uploads/2025/11/FlorhamParkMonthlyDecember2025.pdf</t>
  </si>
  <si>
    <t xml:space="preserve">https://rennamedia.com/wp-content/uploads/2025/12/FlorhamParkMonthlyJanuary2026.pdf</t>
  </si>
  <si>
    <t xml:space="preserve">https://rennamedia.com/wp-content/uploads/2026/01/FlorhamParkMonthlyFebruary2026.pdf</t>
  </si>
  <si>
    <t xml:space="preserve">https://rennamedia.com/wp-content/uploads/2026/02/FlorhamParkMonthlyMarch2026.pdf</t>
  </si>
  <si>
    <t xml:space="preserve">https://rennamedia.com/wp-content/uploads/2026/03/FlorhamParkMonthlyApril2026.pdf</t>
  </si>
  <si>
    <t xml:space="preserve">https://rennamedia.com/wp-content/uploads/2026/04/FlorhamParkMonthlyMay2026.pdf</t>
  </si>
  <si>
    <t xml:space="preserve">garwood-times</t>
  </si>
  <si>
    <t xml:space="preserve">https://rennamedia.com/wp-content/uploads/2021/12/GarwoodJanuary2022.pdf</t>
  </si>
  <si>
    <t xml:space="preserve">https://rennamedia.com/wp-content/uploads/2022/01/GarwoodFebruary2022.pdf</t>
  </si>
  <si>
    <t xml:space="preserve">https://rennamedia.com/wp-content/uploads/2022/02/GarwoodMarch2022.pdf</t>
  </si>
  <si>
    <t xml:space="preserve">https://rennamedia.com/wp-content/uploads/2022/03/GarwoodApril2022.pdf</t>
  </si>
  <si>
    <t xml:space="preserve">https://rennamedia.com/wp-content/uploads/2022/04/GarwoodMay2022.pdf</t>
  </si>
  <si>
    <t xml:space="preserve">https://rennamedia.com/wp-content/uploads/2022/05/GarwoodJune2022.pdf</t>
  </si>
  <si>
    <t xml:space="preserve">https://rennamedia.com/wp-content/uploads/2022/06/GarwoodJuly2022.pdf</t>
  </si>
  <si>
    <t xml:space="preserve">https://rennamedia.com/wp-content/uploads/2022/07/GarwoodAugust2022.pdf</t>
  </si>
  <si>
    <t xml:space="preserve">https://rennamedia.com/wp-content/uploads/2022/09/GarwoodSeptember2022.pdf</t>
  </si>
  <si>
    <t xml:space="preserve">https://rennamedia.com/wp-content/uploads/2022/10/GarwoodOctober2022.pdf</t>
  </si>
  <si>
    <t xml:space="preserve">https://rennamedia.com/wp-content/uploads/2022/11/GarwoodNovember2022.pdf</t>
  </si>
  <si>
    <t xml:space="preserve">https://rennamedia.com/wp-content/uploads/2022/11/GarwoodDecember2022.pdf</t>
  </si>
  <si>
    <t xml:space="preserve">https://rennamedia.com/wp-content/uploads/2022/12/GarwoodJanuary2023.pdf</t>
  </si>
  <si>
    <t xml:space="preserve">https://rennamedia.com/wp-content/uploads/2023/01/GarwoodFebruary2023.pdf</t>
  </si>
  <si>
    <t xml:space="preserve">https://rennamedia.com/wp-content/uploads/2023/02/GarwoodMarch2023.pdf</t>
  </si>
  <si>
    <t xml:space="preserve">https://rennamedia.com/wp-content/uploads/2023/03/GarwoodApril2023.pdf</t>
  </si>
  <si>
    <t xml:space="preserve">https://rennamedia.com/wp-content/uploads/2023/04/GarwoodMay2023.pdf</t>
  </si>
  <si>
    <t xml:space="preserve">https://rennamedia.com/wp-content/uploads/2023/05/GarwoodJune2023.pdf</t>
  </si>
  <si>
    <t xml:space="preserve">https://rennamedia.com/wp-content/uploads/2023/06/GarwoodJuly2023.pdf</t>
  </si>
  <si>
    <t xml:space="preserve">https://rennamedia.com/wp-content/uploads/2023/07/GarwoodAug2023.pdf</t>
  </si>
  <si>
    <t xml:space="preserve">https://rennamedia.com/wp-content/uploads/2023/08/GarwoodSep2023.pdf</t>
  </si>
  <si>
    <t xml:space="preserve">https://rennamedia.com/wp-content/uploads/2023/09/GarwoodOct2023.pdf</t>
  </si>
  <si>
    <t xml:space="preserve">https://rennamedia.com/wp-content/uploads/2023/10/GarwoodNov2023.pdf</t>
  </si>
  <si>
    <t xml:space="preserve">https://rennamedia.com/wp-content/uploads/2023/11/GarwoodDec2023.pdf</t>
  </si>
  <si>
    <t xml:space="preserve">https://rennamedia.com/wp-content/uploads/2023/12/GarwoodJan2024.pdf</t>
  </si>
  <si>
    <t xml:space="preserve">https://rennamedia.com/wp-content/uploads/2024/01/GarwoodFeb2024.pdf</t>
  </si>
  <si>
    <t xml:space="preserve">https://rennamedia.com/wp-content/uploads/2024/02/GarwoodMar2024.pdf</t>
  </si>
  <si>
    <t xml:space="preserve">https://rennamedia.com/wp-content/uploads/2024/03/GarwoodApr2024.pdf</t>
  </si>
  <si>
    <t xml:space="preserve">https://rennamedia.com/wp-content/uploads/2024/04/GarwoodMay2024.pdf</t>
  </si>
  <si>
    <t xml:space="preserve">https://rennamedia.com/wp-content/uploads/2024/05/GarwoodJune2024.pdf</t>
  </si>
  <si>
    <t xml:space="preserve">https://rennamedia.com/wp-content/uploads/2024/06/GarwoodJuly2024.pdf</t>
  </si>
  <si>
    <t xml:space="preserve">https://rennamedia.com/wp-content/uploads/2024/07/GarwoodAugust2024.pdf</t>
  </si>
  <si>
    <t xml:space="preserve">https://rennamedia.com/wp-content/uploads/2024/08/GarwoodSeptember2024.pdf</t>
  </si>
  <si>
    <t xml:space="preserve">https://rennamedia.com/wp-content/uploads/2024/09/GarwoodOctober2024.pdf</t>
  </si>
  <si>
    <t xml:space="preserve">https://rennamedia.com/wp-content/uploads/2024/10/GarwoodNovember2024.pdf</t>
  </si>
  <si>
    <t xml:space="preserve">https://rennamedia.com/wp-content/uploads/2024/11/GarwoodDecember2024.pdf</t>
  </si>
  <si>
    <t xml:space="preserve">https://rennamedia.com/wp-content/uploads/2024/12/GarwoodJanuary2025.pdf</t>
  </si>
  <si>
    <t xml:space="preserve">https://rennamedia.com/wp-content/uploads/2025/02/GarwoodFebruary2025.pdf</t>
  </si>
  <si>
    <t xml:space="preserve">https://rennamedia.com/wp-content/uploads/2025/02/GarwoodMarch2025.pdf</t>
  </si>
  <si>
    <t xml:space="preserve">https://rennamedia.com/wp-content/uploads/2025/03/GarwoodApril2025i.pdf</t>
  </si>
  <si>
    <t xml:space="preserve">https://rennamedia.com/wp-content/uploads/2025/04/GarwoodMay2025.pdf</t>
  </si>
  <si>
    <t xml:space="preserve">https://rennamedia.com/wp-content/uploads/2025/05/GarwoodJune2025.pdf</t>
  </si>
  <si>
    <t xml:space="preserve">https://rennamedia.com/wp-content/uploads/2025/06/GarwoodJuly2025.pdf</t>
  </si>
  <si>
    <t xml:space="preserve">https://rennamedia.com/wp-content/uploads/2025/07/GarwoodAugust2025.pdf</t>
  </si>
  <si>
    <t xml:space="preserve">https://rennamedia.com/wp-content/uploads/2025/08/GarwoodSeptember2025.pdf</t>
  </si>
  <si>
    <t xml:space="preserve">https://rennamedia.com/wp-content/uploads/2025/09/GarwoodOctober2025.pdf</t>
  </si>
  <si>
    <t xml:space="preserve">https://rennamedia.com/wp-content/uploads/2025/10/GarwoodNovember2025.pdf</t>
  </si>
  <si>
    <t xml:space="preserve">https://rennamedia.com/wp-content/uploads/2025/11/GarwoodDecember2025.pdf</t>
  </si>
  <si>
    <t xml:space="preserve">https://rennamedia.com/wp-content/uploads/2025/12/GarwoodJanuary2026.pdf</t>
  </si>
  <si>
    <t xml:space="preserve">https://rennamedia.com/wp-content/uploads/2026/01/GarwoodFebruary2026.pdf</t>
  </si>
  <si>
    <t xml:space="preserve">https://rennamedia.com/wp-content/uploads/2026/02/GarwoodMarch2026.pdf</t>
  </si>
  <si>
    <t xml:space="preserve">https://rennamedia.com/wp-content/uploads/2026/03/GarwoodApril2026.pdf</t>
  </si>
  <si>
    <t xml:space="preserve">https://rennamedia.com/wp-content/uploads/2026/04/GarwoodMay2026.pdf</t>
  </si>
  <si>
    <t xml:space="preserve">green-brook-gazette</t>
  </si>
  <si>
    <t xml:space="preserve">https://rennamedia.com/wp-content/uploads/2021/12/GreenBrookJanuary2022.pdf</t>
  </si>
  <si>
    <t xml:space="preserve">https://rennamedia.com/wp-content/uploads/2022/01/GreenBrookFebruary2022.pdf</t>
  </si>
  <si>
    <t xml:space="preserve">https://rennamedia.com/wp-content/uploads/2022/02/GreenBrookMarch2022.pdf</t>
  </si>
  <si>
    <t xml:space="preserve">https://rennamedia.com/wp-content/uploads/2022/03/GreenBrookApril2022.pdf</t>
  </si>
  <si>
    <t xml:space="preserve">https://rennamedia.com/wp-content/uploads/2022/04/GreenBrookMay2022.pdf</t>
  </si>
  <si>
    <t xml:space="preserve">https://rennamedia.com/wp-content/uploads/2022/05/GreenBrookJune2022.pdf</t>
  </si>
  <si>
    <t xml:space="preserve">https://rennamedia.com/wp-content/uploads/2022/06/GreenBrookJuly2022.pdf</t>
  </si>
  <si>
    <t xml:space="preserve">https://rennamedia.com/wp-content/uploads/2022/07/GreenBrookAugust2022.pdf</t>
  </si>
  <si>
    <t xml:space="preserve">https://rennamedia.com/wp-content/uploads/2022/09/GreenBrookSeptember2022.pdf</t>
  </si>
  <si>
    <t xml:space="preserve">https://rennamedia.com/wp-content/uploads/2022/10/GreenBrookOctober2022.pdf</t>
  </si>
  <si>
    <t xml:space="preserve">https://rennamedia.com/wp-content/uploads/2022/11/GreenBrookNovember2022.pdf</t>
  </si>
  <si>
    <t xml:space="preserve">https://rennamedia.com/wp-content/uploads/2022/11/GreenBrookDecember2022.pdf</t>
  </si>
  <si>
    <t xml:space="preserve">https://rennamedia.com/wp-content/uploads/2022/12/GreenBrookJanuary2023.pdf</t>
  </si>
  <si>
    <t xml:space="preserve">https://rennamedia.com/wp-content/uploads/2023/01/GreenBrookFebruary2023.pdf</t>
  </si>
  <si>
    <t xml:space="preserve">https://rennamedia.com/wp-content/uploads/2023/02/GreenBrookMarch2023.pdf</t>
  </si>
  <si>
    <t xml:space="preserve">https://rennamedia.com/wp-content/uploads/2023/03/GreenBrookApril2023.pdf</t>
  </si>
  <si>
    <t xml:space="preserve">https://rennamedia.com/wp-content/uploads/2023/04/GreenBrookMay2023.pdf</t>
  </si>
  <si>
    <t xml:space="preserve">https://rennamedia.com/wp-content/uploads/2023/05/GreenBrookJune2023.pdf</t>
  </si>
  <si>
    <t xml:space="preserve">https://rennamedia.com/wp-content/uploads/2023/06/GreenBrookJuly2023.pdf</t>
  </si>
  <si>
    <t xml:space="preserve">https://rennamedia.com/wp-content/uploads/2023/07/GreenBrookAug2023.pdf</t>
  </si>
  <si>
    <t xml:space="preserve">https://rennamedia.com/wp-content/uploads/2023/08/GreenBrookSep2023.pdf</t>
  </si>
  <si>
    <t xml:space="preserve">https://rennamedia.com/wp-content/uploads/2023/09/GreenBrookOct2023.pdf</t>
  </si>
  <si>
    <t xml:space="preserve">https://rennamedia.com/wp-content/uploads/2023/10/GreenBrookNov2023.pdf</t>
  </si>
  <si>
    <t xml:space="preserve">https://rennamedia.com/wp-content/uploads/2023/11/GreenBrookDec2023.pdf</t>
  </si>
  <si>
    <t xml:space="preserve">https://rennamedia.com/wp-content/uploads/2023/12/GreenBrookJan2024.pdf</t>
  </si>
  <si>
    <t xml:space="preserve">https://rennamedia.com/wp-content/uploads/2024/01/GreenBrookFeb2024.pdf</t>
  </si>
  <si>
    <t xml:space="preserve">https://rennamedia.com/wp-content/uploads/2024/02/GreenBrookMar2024.pdf</t>
  </si>
  <si>
    <t xml:space="preserve">https://rennamedia.com/wp-content/uploads/2024/03/GreenBrookApr2024.pdf</t>
  </si>
  <si>
    <t xml:space="preserve">https://rennamedia.com/wp-content/uploads/2024/04/GreenBrookMay2024.pdf</t>
  </si>
  <si>
    <t xml:space="preserve">https://rennamedia.com/wp-content/uploads/2024/05/GreenBrookJune2024.pdf</t>
  </si>
  <si>
    <t xml:space="preserve">https://rennamedia.com/wp-content/uploads/2024/06/GreenBrookJuly2024.pdf</t>
  </si>
  <si>
    <t xml:space="preserve">https://rennamedia.com/wp-content/uploads/2024/07/GreenBrookAugust2024.pdf</t>
  </si>
  <si>
    <t xml:space="preserve">https://rennamedia.com/wp-content/uploads/2024/08/GreenBrookSeptember2024.pdf</t>
  </si>
  <si>
    <t xml:space="preserve">https://rennamedia.com/wp-content/uploads/2024/09/GreenBrookOctober2024.pdf</t>
  </si>
  <si>
    <t xml:space="preserve">https://rennamedia.com/wp-content/uploads/2024/10/GreenBrookNovember2024.pdf</t>
  </si>
  <si>
    <t xml:space="preserve">https://rennamedia.com/wp-content/uploads/2024/11/GreenBrookDecember2024.pdf</t>
  </si>
  <si>
    <t xml:space="preserve">https://rennamedia.com/wp-content/uploads/2024/12/GreenBrookJanuary2025.pdf</t>
  </si>
  <si>
    <t xml:space="preserve">https://rennamedia.com/wp-content/uploads/2025/02/GreenBrookFebruary2025.pdf</t>
  </si>
  <si>
    <t xml:space="preserve">https://rennamedia.com/wp-content/uploads/2025/02/GreenBrookMarch2025.pdf</t>
  </si>
  <si>
    <t xml:space="preserve">https://rennamedia.com/wp-content/uploads/2025/03/GreenBrookApril2025.pdf</t>
  </si>
  <si>
    <t xml:space="preserve">https://rennamedia.com/wp-content/uploads/2025/04/GreenBrookMay2025.pdf</t>
  </si>
  <si>
    <t xml:space="preserve">https://rennamedia.com/wp-content/uploads/2025/05/GreenBrookJune2025.pdf</t>
  </si>
  <si>
    <t xml:space="preserve">https://rennamedia.com/wp-content/uploads/2025/06/GreenBrookJuly2025.pdf</t>
  </si>
  <si>
    <t xml:space="preserve">https://rennamedia.com/wp-content/uploads/2025/07/GreenBrookAugust2025.pdf</t>
  </si>
  <si>
    <t xml:space="preserve">https://rennamedia.com/wp-content/uploads/2025/08/GreenBrookSeptember2025.pdf</t>
  </si>
  <si>
    <t xml:space="preserve">https://rennamedia.com/wp-content/uploads/2025/09/GreenBrookOctober2025.pdf</t>
  </si>
  <si>
    <t xml:space="preserve">https://rennamedia.com/wp-content/uploads/2025/10/GreenBrookNovember2025.pdf</t>
  </si>
  <si>
    <t xml:space="preserve">https://rennamedia.com/wp-content/uploads/2025/11/GreenBrookDecember2025.pdf</t>
  </si>
  <si>
    <t xml:space="preserve">https://rennamedia.com/wp-content/uploads/2025/12/GreenBrookJanuary2026.pdf</t>
  </si>
  <si>
    <t xml:space="preserve">https://rennamedia.com/wp-content/uploads/2026/02/GreenBrookFebruary2026.pdf</t>
  </si>
  <si>
    <t xml:space="preserve">https://rennamedia.com/wp-content/uploads/2026/02/GreenBrookMarch2026.pdf</t>
  </si>
  <si>
    <t xml:space="preserve">https://rennamedia.com/wp-content/uploads/2026/03/GreenBrookApril2026.pdf</t>
  </si>
  <si>
    <t xml:space="preserve">https://rennamedia.com/wp-content/uploads/2026/04/GreenBrookMay2026.pdf</t>
  </si>
  <si>
    <t xml:space="preserve">hanover-township-press</t>
  </si>
  <si>
    <t xml:space="preserve">https://rennamedia.com/wp-content/uploads/2024/11/HanoverPressDecember2024.pdf</t>
  </si>
  <si>
    <t xml:space="preserve">https://rennamedia.com/wp-content/uploads/2024/12/HanoverPressJanuary2025.pdf</t>
  </si>
  <si>
    <t xml:space="preserve">https://rennamedia.com/wp-content/uploads/2025/02/HanoverPressFebruary2025.pdf</t>
  </si>
  <si>
    <t xml:space="preserve">https://rennamedia.com/wp-content/uploads/2025/02/HanoverPressMarch2025.pdf</t>
  </si>
  <si>
    <t xml:space="preserve">https://rennamedia.com/wp-content/uploads/2025/03/HanoverPressApril2025.pdf</t>
  </si>
  <si>
    <t xml:space="preserve">https://rennamedia.com/wp-content/uploads/2025/04/HanoverPressMay2025.pdf</t>
  </si>
  <si>
    <t xml:space="preserve">https://rennamedia.com/wp-content/uploads/2025/05/HanoverPressJune2025.pdf</t>
  </si>
  <si>
    <t xml:space="preserve">https://rennamedia.com/wp-content/uploads/2025/06/HanoverPressJuly2025.pdf</t>
  </si>
  <si>
    <t xml:space="preserve">https://rennamedia.com/wp-content/uploads/2025/07/HanoverPressAugust2025.pdf</t>
  </si>
  <si>
    <t xml:space="preserve">https://rennamedia.com/wp-content/uploads/2025/08/HanoverPressSeptember2025.pdf</t>
  </si>
  <si>
    <t xml:space="preserve">https://rennamedia.com/wp-content/uploads/2025/09/HanoverPressOctober2025.pdf</t>
  </si>
  <si>
    <t xml:space="preserve">https://rennamedia.com/wp-content/uploads/2025/10/HanoverPressNovember2025.pdf</t>
  </si>
  <si>
    <t xml:space="preserve">https://rennamedia.com/wp-content/uploads/2025/11/HanoverPressDecember2025.pdf</t>
  </si>
  <si>
    <t xml:space="preserve">https://rennamedia.com/wp-content/uploads/2025/12/HanoverPressJanuary2026.pdf</t>
  </si>
  <si>
    <t xml:space="preserve">https://rennamedia.com/wp-content/uploads/2026/01/HanoverPressFebruary2026.pdf</t>
  </si>
  <si>
    <t xml:space="preserve">https://rennamedia.com/wp-content/uploads/2026/02/HanoverPressMarch2026.pdf</t>
  </si>
  <si>
    <t xml:space="preserve">https://rennamedia.com/wp-content/uploads/2026/03/HanoverPressApril2026.pdf</t>
  </si>
  <si>
    <t xml:space="preserve">https://rennamedia.com/wp-content/uploads/2026/04/HanoverPressMay2026.pdf</t>
  </si>
  <si>
    <t xml:space="preserve">kenilworth-business-life</t>
  </si>
  <si>
    <t xml:space="preserve">https://rennamedia.com/wp-content/uploads/2021/12/KenilworthJanuary2022.pdf</t>
  </si>
  <si>
    <t xml:space="preserve">https://rennamedia.com/wp-content/uploads/2022/01/KenilworthFebruary2022.pdf</t>
  </si>
  <si>
    <t xml:space="preserve">https://rennamedia.com/wp-content/uploads/2022/02/KenilworthMarch2022.pdf</t>
  </si>
  <si>
    <t xml:space="preserve">https://rennamedia.com/wp-content/uploads/2022/03/KenilworthApril2022.pdf</t>
  </si>
  <si>
    <t xml:space="preserve">https://rennamedia.com/wp-content/uploads/2022/04/KenilworthMay2022.pdf</t>
  </si>
  <si>
    <t xml:space="preserve">https://rennamedia.com/wp-content/uploads/2022/05/KenilworthJune2022.pdf</t>
  </si>
  <si>
    <t xml:space="preserve">https://rennamedia.com/wp-content/uploads/2022/06/KenilworthJuly2022.pdf</t>
  </si>
  <si>
    <t xml:space="preserve">https://rennamedia.com/wp-content/uploads/2022/07/KenilworthAugust2022.pdf</t>
  </si>
  <si>
    <t xml:space="preserve">https://rennamedia.com/wp-content/uploads/2022/09/KenilworthSeptember2022.pdf</t>
  </si>
  <si>
    <t xml:space="preserve">https://rennamedia.com/wp-content/uploads/2022/10/KenilworthOctober2022.pdf</t>
  </si>
  <si>
    <t xml:space="preserve">https://rennamedia.com/wp-content/uploads/2022/11/KenilworthNovember2022.pdf</t>
  </si>
  <si>
    <t xml:space="preserve">https://rennamedia.com/wp-content/uploads/2022/11/KenilworthDecember2022.pdf</t>
  </si>
  <si>
    <t xml:space="preserve">https://rennamedia.com/wp-content/uploads/2022/12/KenilworthJanuary2023.pdf</t>
  </si>
  <si>
    <t xml:space="preserve">https://rennamedia.com/wp-content/uploads/2023/01/KenilworthFebruary2023.pdf</t>
  </si>
  <si>
    <t xml:space="preserve">https://rennamedia.com/wp-content/uploads/2023/02/KenilworthMarch2023.pdf</t>
  </si>
  <si>
    <t xml:space="preserve">https://rennamedia.com/wp-content/uploads/2023/03/KenilworthApril2023.pdf</t>
  </si>
  <si>
    <t xml:space="preserve">https://rennamedia.com/wp-content/uploads/2023/04/KenilworthMay2023.pdf</t>
  </si>
  <si>
    <t xml:space="preserve">https://rennamedia.com/wp-content/uploads/2023/05/KenilworthJune2023.pdf</t>
  </si>
  <si>
    <t xml:space="preserve">https://rennamedia.com/wp-content/uploads/2023/06/KenilworthJuly2023.pdf</t>
  </si>
  <si>
    <t xml:space="preserve">https://rennamedia.com/wp-content/uploads/2023/07/KenilworthAug2023.pdf</t>
  </si>
  <si>
    <t xml:space="preserve">https://rennamedia.com/wp-content/uploads/2023/08/KenilworthSep2023.pdf</t>
  </si>
  <si>
    <t xml:space="preserve">https://rennamedia.com/wp-content/uploads/2023/09/KenilworthOct2023.pdf</t>
  </si>
  <si>
    <t xml:space="preserve">https://rennamedia.com/wp-content/uploads/2023/10/KenilworthNov2023.pdf</t>
  </si>
  <si>
    <t xml:space="preserve">https://rennamedia.com/wp-content/uploads/2023/11/KenilworthDec2023.pdf</t>
  </si>
  <si>
    <t xml:space="preserve">https://rennamedia.com/wp-content/uploads/2023/12/KenilworthJan2024.pdf</t>
  </si>
  <si>
    <t xml:space="preserve">https://rennamedia.com/wp-content/uploads/2024/01/KenilworthFeb2024proof.pdf</t>
  </si>
  <si>
    <t xml:space="preserve">https://rennamedia.com/wp-content/uploads/2024/02/KenilworthMar2024.pdf</t>
  </si>
  <si>
    <t xml:space="preserve">https://rennamedia.com/wp-content/uploads/2024/03/KenilworthApr2024.pdf</t>
  </si>
  <si>
    <t xml:space="preserve">https://rennamedia.com/wp-content/uploads/2024/04/KenilworthMay2024.pdf</t>
  </si>
  <si>
    <t xml:space="preserve">https://rennamedia.com/wp-content/uploads/2024/05/KenilworthJune2024.pdf</t>
  </si>
  <si>
    <t xml:space="preserve">https://rennamedia.com/wp-content/uploads/2024/06/KenilworthJuly2024.pdf</t>
  </si>
  <si>
    <t xml:space="preserve">https://rennamedia.com/wp-content/uploads/2024/07/KenilworthAugust2024.pdf</t>
  </si>
  <si>
    <t xml:space="preserve">https://rennamedia.com/wp-content/uploads/2024/08/KenilworthSeptember2024.pdf</t>
  </si>
  <si>
    <t xml:space="preserve">https://rennamedia.com/wp-content/uploads/2024/09/KenilworthOctober2024.pdf</t>
  </si>
  <si>
    <t xml:space="preserve">https://rennamedia.com/wp-content/uploads/2024/10/KenilworthNovember2024.pdf</t>
  </si>
  <si>
    <t xml:space="preserve">https://rennamedia.com/wp-content/uploads/2024/11/KenilworthDecember2024.pdf</t>
  </si>
  <si>
    <t xml:space="preserve">https://rennamedia.com/wp-content/uploads/2024/12/KenilworthJanuary2025.pdf</t>
  </si>
  <si>
    <t xml:space="preserve">https://rennamedia.com/wp-content/uploads/2025/02/KenilworthFebruary2025.pdf</t>
  </si>
  <si>
    <t xml:space="preserve">https://rennamedia.com/wp-content/uploads/2025/02/KenilworthMarch2025.pdf</t>
  </si>
  <si>
    <t xml:space="preserve">https://rennamedia.com/wp-content/uploads/2025/03/KenilworthApril2025.pdf</t>
  </si>
  <si>
    <t xml:space="preserve">https://rennamedia.com/wp-content/uploads/2025/04/KenilworthMay2025.pdf</t>
  </si>
  <si>
    <t xml:space="preserve">https://rennamedia.com/wp-content/uploads/2025/05/KenilworthJune2025.pdf</t>
  </si>
  <si>
    <t xml:space="preserve">https://rennamedia.com/wp-content/uploads/2025/06/KenilworthJuly2025.pdf</t>
  </si>
  <si>
    <t xml:space="preserve">https://rennamedia.com/wp-content/uploads/2025/07/KenilworthAugust2025.pdf</t>
  </si>
  <si>
    <t xml:space="preserve">https://rennamedia.com/wp-content/uploads/2025/08/KenilworthSeptember2025.pdf</t>
  </si>
  <si>
    <t xml:space="preserve">https://rennamedia.com/wp-content/uploads/2025/09/KenilworthOctober2025.pdf</t>
  </si>
  <si>
    <t xml:space="preserve">https://rennamedia.com/wp-content/uploads/2025/10/KenilworthNovember2025.pdf</t>
  </si>
  <si>
    <t xml:space="preserve">https://rennamedia.com/wp-content/uploads/2025/11/KenilworthDecember2025.pdf</t>
  </si>
  <si>
    <t xml:space="preserve">https://rennamedia.com/wp-content/uploads/2025/12/KenilworthJanuary2026.pdf</t>
  </si>
  <si>
    <t xml:space="preserve">https://rennamedia.com/wp-content/uploads/2026/01/KenilworthFebruary2026.pdf</t>
  </si>
  <si>
    <t xml:space="preserve">https://rennamedia.com/wp-content/uploads/2026/02/KenilworthMarch2026.pdf</t>
  </si>
  <si>
    <t xml:space="preserve">https://rennamedia.com/wp-content/uploads/2026/03/KenilworthApril2026.pdf</t>
  </si>
  <si>
    <t xml:space="preserve">https://rennamedia.com/wp-content/uploads/2026/04/KenilworthMay2026.pdf</t>
  </si>
  <si>
    <t xml:space="preserve">life-in-linden</t>
  </si>
  <si>
    <t xml:space="preserve">https://rennamedia.com/wp-content/uploads/2021/12/LindenJanuary2022.pdf</t>
  </si>
  <si>
    <t xml:space="preserve">https://rennamedia.com/wp-content/uploads/2022/01/LindenFebruary2022.pdf</t>
  </si>
  <si>
    <t xml:space="preserve">https://rennamedia.com/wp-content/uploads/2022/02/LindenMarch2022.pdf</t>
  </si>
  <si>
    <t xml:space="preserve">https://rennamedia.com/wp-content/uploads/2022/03/LindenApril2022.pdf</t>
  </si>
  <si>
    <t xml:space="preserve">https://rennamedia.com/wp-content/uploads/2022/04/LindenMay2022.pdf</t>
  </si>
  <si>
    <t xml:space="preserve">https://rennamedia.com/wp-content/uploads/2022/05/LindenJune2022.pdf</t>
  </si>
  <si>
    <t xml:space="preserve">https://rennamedia.com/wp-content/uploads/2022/06/LindenJuly2022.pdf</t>
  </si>
  <si>
    <t xml:space="preserve">https://rennamedia.com/wp-content/uploads/2022/07/LindenAugust2022.pdf</t>
  </si>
  <si>
    <t xml:space="preserve">https://rennamedia.com/wp-content/uploads/2022/09/LindenSeptember2022.pdf</t>
  </si>
  <si>
    <t xml:space="preserve">https://rennamedia.com/wp-content/uploads/2022/10/LindenOctober2022.pdf</t>
  </si>
  <si>
    <t xml:space="preserve">https://rennamedia.com/wp-content/uploads/2022/11/LindenNovember2022.pdf</t>
  </si>
  <si>
    <t xml:space="preserve">https://rennamedia.com/wp-content/uploads/2022/11/LindenDecember2022.pdf</t>
  </si>
  <si>
    <t xml:space="preserve">https://rennamedia.com/wp-content/uploads/2023/01/LindenJanuary2023-new.pdf</t>
  </si>
  <si>
    <t xml:space="preserve">https://rennamedia.com/wp-content/uploads/2023/01/LindenFebruary2023.pdf</t>
  </si>
  <si>
    <t xml:space="preserve">https://rennamedia.com/wp-content/uploads/2023/02/LindenMarch2023.pdf</t>
  </si>
  <si>
    <t xml:space="preserve">https://rennamedia.com/wp-content/uploads/2023/03/LindenApril2023.pdf</t>
  </si>
  <si>
    <t xml:space="preserve">https://rennamedia.com/wp-content/uploads/2023/04/LindenMay2023.pdf</t>
  </si>
  <si>
    <t xml:space="preserve">https://rennamedia.com/wp-content/uploads/2023/05/LindenJune2023.pdf</t>
  </si>
  <si>
    <t xml:space="preserve">https://rennamedia.com/wp-content/uploads/2023/06/LindenJuly2023.pdf</t>
  </si>
  <si>
    <t xml:space="preserve">https://rennamedia.com/wp-content/uploads/2023/07/LindenAug2023.pdf</t>
  </si>
  <si>
    <t xml:space="preserve">https://rennamedia.com/wp-content/uploads/2023/08/LindenSep2023.pdf</t>
  </si>
  <si>
    <t xml:space="preserve">https://rennamedia.com/wp-content/uploads/2023/09/LindenOct2023.pdf</t>
  </si>
  <si>
    <t xml:space="preserve">https://rennamedia.com/wp-content/uploads/2023/10/LindenNov2023.pdf</t>
  </si>
  <si>
    <t xml:space="preserve">https://rennamedia.com/wp-content/uploads/2023/11/LindenDec2023.pdf</t>
  </si>
  <si>
    <t xml:space="preserve">https://rennamedia.com/wp-content/uploads/2023/12/LindenJan2024.pdf</t>
  </si>
  <si>
    <t xml:space="preserve">https://rennamedia.com/wp-content/uploads/2024/01/LindenFeb2024.pdf</t>
  </si>
  <si>
    <t xml:space="preserve">https://rennamedia.com/wp-content/uploads/2024/02/LindenMar2024.pdf</t>
  </si>
  <si>
    <t xml:space="preserve">https://rennamedia.com/wp-content/uploads/2024/03/LindenApr2024.pdf</t>
  </si>
  <si>
    <t xml:space="preserve">https://rennamedia.com/wp-content/uploads/2024/04/LindenMay2024.pdf</t>
  </si>
  <si>
    <t xml:space="preserve">https://rennamedia.com/wp-content/uploads/2024/05/LindenJune2024.pdf</t>
  </si>
  <si>
    <t xml:space="preserve">https://rennamedia.com/wp-content/uploads/2024/06/LindenJuly2024.pdf</t>
  </si>
  <si>
    <t xml:space="preserve">https://rennamedia.com/wp-content/uploads/2024/07/LindenAugust2024.pdf</t>
  </si>
  <si>
    <t xml:space="preserve">https://rennamedia.com/wp-content/uploads/2024/08/LindenSeptember2024.pdf</t>
  </si>
  <si>
    <t xml:space="preserve">https://rennamedia.com/wp-content/uploads/2024/09/LindenOctober2024.pdf</t>
  </si>
  <si>
    <t xml:space="preserve">https://rennamedia.com/wp-content/uploads/2024/10/LindenNovember2024.pdf</t>
  </si>
  <si>
    <t xml:space="preserve">https://rennamedia.com/wp-content/uploads/2024/11/LindenDecember2024.pdf</t>
  </si>
  <si>
    <t xml:space="preserve">https://rennamedia.com/wp-content/uploads/2024/12/LindenJanuary2025.pdf</t>
  </si>
  <si>
    <t xml:space="preserve">https://rennamedia.com/wp-content/uploads/2025/02/LindenFebruary2025.pdf</t>
  </si>
  <si>
    <t xml:space="preserve">https://rennamedia.com/wp-content/uploads/2025/02/LindenMarch2025.pdf</t>
  </si>
  <si>
    <t xml:space="preserve">https://rennamedia.com/wp-content/uploads/2025/03/LindenApril2025.pdf</t>
  </si>
  <si>
    <t xml:space="preserve">https://rennamedia.com/wp-content/uploads/2025/04/LindenMay2025.pdf</t>
  </si>
  <si>
    <t xml:space="preserve">https://rennamedia.com/wp-content/uploads/2025/05/LindenJune2025.pdf</t>
  </si>
  <si>
    <t xml:space="preserve">https://rennamedia.com/wp-content/uploads/2025/06/LindenJuly2025.pdf</t>
  </si>
  <si>
    <t xml:space="preserve">https://rennamedia.com/wp-content/uploads/2025/07/LindenAugust2025.pdf</t>
  </si>
  <si>
    <t xml:space="preserve">https://rennamedia.com/wp-content/uploads/2025/08/LindenSeptember2025.pdf</t>
  </si>
  <si>
    <t xml:space="preserve">https://rennamedia.com/wp-content/uploads/2025/09/LindenOctober2025.pdf</t>
  </si>
  <si>
    <t xml:space="preserve">https://rennamedia.com/wp-content/uploads/2025/10/LindenNovember2025.pdf</t>
  </si>
  <si>
    <t xml:space="preserve">https://rennamedia.com/wp-content/uploads/2025/11/LindenDecember2025.pdf</t>
  </si>
  <si>
    <t xml:space="preserve">https://rennamedia.com/wp-content/uploads/2025/12/LindenJanuary2026.pdf</t>
  </si>
  <si>
    <t xml:space="preserve">https://rennamedia.com/wp-content/uploads/2026/01/LindenFebruary2026.pdf</t>
  </si>
  <si>
    <t xml:space="preserve">https://rennamedia.com/wp-content/uploads/2026/02/LindenMarch2026.pdf</t>
  </si>
  <si>
    <t xml:space="preserve">https://rennamedia.com/wp-content/uploads/2026/03/LindenApril2026.pdf</t>
  </si>
  <si>
    <t xml:space="preserve">https://rennamedia.com/wp-content/uploads/2026/04/LindenMay2026.pdf</t>
  </si>
  <si>
    <t xml:space="preserve">livingston-monthly</t>
  </si>
  <si>
    <t xml:space="preserve">https://rennamedia.com/wp-content/uploads/2024/11/LivingstonMonthlyDecember2024.pdf</t>
  </si>
  <si>
    <t xml:space="preserve">https://rennamedia.com/wp-content/uploads/2024/12/LivingstonMonthlyJanuary2025.pdf</t>
  </si>
  <si>
    <t xml:space="preserve">https://rennamedia.com/wp-content/uploads/2025/02/LivingstonMonthlyMarch2025.pdf</t>
  </si>
  <si>
    <t xml:space="preserve">https://rennamedia.com/wp-content/uploads/2025/03/LivingstonMonthlyApril2025.pdf</t>
  </si>
  <si>
    <t xml:space="preserve">https://rennamedia.com/wp-content/uploads/2025/04/LivingstonMonthlyMay2025.pdf</t>
  </si>
  <si>
    <t xml:space="preserve">https://rennamedia.com/wp-content/uploads/2025/05/LivingstonMonthlyJune2025.pdf</t>
  </si>
  <si>
    <t xml:space="preserve">https://rennamedia.com/wp-content/uploads/2025/06/LivingstonMonthlyJuly2025.pdf</t>
  </si>
  <si>
    <t xml:space="preserve">https://rennamedia.com/wp-content/uploads/2025/07/LivingstonMonthlyAugust2025.pdf</t>
  </si>
  <si>
    <t xml:space="preserve">https://rennamedia.com/wp-content/uploads/2025/08/LivingstonMonthlySeptember2025.pdf</t>
  </si>
  <si>
    <t xml:space="preserve">https://rennamedia.com/wp-content/uploads/2025/09/LivingstonMonthlyOctober2025.pdf</t>
  </si>
  <si>
    <t xml:space="preserve">https://rennamedia.com/wp-content/uploads/2025/10/LivingstonMonthlyNovember2025.pdf</t>
  </si>
  <si>
    <t xml:space="preserve">https://rennamedia.com/wp-content/uploads/2025/11/LivingstonMonthlyDecember2025.pdf</t>
  </si>
  <si>
    <t xml:space="preserve">https://rennamedia.com/wp-content/uploads/2025/12/LivingstonMonthlyJanuary2026.pdf</t>
  </si>
  <si>
    <t xml:space="preserve">https://rennamedia.com/wp-content/uploads/2026/01/LivingstonMonthlyFebruary2026.pdf</t>
  </si>
  <si>
    <t xml:space="preserve">https://rennamedia.com/wp-content/uploads/2026/02/LivingstonMonthlyMarch2026.pdf</t>
  </si>
  <si>
    <t xml:space="preserve">https://rennamedia.com/wp-content/uploads/2026/03/LivingstonMonthlyApril2026.pdf</t>
  </si>
  <si>
    <t xml:space="preserve">https://rennamedia.com/wp-content/uploads/2026/04/LivingstonMonthlyMay2026.pdf</t>
  </si>
  <si>
    <t xml:space="preserve">long-hill-leader</t>
  </si>
  <si>
    <t xml:space="preserve">https://rennamedia.com/wp-content/uploads/2021/12/LongHillJanuary2022.pdf</t>
  </si>
  <si>
    <t xml:space="preserve">https://rennamedia.com/wp-content/uploads/2022/01/LongHillFebruary2022.pdf</t>
  </si>
  <si>
    <t xml:space="preserve">https://rennamedia.com/wp-content/uploads/2022/02/LongHillMarch2022.pdf</t>
  </si>
  <si>
    <t xml:space="preserve">https://rennamedia.com/wp-content/uploads/2022/03/LongHillApril2022.pdf</t>
  </si>
  <si>
    <t xml:space="preserve">https://rennamedia.com/wp-content/uploads/2022/04/LongHillMay2022.pdf</t>
  </si>
  <si>
    <t xml:space="preserve">https://rennamedia.com/wp-content/uploads/2022/05/LongHillJune2022.pdf</t>
  </si>
  <si>
    <t xml:space="preserve">https://rennamedia.com/wp-content/uploads/2022/06/LongHillJuly2022.pdf</t>
  </si>
  <si>
    <t xml:space="preserve">https://rennamedia.com/wp-content/uploads/2022/07/LongHillAugust2022.pdf</t>
  </si>
  <si>
    <t xml:space="preserve">https://rennamedia.com/wp-content/uploads/2022/09/LongHillSeptember2022.pdf</t>
  </si>
  <si>
    <t xml:space="preserve">https://rennamedia.com/wp-content/uploads/2022/10/LongHillOctober2022.pdf</t>
  </si>
  <si>
    <t xml:space="preserve">https://rennamedia.com/wp-content/uploads/2022/11/LongHillNovember2022.pdf</t>
  </si>
  <si>
    <t xml:space="preserve">https://rennamedia.com/wp-content/uploads/2022/11/LongHillDecember2022.pdf</t>
  </si>
  <si>
    <t xml:space="preserve">https://rennamedia.com/wp-content/uploads/2022/12/LongHillJanuary2023.pdf</t>
  </si>
  <si>
    <t xml:space="preserve">https://rennamedia.com/wp-content/uploads/2023/01/LongHillFebruary2023.pdf</t>
  </si>
  <si>
    <t xml:space="preserve">https://rennamedia.com/wp-content/uploads/2023/02/LongHillMarch2023.pdf</t>
  </si>
  <si>
    <t xml:space="preserve">https://rennamedia.com/wp-content/uploads/2023/03/LongHillApril2023.pdf</t>
  </si>
  <si>
    <t xml:space="preserve">https://rennamedia.com/wp-content/uploads/2023/04/LongHillMay2023.pdf</t>
  </si>
  <si>
    <t xml:space="preserve">https://rennamedia.com/wp-content/uploads/2023/05/LongHillJune2023.pdf</t>
  </si>
  <si>
    <t xml:space="preserve">https://rennamedia.com/wp-content/uploads/2023/06/LongHillJuly2023.pdf</t>
  </si>
  <si>
    <t xml:space="preserve">https://rennamedia.com/wp-content/uploads/2023/07/LongHillAug2023.pdf</t>
  </si>
  <si>
    <t xml:space="preserve">https://rennamedia.com/wp-content/uploads/2023/08/LongHillSep2023.pdf</t>
  </si>
  <si>
    <t xml:space="preserve">https://rennamedia.com/wp-content/uploads/2023/09/LongHillOct2023.pdf</t>
  </si>
  <si>
    <t xml:space="preserve">https://rennamedia.com/wp-content/uploads/2023/10/LongHillNov2023.pdf</t>
  </si>
  <si>
    <t xml:space="preserve">https://rennamedia.com/wp-content/uploads/2023/11/LongHillDec2023.pdf</t>
  </si>
  <si>
    <t xml:space="preserve">https://rennamedia.com/wp-content/uploads/2023/12/LongHillJan2024.pdf</t>
  </si>
  <si>
    <t xml:space="preserve">https://rennamedia.com/wp-content/uploads/2024/01/LongHillFeb2024.pdf</t>
  </si>
  <si>
    <t xml:space="preserve">https://rennamedia.com/wp-content/uploads/2024/02/LongHillMar2024.pdf</t>
  </si>
  <si>
    <t xml:space="preserve">https://rennamedia.com/wp-content/uploads/2024/03/LongHillApr2024.pdf</t>
  </si>
  <si>
    <t xml:space="preserve">https://rennamedia.com/wp-content/uploads/2024/04/LongHillMay2024.pdf</t>
  </si>
  <si>
    <t xml:space="preserve">https://rennamedia.com/wp-content/uploads/2024/05/LongHillJune2024.pdf</t>
  </si>
  <si>
    <t xml:space="preserve">https://rennamedia.com/wp-content/uploads/2024/06/LongHillJuly2024.pdf</t>
  </si>
  <si>
    <t xml:space="preserve">https://rennamedia.com/wp-content/uploads/2024/07/LongHillAugust2024.pdf</t>
  </si>
  <si>
    <t xml:space="preserve">https://rennamedia.com/wp-content/uploads/2024/08/LongHillSeptember2024.pdf</t>
  </si>
  <si>
    <t xml:space="preserve">https://rennamedia.com/wp-content/uploads/2024/09/LongHillOctober2024.pdf</t>
  </si>
  <si>
    <t xml:space="preserve">https://rennamedia.com/wp-content/uploads/2024/11/LongHillDecember2024.pdf</t>
  </si>
  <si>
    <t xml:space="preserve">https://rennamedia.com/wp-content/uploads/2024/12/LongHillJanuary2025.pdf</t>
  </si>
  <si>
    <t xml:space="preserve">https://rennamedia.com/wp-content/uploads/2025/02/LongHillFebruary2025.pdf</t>
  </si>
  <si>
    <t xml:space="preserve">https://rennamedia.com/wp-content/uploads/2025/02/LongHillMarch2025.pdf</t>
  </si>
  <si>
    <t xml:space="preserve">https://rennamedia.com/wp-content/uploads/2025/03/LongHillApril2025.pdf</t>
  </si>
  <si>
    <t xml:space="preserve">https://rennamedia.com/wp-content/uploads/2025/04/LongHillMay2025.pdf</t>
  </si>
  <si>
    <t xml:space="preserve">https://rennamedia.com/wp-content/uploads/2025/05/LongHillJune2025.pdf</t>
  </si>
  <si>
    <t xml:space="preserve">https://rennamedia.com/wp-content/uploads/2025/06/LongHillJuly2025.pdf</t>
  </si>
  <si>
    <t xml:space="preserve">https://rennamedia.com/wp-content/uploads/2025/07/LongHillAugust2025.pdf</t>
  </si>
  <si>
    <t xml:space="preserve">https://rennamedia.com/wp-content/uploads/2025/08/LongHillSeptember2025.pdf</t>
  </si>
  <si>
    <t xml:space="preserve">https://rennamedia.com/wp-content/uploads/2025/09/LongHillOctober2025.pdf</t>
  </si>
  <si>
    <t xml:space="preserve">https://rennamedia.com/wp-content/uploads/2025/10/LongHillNovember2025.pdf</t>
  </si>
  <si>
    <t xml:space="preserve">https://rennamedia.com/wp-content/uploads/2025/11/LongHillDecember2025.pdf</t>
  </si>
  <si>
    <t xml:space="preserve">https://rennamedia.com/wp-content/uploads/2025/12/LongHillJanuary2026.pdf</t>
  </si>
  <si>
    <t xml:space="preserve">https://rennamedia.com/wp-content/uploads/2026/01/LongHillFebruary2026.pdf</t>
  </si>
  <si>
    <t xml:space="preserve">https://rennamedia.com/wp-content/uploads/2026/02/LongHillMarch2026.pdf</t>
  </si>
  <si>
    <t xml:space="preserve">https://rennamedia.com/wp-content/uploads/2026/03/LongHillApril2026.pdf</t>
  </si>
  <si>
    <t xml:space="preserve">https://rennamedia.com/wp-content/uploads/2026/04/LongHillMay2026.pdf</t>
  </si>
  <si>
    <t xml:space="preserve">madison-monthly</t>
  </si>
  <si>
    <t xml:space="preserve">https://rennamedia.com/wp-content/uploads/2021/12/MadisonJanuary2022.pdf</t>
  </si>
  <si>
    <t xml:space="preserve">https://rennamedia.com/wp-content/uploads/2022/01/MadisonFebruary2022.pdf</t>
  </si>
  <si>
    <t xml:space="preserve">https://rennamedia.com/wp-content/uploads/2022/02/MadisonMarch2022.pdf</t>
  </si>
  <si>
    <t xml:space="preserve">https://rennamedia.com/wp-content/uploads/2022/03/MadisonApril2022.pdf</t>
  </si>
  <si>
    <t xml:space="preserve">https://rennamedia.com/wp-content/uploads/2022/04/MadisonMay2022.pdf</t>
  </si>
  <si>
    <t xml:space="preserve">https://rennamedia.com/wp-content/uploads/2022/05/MadisonJune2022.pdf</t>
  </si>
  <si>
    <t xml:space="preserve">https://rennamedia.com/wp-content/uploads/2022/06/MadisonJuly2022.pdf</t>
  </si>
  <si>
    <t xml:space="preserve">https://rennamedia.com/wp-content/uploads/2022/07/MadisonAugust2022.pdf</t>
  </si>
  <si>
    <t xml:space="preserve">https://rennamedia.com/wp-content/uploads/2022/09/MadisonSeptember2022.pdf</t>
  </si>
  <si>
    <t xml:space="preserve">https://rennamedia.com/wp-content/uploads/2022/10/MadisonOctober2022.pdf</t>
  </si>
  <si>
    <t xml:space="preserve">https://rennamedia.com/wp-content/uploads/2022/11/MadisonNovember2022.pdf</t>
  </si>
  <si>
    <t xml:space="preserve">https://rennamedia.com/wp-content/uploads/2022/11/MadisonDecember2022.pdf</t>
  </si>
  <si>
    <t xml:space="preserve">https://rennamedia.com/wp-content/uploads/2022/12/MadisonJanuary2023.pdf</t>
  </si>
  <si>
    <t xml:space="preserve">https://rennamedia.com/wp-content/uploads/2023/01/MadisonFebruary2023.pdf</t>
  </si>
  <si>
    <t xml:space="preserve">https://rennamedia.com/wp-content/uploads/2023/02/MadisonMarch2023.pdf</t>
  </si>
  <si>
    <t xml:space="preserve">https://rennamedia.com/wp-content/uploads/2023/03/MadisonApril2023.pdf</t>
  </si>
  <si>
    <t xml:space="preserve">https://rennamedia.com/wp-content/uploads/2023/04/MadisonMay2023.pdf</t>
  </si>
  <si>
    <t xml:space="preserve">https://rennamedia.com/wp-content/uploads/2023/05/MadisonJune2023.pdf</t>
  </si>
  <si>
    <t xml:space="preserve">https://rennamedia.com/wp-content/uploads/2023/06/MadisonJuly2023.pdf</t>
  </si>
  <si>
    <t xml:space="preserve">https://rennamedia.com/wp-content/uploads/2023/07/MadisonAug2023.pdf</t>
  </si>
  <si>
    <t xml:space="preserve">https://rennamedia.com/wp-content/uploads/2023/08/MadisonSep2023.pdf</t>
  </si>
  <si>
    <t xml:space="preserve">https://rennamedia.com/wp-content/uploads/2023/09/MadisonOct2023.pdf</t>
  </si>
  <si>
    <t xml:space="preserve">https://rennamedia.com/wp-content/uploads/2023/10/MadisonNov2023.pdf</t>
  </si>
  <si>
    <t xml:space="preserve">https://rennamedia.com/wp-content/uploads/2023/11/MadisonDec2023.pdf</t>
  </si>
  <si>
    <t xml:space="preserve">https://rennamedia.com/wp-content/uploads/2023/12/MadisonJan2024.pdf</t>
  </si>
  <si>
    <t xml:space="preserve">https://rennamedia.com/wp-content/uploads/2024/01/MadisonFeb2024.pdf</t>
  </si>
  <si>
    <t xml:space="preserve">https://rennamedia.com/wp-content/uploads/2024/02/MadisonMar2024.pdf</t>
  </si>
  <si>
    <t xml:space="preserve">https://rennamedia.com/wp-content/uploads/2024/03/MadisonApr2024.pdf</t>
  </si>
  <si>
    <t xml:space="preserve">https://rennamedia.com/wp-content/uploads/2024/04/MadisonMay2024.pdf</t>
  </si>
  <si>
    <t xml:space="preserve">https://rennamedia.com/wp-content/uploads/2024/05/MadisonJune2024.pdf</t>
  </si>
  <si>
    <t xml:space="preserve">https://rennamedia.com/wp-content/uploads/2024/06/MadisonJuly2024.pdf</t>
  </si>
  <si>
    <t xml:space="preserve">https://rennamedia.com/wp-content/uploads/2024/07/MadisonAugust2024.pdf</t>
  </si>
  <si>
    <t xml:space="preserve">https://rennamedia.com/wp-content/uploads/2024/08/MadisonSeptember2024.pdf</t>
  </si>
  <si>
    <t xml:space="preserve">https://rennamedia.com/wp-content/uploads/2024/09/MadisonOctober2024.pdf</t>
  </si>
  <si>
    <t xml:space="preserve">https://rennamedia.com/wp-content/uploads/2024/10/MadisonNovember2024.pdf</t>
  </si>
  <si>
    <t xml:space="preserve">https://rennamedia.com/wp-content/uploads/2024/11/MadisonDecember2024.pdf</t>
  </si>
  <si>
    <t xml:space="preserve">https://rennamedia.com/wp-content/uploads/2024/12/MadisonJanuary2025.pdf</t>
  </si>
  <si>
    <t xml:space="preserve">https://rennamedia.com/wp-content/uploads/2025/02/MadisonFebruary2025.pdf</t>
  </si>
  <si>
    <t xml:space="preserve">https://rennamedia.com/wp-content/uploads/2025/02/MadisonMarch2025.pdf</t>
  </si>
  <si>
    <t xml:space="preserve">https://rennamedia.com/wp-content/uploads/2025/03/MadisonApril2025.pdf</t>
  </si>
  <si>
    <t xml:space="preserve">https://rennamedia.com/wp-content/uploads/2025/04/MadisonMay2025.pdf</t>
  </si>
  <si>
    <t xml:space="preserve">https://rennamedia.com/wp-content/uploads/2025/05/MadisonJune2025.pdf</t>
  </si>
  <si>
    <t xml:space="preserve">https://rennamedia.com/wp-content/uploads/2025/06/MadisonJuly2025.pdf</t>
  </si>
  <si>
    <t xml:space="preserve">https://rennamedia.com/wp-content/uploads/2025/07/MadisonAugust2025.pdf</t>
  </si>
  <si>
    <t xml:space="preserve">https://rennamedia.com/wp-content/uploads/2025/08/MadisonSeptember2025.pdf</t>
  </si>
  <si>
    <t xml:space="preserve">https://rennamedia.com/wp-content/uploads/2025/09/MadisonOctober2025.pdf</t>
  </si>
  <si>
    <t xml:space="preserve">https://rennamedia.com/wp-content/uploads/2025/10/MadisonNovember2025.pdf</t>
  </si>
  <si>
    <t xml:space="preserve">https://rennamedia.com/wp-content/uploads/2025/11/MadisonDecember2025.pdf</t>
  </si>
  <si>
    <t xml:space="preserve">https://rennamedia.com/wp-content/uploads/2025/12/MadisonJanuary2026.pdf</t>
  </si>
  <si>
    <t xml:space="preserve">https://rennamedia.com/wp-content/uploads/2026/01/MadisonFebruary2026.pdf</t>
  </si>
  <si>
    <t xml:space="preserve">https://rennamedia.com/wp-content/uploads/2026/02/MadisonMarch2026.pdf</t>
  </si>
  <si>
    <t xml:space="preserve">https://rennamedia.com/wp-content/uploads/2026/03/MadisonApril2026.pdf</t>
  </si>
  <si>
    <t xml:space="preserve">https://rennamedia.com/wp-content/uploads/2026/04/MadisonMay2026.pdf</t>
  </si>
  <si>
    <t xml:space="preserve">millburn-short-hills-monthly</t>
  </si>
  <si>
    <t xml:space="preserve">https://rennamedia.com/wp-content/uploads/2022/02/ShortHillsMillburnMarch2022.pdf</t>
  </si>
  <si>
    <t xml:space="preserve">https://rennamedia.com/wp-content/uploads/2022/03/ShortHillsMillburnApril2022.pdf</t>
  </si>
  <si>
    <t xml:space="preserve">https://rennamedia.com/wp-content/uploads/2022/04/MillburnShortHillsMay2022.pdf</t>
  </si>
  <si>
    <t xml:space="preserve">https://rennamedia.com/wp-content/uploads/2022/05/MillburnShortHillsJune2022.pdf</t>
  </si>
  <si>
    <t xml:space="preserve">https://rennamedia.com/wp-content/uploads/2022/06/MillburnShortHillsJuly2022.pdf</t>
  </si>
  <si>
    <t xml:space="preserve">https://rennamedia.com/wp-content/uploads/2022/07/MillburnShortHillsAugust2022.pdf</t>
  </si>
  <si>
    <t xml:space="preserve">https://rennamedia.com/wp-content/uploads/2022/09/MillburnShortHillsSeptember2022.pdf</t>
  </si>
  <si>
    <t xml:space="preserve">https://rennamedia.com/wp-content/uploads/2022/10/MillburnShortHillsOctober2022.pdf</t>
  </si>
  <si>
    <t xml:space="preserve">https://rennamedia.com/wp-content/uploads/2022/11/MillburnShortHillsNovember2022.pdf</t>
  </si>
  <si>
    <t xml:space="preserve">https://rennamedia.com/wp-content/uploads/2022/11/MillburnShortHillsDecember2022.pdf</t>
  </si>
  <si>
    <t xml:space="preserve">https://rennamedia.com/wp-content/uploads/2022/12/MillburnShortHillsJanuary2023.pdf</t>
  </si>
  <si>
    <t xml:space="preserve">https://rennamedia.com/wp-content/uploads/2023/01/MillburnShortHillsFebruary2023.pdf</t>
  </si>
  <si>
    <t xml:space="preserve">https://rennamedia.com/wp-content/uploads/2023/02/MillburnShortHillsMarch2023.pdf</t>
  </si>
  <si>
    <t xml:space="preserve">https://rennamedia.com/wp-content/uploads/2023/03/MillburnShortHillsApril2023.pdf</t>
  </si>
  <si>
    <t xml:space="preserve">https://rennamedia.com/wp-content/uploads/2023/04/MillburnShortHillsMay2023.pdf</t>
  </si>
  <si>
    <t xml:space="preserve">https://rennamedia.com/wp-content/uploads/2023/05/MillburnShortHillsJune2023.pdf</t>
  </si>
  <si>
    <t xml:space="preserve">https://rennamedia.com/wp-content/uploads/2023/06/MillburnShortHillsJuly2023.pdf</t>
  </si>
  <si>
    <t xml:space="preserve">https://rennamedia.com/wp-content/uploads/2023/07/MillburnShortHillsAug2023.pdf</t>
  </si>
  <si>
    <t xml:space="preserve">https://rennamedia.com/wp-content/uploads/2023/08/MillburnShortHillsSep2023.pdf</t>
  </si>
  <si>
    <t xml:space="preserve">https://rennamedia.com/wp-content/uploads/2023/09/MillburnShortHillsOct2023.pdf</t>
  </si>
  <si>
    <t xml:space="preserve">https://rennamedia.com/wp-content/uploads/2023/10/MillburnShortHillsNov2023.pdf</t>
  </si>
  <si>
    <t xml:space="preserve">https://rennamedia.com/wp-content/uploads/2023/11/MillburnShortHillsDec2023.pdf</t>
  </si>
  <si>
    <t xml:space="preserve">https://rennamedia.com/wp-content/uploads/2023/12/MillburnShortHillsJan2024.pdf</t>
  </si>
  <si>
    <t xml:space="preserve">https://rennamedia.com/wp-content/uploads/2024/01/MillburnShortHillsFeb2024.pdf</t>
  </si>
  <si>
    <t xml:space="preserve">https://rennamedia.com/wp-content/uploads/2024/02/MillburnShortHillsMar2024.pdf</t>
  </si>
  <si>
    <t xml:space="preserve">https://rennamedia.com/wp-content/uploads/2024/03/MillburnShortHillsApr2024.pdf</t>
  </si>
  <si>
    <t xml:space="preserve">https://rennamedia.com/wp-content/uploads/2024/04/MillburnShortHillsMay2024.pdf</t>
  </si>
  <si>
    <t xml:space="preserve">https://rennamedia.com/wp-content/uploads/2024/05/MillburnShortHillsJune2024.pdf</t>
  </si>
  <si>
    <t xml:space="preserve">https://rennamedia.com/wp-content/uploads/2024/06/MillburnShortHillsJuly2024.pdf</t>
  </si>
  <si>
    <t xml:space="preserve">https://rennamedia.com/wp-content/uploads/2024/07/MillburnShortHillsAugust2024.pdf</t>
  </si>
  <si>
    <t xml:space="preserve">https://rennamedia.com/wp-content/uploads/2024/08/MillburnShortHillsSeptember2024.pdf</t>
  </si>
  <si>
    <t xml:space="preserve">https://rennamedia.com/wp-content/uploads/2024/09/MillburnShortHillsOctober2024.pdf</t>
  </si>
  <si>
    <t xml:space="preserve">https://rennamedia.com/wp-content/uploads/2024/10/MillburnShortHillsNovember2024.pdf</t>
  </si>
  <si>
    <t xml:space="preserve">https://rennamedia.com/wp-content/uploads/2024/11/MillburnShortHillsDecember2024.pdf</t>
  </si>
  <si>
    <t xml:space="preserve">https://rennamedia.com/wp-content/uploads/2024/12/MillburnShortHillsJanuary2025.pdf</t>
  </si>
  <si>
    <t xml:space="preserve">https://rennamedia.com/wp-content/uploads/2025/02/MillburnShortHillsFebruary2025.pdf</t>
  </si>
  <si>
    <t xml:space="preserve">https://rennamedia.com/wp-content/uploads/2025/02/MillburnShortHillsMarch2025.pdf</t>
  </si>
  <si>
    <t xml:space="preserve">https://rennamedia.com/wp-content/uploads/2025/03/MillburnShortHillsApril2025.pdf</t>
  </si>
  <si>
    <t xml:space="preserve">https://rennamedia.com/wp-content/uploads/2025/04/MillburnShortHillsMay2025.pdf</t>
  </si>
  <si>
    <t xml:space="preserve">https://rennamedia.com/wp-content/uploads/2025/05/MillburnShortHillsJune2025.pdf</t>
  </si>
  <si>
    <t xml:space="preserve">https://rennamedia.com/wp-content/uploads/2025/06/MillburnShortHillsJuly2025.pdf</t>
  </si>
  <si>
    <t xml:space="preserve">https://rennamedia.com/wp-content/uploads/2025/07/MillburnShortHillsAugust2025.pdf</t>
  </si>
  <si>
    <t xml:space="preserve">https://rennamedia.com/wp-content/uploads/2025/08/MillburnShortHillsSeptember2025.pdf</t>
  </si>
  <si>
    <t xml:space="preserve">https://rennamedia.com/wp-content/uploads/2025/09/MillburnShortHillsOctober2025.pdf</t>
  </si>
  <si>
    <t xml:space="preserve">https://rennamedia.com/wp-content/uploads/2025/10/MillburnShortHillsNovember2025.pdf</t>
  </si>
  <si>
    <t xml:space="preserve">https://rennamedia.com/wp-content/uploads/2025/11/MillburnShortHillsDecember2025.pdf</t>
  </si>
  <si>
    <t xml:space="preserve">https://rennamedia.com/wp-content/uploads/2025/12/MillburnShortHillsJanuary2026.pdf</t>
  </si>
  <si>
    <t xml:space="preserve">https://rennamedia.com/wp-content/uploads/2026/01/MillburnShortHillsFebruary2026.pdf</t>
  </si>
  <si>
    <t xml:space="preserve">https://rennamedia.com/wp-content/uploads/2026/02/MillburnShortHillsMarch2026.pdf</t>
  </si>
  <si>
    <t xml:space="preserve">https://rennamedia.com/wp-content/uploads/2026/03/MillburnShortHillsApril2026.pdf</t>
  </si>
  <si>
    <t xml:space="preserve">https://rennamedia.com/wp-content/uploads/2026/04/MillburnShortHillsMay2026.pdf</t>
  </si>
  <si>
    <t xml:space="preserve">mountainside-view</t>
  </si>
  <si>
    <t xml:space="preserve">https://rennamedia.com/wp-content/uploads/2021/12/MountainsideJanuary2022.pdf</t>
  </si>
  <si>
    <t xml:space="preserve">https://rennamedia.com/wp-content/uploads/2022/01/MountainsideFebruary2022.pdf</t>
  </si>
  <si>
    <t xml:space="preserve">https://rennamedia.com/wp-content/uploads/2022/02/MountainsideMarch2022.pdf</t>
  </si>
  <si>
    <t xml:space="preserve">https://rennamedia.com/wp-content/uploads/2022/03/MountainsideApril2022.pdf</t>
  </si>
  <si>
    <t xml:space="preserve">https://rennamedia.com/wp-content/uploads/2022/04/MountainsideMay2022.pdf</t>
  </si>
  <si>
    <t xml:space="preserve">https://rennamedia.com/wp-content/uploads/2022/05/MountainsideJune2022.pdf</t>
  </si>
  <si>
    <t xml:space="preserve">https://rennamedia.com/wp-content/uploads/2022/06/MountainsideJuly2022.pdf</t>
  </si>
  <si>
    <t xml:space="preserve">https://rennamedia.com/wp-content/uploads/2022/07/MountainsideAugust2022.pdf</t>
  </si>
  <si>
    <t xml:space="preserve">https://rennamedia.com/wp-content/uploads/2022/09/MountainsideSeptember2022.pdf</t>
  </si>
  <si>
    <t xml:space="preserve">https://rennamedia.com/wp-content/uploads/2022/10/MountainsideOctober2022.pdf</t>
  </si>
  <si>
    <t xml:space="preserve">https://rennamedia.com/wp-content/uploads/2022/11/MountainsideNovember2022.pdf</t>
  </si>
  <si>
    <t xml:space="preserve">https://rennamedia.com/wp-content/uploads/2022/11/MountainsideDecember2022.pdf</t>
  </si>
  <si>
    <t xml:space="preserve">https://rennamedia.com/wp-content/uploads/2022/12/MountainsideJanuary2023.pdf</t>
  </si>
  <si>
    <t xml:space="preserve">https://rennamedia.com/wp-content/uploads/2023/01/MountainsideFebruary2023.pdf</t>
  </si>
  <si>
    <t xml:space="preserve">https://rennamedia.com/wp-content/uploads/2023/02/MountainsideMarch2023.pdf</t>
  </si>
  <si>
    <t xml:space="preserve">https://rennamedia.com/wp-content/uploads/2023/03/MountainsideApril2023.pdf</t>
  </si>
  <si>
    <t xml:space="preserve">https://rennamedia.com/wp-content/uploads/2023/04/MountainsideMay2023.pdf</t>
  </si>
  <si>
    <t xml:space="preserve">https://rennamedia.com/wp-content/uploads/2023/05/MountainsideJune2023.pdf</t>
  </si>
  <si>
    <t xml:space="preserve">https://rennamedia.com/wp-content/uploads/2023/06/MountainsideJuly2023.pdf</t>
  </si>
  <si>
    <t xml:space="preserve">https://rennamedia.com/wp-content/uploads/2023/07/MountainsideAug2023.pdf</t>
  </si>
  <si>
    <t xml:space="preserve">https://rennamedia.com/wp-content/uploads/2023/08/MountainsideSep2023.pdf</t>
  </si>
  <si>
    <t xml:space="preserve">https://rennamedia.com/wp-content/uploads/2023/09/MountainsideOct2023.pdf</t>
  </si>
  <si>
    <t xml:space="preserve">https://rennamedia.com/wp-content/uploads/2023/10/MountainsideNov2023.pdf</t>
  </si>
  <si>
    <t xml:space="preserve">https://rennamedia.com/wp-content/uploads/2023/11/MountainsideDec2023.pdf</t>
  </si>
  <si>
    <t xml:space="preserve">https://rennamedia.com/wp-content/uploads/2023/12/MountainsideJan2024.pdf</t>
  </si>
  <si>
    <t xml:space="preserve">https://rennamedia.com/wp-content/uploads/2024/01/MountainsideFeb2024.pdf</t>
  </si>
  <si>
    <t xml:space="preserve">https://rennamedia.com/wp-content/uploads/2024/02/MountainsideMar2024.pdf</t>
  </si>
  <si>
    <t xml:space="preserve">https://rennamedia.com/wp-content/uploads/2024/03/MountainsideApr2024.pdf</t>
  </si>
  <si>
    <t xml:space="preserve">https://rennamedia.com/wp-content/uploads/2024/04/MountainsideMay2024.pdf</t>
  </si>
  <si>
    <t xml:space="preserve">https://rennamedia.com/wp-content/uploads/2024/05/MountainsideJune2024.pdf</t>
  </si>
  <si>
    <t xml:space="preserve">https://rennamedia.com/wp-content/uploads/2024/06/MountainsideJuly2024.pdf</t>
  </si>
  <si>
    <t xml:space="preserve">https://rennamedia.com/wp-content/uploads/2024/07/MountainsideAugust2024.pdf</t>
  </si>
  <si>
    <t xml:space="preserve">https://rennamedia.com/wp-content/uploads/2024/08/MountainsideSeptember2024.pdf</t>
  </si>
  <si>
    <t xml:space="preserve">https://rennamedia.com/wp-content/uploads/2024/09/MountainsideOctober2024.pdf</t>
  </si>
  <si>
    <t xml:space="preserve">https://rennamedia.com/wp-content/uploads/2024/10/MountainsideNovember2024.pdf</t>
  </si>
  <si>
    <t xml:space="preserve">https://rennamedia.com/wp-content/uploads/2024/11/MountainsideDecember2024.pdf</t>
  </si>
  <si>
    <t xml:space="preserve">https://rennamedia.com/wp-content/uploads/2025/01/MountainsideJanuary2025.pdf</t>
  </si>
  <si>
    <t xml:space="preserve">https://rennamedia.com/wp-content/uploads/2025/02/MountainsideFebruary2025.pdf</t>
  </si>
  <si>
    <t xml:space="preserve">https://rennamedia.com/wp-content/uploads/2025/02/MountainsideMarch2025.pdf</t>
  </si>
  <si>
    <t xml:space="preserve">https://rennamedia.com/wp-content/uploads/2025/03/MountainsideApril2025.pdf</t>
  </si>
  <si>
    <t xml:space="preserve">https://rennamedia.com/wp-content/uploads/2025/04/MountainsideMay2025.pdf</t>
  </si>
  <si>
    <t xml:space="preserve">https://rennamedia.com/wp-content/uploads/2025/05/MountainsideJune2025.pdf</t>
  </si>
  <si>
    <t xml:space="preserve">https://rennamedia.com/wp-content/uploads/2025/06/MountainsideJuly2025.pdf</t>
  </si>
  <si>
    <t xml:space="preserve">https://rennamedia.com/wp-content/uploads/2025/07/MountainsideAugust2025.pdf</t>
  </si>
  <si>
    <t xml:space="preserve">https://rennamedia.com/wp-content/uploads/2025/08/MountainsideSeptember2025.pdf</t>
  </si>
  <si>
    <t xml:space="preserve">https://rennamedia.com/wp-content/uploads/2025/09/MountainsideOctober2025.pdf</t>
  </si>
  <si>
    <t xml:space="preserve">https://rennamedia.com/wp-content/uploads/2025/10/MountainsideNovember2025.pdf</t>
  </si>
  <si>
    <t xml:space="preserve">https://rennamedia.com/wp-content/uploads/2025/11/MountainsideDecember2025.pdf</t>
  </si>
  <si>
    <t xml:space="preserve">https://rennamedia.com/wp-content/uploads/2025/12/MountainsideJanuary2026.pdf</t>
  </si>
  <si>
    <t xml:space="preserve">https://rennamedia.com/wp-content/uploads/2026/01/MountainsideFebruary2026.pdf</t>
  </si>
  <si>
    <t xml:space="preserve">https://rennamedia.com/wp-content/uploads/2026/02/MountainsideMarch2026.pdf</t>
  </si>
  <si>
    <t xml:space="preserve">https://rennamedia.com/wp-content/uploads/2026/03/MountainsideApril2026.pdf</t>
  </si>
  <si>
    <t xml:space="preserve">https://rennamedia.com/wp-content/uploads/2026/04/MountainsideMay2026.pdf</t>
  </si>
  <si>
    <t xml:space="preserve">morristown-monthly</t>
  </si>
  <si>
    <t xml:space="preserve">https://rennamedia.com/wp-content/uploads/2024/11/MorristownMonthlyDecember2024.pdf</t>
  </si>
  <si>
    <t xml:space="preserve">https://rennamedia.com/wp-content/uploads/2024/12/MorristownMonthlyJanuary2025.pdf</t>
  </si>
  <si>
    <t xml:space="preserve">https://rennamedia.com/wp-content/uploads/2025/02/MorristownMonthlyFebruary2025.pdf</t>
  </si>
  <si>
    <t xml:space="preserve">https://rennamedia.com/wp-content/uploads/2025/02/MorristownMonthlyMarch2025.pdf</t>
  </si>
  <si>
    <t xml:space="preserve">https://rennamedia.com/wp-content/uploads/2025/03/MorristownMonthlyApril2025.pdf</t>
  </si>
  <si>
    <t xml:space="preserve">https://rennamedia.com/wp-content/uploads/2025/04/MorristownMonthlyMay2025.pdf</t>
  </si>
  <si>
    <t xml:space="preserve">https://rennamedia.com/wp-content/uploads/2025/05/MorristownMonthlyJune2025.pdf</t>
  </si>
  <si>
    <t xml:space="preserve">https://rennamedia.com/wp-content/uploads/2025/06/MorristownMonthlyJuly2025b.pdf</t>
  </si>
  <si>
    <t xml:space="preserve">https://rennamedia.com/wp-content/uploads/2025/07/MorristownMonthlyAugust2025.pdf</t>
  </si>
  <si>
    <t xml:space="preserve">https://rennamedia.com/wp-content/uploads/2025/08/MorristownMonthlySeptember2025.pdf</t>
  </si>
  <si>
    <t xml:space="preserve">https://rennamedia.com/wp-content/uploads/2025/09/MorristownMonthlyOctober2025.pdf</t>
  </si>
  <si>
    <t xml:space="preserve">https://rennamedia.com/wp-content/uploads/2025/10/MorristownMonthlyNovember2025.pdf</t>
  </si>
  <si>
    <t xml:space="preserve">https://rennamedia.com/wp-content/uploads/2025/11/MorristownMonthlyDecember2025.pdf</t>
  </si>
  <si>
    <t xml:space="preserve">https://rennamedia.com/wp-content/uploads/2025/12/MorristownMonthlyJanuary2026.pdf</t>
  </si>
  <si>
    <t xml:space="preserve">https://rennamedia.com/wp-content/uploads/2026/01/MorristownMonthlyFebruary2026.pdf</t>
  </si>
  <si>
    <t xml:space="preserve">https://rennamedia.com/wp-content/uploads/2026/02/MorristownMonthlyMarch2026.pdf</t>
  </si>
  <si>
    <t xml:space="preserve">https://rennamedia.com/wp-content/uploads/2026/03/MorristownMonthlyApril2026.pdf</t>
  </si>
  <si>
    <t xml:space="preserve">https://rennamedia.com/wp-content/uploads/2026/04/MorristownMonthlyMay2026.pdf</t>
  </si>
  <si>
    <t xml:space="preserve">morris-township-times</t>
  </si>
  <si>
    <t xml:space="preserve">https://rennamedia.com/wp-content/uploads/2024/11/MorrisTownshipTimesDecember2024.pdf</t>
  </si>
  <si>
    <t xml:space="preserve">https://rennamedia.com/wp-content/uploads/2024/12/MorrisTownshipTimesJanuary2025.pdf</t>
  </si>
  <si>
    <t xml:space="preserve">https://rennamedia.com/wp-content/uploads/2025/02/MorrisTownshipTimesFebruary2025.pdf</t>
  </si>
  <si>
    <t xml:space="preserve">https://rennamedia.com/wp-content/uploads/2025/02/MorrisTownshipTimesMarch2025.pdf</t>
  </si>
  <si>
    <t xml:space="preserve">https://rennamedia.com/wp-content/uploads/2025/03/MorrisTownshipTimesApril2025.pdf</t>
  </si>
  <si>
    <t xml:space="preserve">https://rennamedia.com/wp-content/uploads/2025/04/MorrisTownshipTimesMay2025.pdf</t>
  </si>
  <si>
    <t xml:space="preserve">https://rennamedia.com/wp-content/uploads/2025/05/MorrisTownshipTimesJune2025.pdf</t>
  </si>
  <si>
    <t xml:space="preserve">https://rennamedia.com/wp-content/uploads/2025/06/MorrisTownshipTimesJuly2025b.pdf</t>
  </si>
  <si>
    <t xml:space="preserve">https://rennamedia.com/wp-content/uploads/2025/07/MorrisTownshipTimesAugust2025.pdf</t>
  </si>
  <si>
    <t xml:space="preserve">https://rennamedia.com/wp-content/uploads/2025/08/MorrisTownshipTimesSeptember2025.pdf</t>
  </si>
  <si>
    <t xml:space="preserve">https://rennamedia.com/wp-content/uploads/2025/09/MorrisTownshipTimesOctober2025.pdf</t>
  </si>
  <si>
    <t xml:space="preserve">https://rennamedia.com/wp-content/uploads/2025/10/MorrisTownshipTimesNovember2025.pdf</t>
  </si>
  <si>
    <t xml:space="preserve">https://rennamedia.com/wp-content/uploads/2025/11/MorrisTownshipTimesDecember2025.pdf</t>
  </si>
  <si>
    <t xml:space="preserve">https://rennamedia.com/wp-content/uploads/2025/12/MorrisTownshipTimesJanuary2026.pdf</t>
  </si>
  <si>
    <t xml:space="preserve">https://rennamedia.com/wp-content/uploads/2026/01/MorrisTownshipTimesFebruary2026.pdf</t>
  </si>
  <si>
    <t xml:space="preserve">https://rennamedia.com/wp-content/uploads/2026/02/MorrisTownshipTimesMarch2026.pdf</t>
  </si>
  <si>
    <t xml:space="preserve">https://rennamedia.com/wp-content/uploads/2026/03/MorrisTownshipTimesApril2026.pdf</t>
  </si>
  <si>
    <t xml:space="preserve">https://rennamedia.com/wp-content/uploads/2026/04/MorrisTownshipTimesMay2026.pdf</t>
  </si>
  <si>
    <t xml:space="preserve">new-providence-news</t>
  </si>
  <si>
    <t xml:space="preserve">https://rennamedia.com/wp-content/uploads/2021/12/NewProvidenceJanuary2022.pdf</t>
  </si>
  <si>
    <t xml:space="preserve">https://rennamedia.com/wp-content/uploads/2022/01/NewProvidenceFebruary2022.pdf</t>
  </si>
  <si>
    <t xml:space="preserve">https://rennamedia.com/wp-content/uploads/2022/02/NewProvidenceMarch2022.pdf</t>
  </si>
  <si>
    <t xml:space="preserve">https://rennamedia.com/wp-content/uploads/2022/03/NewProvidenceApril2022.pdf</t>
  </si>
  <si>
    <t xml:space="preserve">https://rennamedia.com/wp-content/uploads/2022/04/NewProvidenceMay2022.pdf</t>
  </si>
  <si>
    <t xml:space="preserve">https://rennamedia.com/wp-content/uploads/2022/05/NewProvidenceJune2022.pdf</t>
  </si>
  <si>
    <t xml:space="preserve">https://rennamedia.com/wp-content/uploads/2022/06/NewProvidenceJuly2022.pdf</t>
  </si>
  <si>
    <t xml:space="preserve">https://rennamedia.com/wp-content/uploads/2022/07/NewProvidenceAugust2022.pdf</t>
  </si>
  <si>
    <t xml:space="preserve">https://rennamedia.com/wp-content/uploads/2022/09/NewProvidenceSeptember2022.pdf</t>
  </si>
  <si>
    <t xml:space="preserve">https://rennamedia.com/wp-content/uploads/2022/10/NewProvidenceOctober2022.pdf</t>
  </si>
  <si>
    <t xml:space="preserve">https://rennamedia.com/wp-content/uploads/2022/11/NewProvidenceNovember2022.pdf</t>
  </si>
  <si>
    <t xml:space="preserve">https://rennamedia.com/wp-content/uploads/2022/11/NewProvidenceDecember2022.pdf</t>
  </si>
  <si>
    <t xml:space="preserve">https://rennamedia.com/wp-content/uploads/2022/12/NewProvidenceJanuary2023.pdf</t>
  </si>
  <si>
    <t xml:space="preserve">https://rennamedia.com/wp-content/uploads/2023/01/NewProvidenceFebruary2023.pdf</t>
  </si>
  <si>
    <t xml:space="preserve">https://rennamedia.com/wp-content/uploads/2023/02/NewProvidenceMarch2023.pdf</t>
  </si>
  <si>
    <t xml:space="preserve">https://rennamedia.com/wp-content/uploads/2023/03/NewProvidenceApril2023.pdf</t>
  </si>
  <si>
    <t xml:space="preserve">https://rennamedia.com/wp-content/uploads/2023/04/NewProvidenceMay2023.pdf</t>
  </si>
  <si>
    <t xml:space="preserve">https://rennamedia.com/wp-content/uploads/2023/05/NewProvidenceJune2023.pdf</t>
  </si>
  <si>
    <t xml:space="preserve">https://rennamedia.com/wp-content/uploads/2023/06/NewProvidenceJuly2023.pdf</t>
  </si>
  <si>
    <t xml:space="preserve">https://rennamedia.com/wp-content/uploads/2023/07/NewProvidenceAug2023.pdf</t>
  </si>
  <si>
    <t xml:space="preserve">https://rennamedia.com/wp-content/uploads/2023/08/NewProvidenceSep2023.pdf</t>
  </si>
  <si>
    <t xml:space="preserve">https://rennamedia.com/wp-content/uploads/2023/10/NewProvidenceOct2023.pdf</t>
  </si>
  <si>
    <t xml:space="preserve">https://rennamedia.com/wp-content/uploads/2023/10/NewProvidenceNov2023.pdf</t>
  </si>
  <si>
    <t xml:space="preserve">https://rennamedia.com/wp-content/uploads/2023/11/NewProvidenceDec2023.pdf</t>
  </si>
  <si>
    <t xml:space="preserve">https://rennamedia.com/wp-content/uploads/2023/12/NewProvidenceJan2024.pdf</t>
  </si>
  <si>
    <t xml:space="preserve">https://rennamedia.com/wp-content/uploads/2024/01/NewProvidenceFeb2024.pdf</t>
  </si>
  <si>
    <t xml:space="preserve">https://rennamedia.com/wp-content/uploads/2024/02/NewProvidenceMar2024.pdf</t>
  </si>
  <si>
    <t xml:space="preserve">https://rennamedia.com/wp-content/uploads/2024/03/NewProvidenceApr2024.pdf</t>
  </si>
  <si>
    <t xml:space="preserve">https://rennamedia.com/wp-content/uploads/2024/04/NewProvidenceMay2024.pdf</t>
  </si>
  <si>
    <t xml:space="preserve">https://rennamedia.com/wp-content/uploads/2024/05/NewProvidenceJune2024.pdf</t>
  </si>
  <si>
    <t xml:space="preserve">https://rennamedia.com/wp-content/uploads/2024/06/NewProvidenceJuly2024.pdf</t>
  </si>
  <si>
    <t xml:space="preserve">https://rennamedia.com/wp-content/uploads/2024/07/NewProvidenceAugust2024.pdf</t>
  </si>
  <si>
    <t xml:space="preserve">https://rennamedia.com/wp-content/uploads/2024/08/NewProvidenceSeptember2024.pdf</t>
  </si>
  <si>
    <t xml:space="preserve">https://rennamedia.com/wp-content/uploads/2024/09/NewProvidenceOctober2024.pdf</t>
  </si>
  <si>
    <t xml:space="preserve">https://rennamedia.com/wp-content/uploads/2024/10/NewProvidenceNovember2024.pdf</t>
  </si>
  <si>
    <t xml:space="preserve">https://rennamedia.com/wp-content/uploads/2024/11/NewProvidenceDecember2024.pdf</t>
  </si>
  <si>
    <t xml:space="preserve">https://rennamedia.com/wp-content/uploads/2024/12/NewProvidenceJanuary2025.pdf</t>
  </si>
  <si>
    <t xml:space="preserve">https://rennamedia.com/wp-content/uploads/2025/02/NewProvidenceFebruary2025.pdf</t>
  </si>
  <si>
    <t xml:space="preserve">https://rennamedia.com/wp-content/uploads/2025/02/NewProvidenceMarch2025.pdf</t>
  </si>
  <si>
    <t xml:space="preserve">https://rennamedia.com/wp-content/uploads/2025/03/NewProvidenceApril2025.pdf</t>
  </si>
  <si>
    <t xml:space="preserve">https://rennamedia.com/wp-content/uploads/2025/04/NewProvidenceMay2025.pdf</t>
  </si>
  <si>
    <t xml:space="preserve">https://rennamedia.com/wp-content/uploads/2025/05/NewProvidenceJune2025.pdf</t>
  </si>
  <si>
    <t xml:space="preserve">https://rennamedia.com/wp-content/uploads/2025/06/NewProvidenceJuly2025.pdf</t>
  </si>
  <si>
    <t xml:space="preserve">https://rennamedia.com/wp-content/uploads/2025/07/NewProvidenceAugust2025.pdf</t>
  </si>
  <si>
    <t xml:space="preserve">https://rennamedia.com/wp-content/uploads/2025/08/NewProvidenceSeptember2025.pdf</t>
  </si>
  <si>
    <t xml:space="preserve">https://rennamedia.com/wp-content/uploads/2025/09/NewProvidenceOctober2025.pdf</t>
  </si>
  <si>
    <t xml:space="preserve">https://rennamedia.com/wp-content/uploads/2025/10/NewProvidenceNovember2025.pdf</t>
  </si>
  <si>
    <t xml:space="preserve">https://rennamedia.com/wp-content/uploads/2025/11/NewProvidenceDecember2025.pdf</t>
  </si>
  <si>
    <t xml:space="preserve">https://rennamedia.com/wp-content/uploads/2025/12/NewProvidenceJanuary2026.pdf</t>
  </si>
  <si>
    <t xml:space="preserve">https://rennamedia.com/wp-content/uploads/2026/01/NewProvidenceFebruary2026.pdf</t>
  </si>
  <si>
    <t xml:space="preserve">https://rennamedia.com/wp-content/uploads/2026/02/NewProvidenceMarch2026.pdf</t>
  </si>
  <si>
    <t xml:space="preserve">https://rennamedia.com/wp-content/uploads/2026/03/NewProvidenceApril2026.pdf</t>
  </si>
  <si>
    <t xml:space="preserve">https://rennamedia.com/wp-content/uploads/2026/04/NewProvidenceMay2026.pdf</t>
  </si>
  <si>
    <t xml:space="preserve">our-town-rahway</t>
  </si>
  <si>
    <t xml:space="preserve">https://rennamedia.com/wp-content/uploads/2021/12/RahwayJanuary2022.pdf</t>
  </si>
  <si>
    <t xml:space="preserve">https://rennamedia.com/wp-content/uploads/2022/01/RahwayFebruary2022.pdf</t>
  </si>
  <si>
    <t xml:space="preserve">https://rennamedia.com/wp-content/uploads/2022/02/RahwayMarch2022.pdf</t>
  </si>
  <si>
    <t xml:space="preserve">https://rennamedia.com/wp-content/uploads/2022/03/RahwayApril2022.pdf</t>
  </si>
  <si>
    <t xml:space="preserve">https://rennamedia.com/wp-content/uploads/2022/04/RahwayMay2022.pdf</t>
  </si>
  <si>
    <t xml:space="preserve">https://rennamedia.com/wp-content/uploads/2022/05/RahwayJune2022.pdf</t>
  </si>
  <si>
    <t xml:space="preserve">https://rennamedia.com/wp-content/uploads/2022/06/RahwayJuly2022.pdf</t>
  </si>
  <si>
    <t xml:space="preserve">https://rennamedia.com/wp-content/uploads/2022/07/RahwayAugust2022.pdf</t>
  </si>
  <si>
    <t xml:space="preserve">https://rennamedia.com/wp-content/uploads/2022/09/RahwaySeptember2022.pdf</t>
  </si>
  <si>
    <t xml:space="preserve">https://rennamedia.com/wp-content/uploads/2022/10/RahwayOctober2022.pdf</t>
  </si>
  <si>
    <t xml:space="preserve">https://rennamedia.com/wp-content/uploads/2022/11/RahwayNovember2022.pdf</t>
  </si>
  <si>
    <t xml:space="preserve">https://rennamedia.com/wp-content/uploads/2022/11/RahwayDecember2022.pdf</t>
  </si>
  <si>
    <t xml:space="preserve">https://rennamedia.com/wp-content/uploads/2022/12/RahwayJanuary2023.pdf</t>
  </si>
  <si>
    <t xml:space="preserve">https://rennamedia.com/wp-content/uploads/2023/01/RahwayFebruary2023.pdf</t>
  </si>
  <si>
    <t xml:space="preserve">https://rennamedia.com/wp-content/uploads/2023/02/RahwayMarch2023.pdf</t>
  </si>
  <si>
    <t xml:space="preserve">https://rennamedia.com/wp-content/uploads/2023/03/RahwayApril2023.pdf</t>
  </si>
  <si>
    <t xml:space="preserve">https://rennamedia.com/wp-content/uploads/2023/04/RahwayMay2023.pdf</t>
  </si>
  <si>
    <t xml:space="preserve">https://rennamedia.com/wp-content/uploads/2023/05/RahwayJune2023.pdf</t>
  </si>
  <si>
    <t xml:space="preserve">https://rennamedia.com/wp-content/uploads/2023/06/RahwayJuly2023.pdf</t>
  </si>
  <si>
    <t xml:space="preserve">https://rennamedia.com/wp-content/uploads/2023/07/RahwayAug2023.pdf</t>
  </si>
  <si>
    <t xml:space="preserve">https://rennamedia.com/wp-content/uploads/2023/08/RahwaySep2023.pdf</t>
  </si>
  <si>
    <t xml:space="preserve">https://rennamedia.com/wp-content/uploads/2023/09/RahwayOct2023.pdf</t>
  </si>
  <si>
    <t xml:space="preserve">https://rennamedia.com/wp-content/uploads/2023/10/RahwayNov2023.pdf</t>
  </si>
  <si>
    <t xml:space="preserve">https://rennamedia.com/wp-content/uploads/2023/11/RahwayDec2023.pdf</t>
  </si>
  <si>
    <t xml:space="preserve">https://rennamedia.com/wp-content/uploads/2023/12/RahwayJan2024.pdf</t>
  </si>
  <si>
    <t xml:space="preserve">https://rennamedia.com/wp-content/uploads/2024/02/RahwayFeb2024.pdf</t>
  </si>
  <si>
    <t xml:space="preserve">https://rennamedia.com/wp-content/uploads/2024/02/RahwayMar2024.pdf</t>
  </si>
  <si>
    <t xml:space="preserve">https://rennamedia.com/wp-content/uploads/2024/03/RahwayApr2024.pdf</t>
  </si>
  <si>
    <t xml:space="preserve">https://rennamedia.com/wp-content/uploads/2024/04/RahwayMay2024.pdf</t>
  </si>
  <si>
    <t xml:space="preserve">https://rennamedia.com/wp-content/uploads/2024/05/RahwayJune2024.pdf</t>
  </si>
  <si>
    <t xml:space="preserve">https://rennamedia.com/wp-content/uploads/2024/06/RahwayJuly2024.pdf</t>
  </si>
  <si>
    <t xml:space="preserve">https://rennamedia.com/wp-content/uploads/2024/07/RahwayAugust2024.pdf</t>
  </si>
  <si>
    <t xml:space="preserve">https://rennamedia.com/wp-content/uploads/2024/08/RahwaySeptember2024.pdf</t>
  </si>
  <si>
    <t xml:space="preserve">https://rennamedia.com/wp-content/uploads/2024/09/RahwayOctober2024.pdf</t>
  </si>
  <si>
    <t xml:space="preserve">https://rennamedia.com/wp-content/uploads/2024/10/RahwayNovember2024.pdf</t>
  </si>
  <si>
    <t xml:space="preserve">https://rennamedia.com/wp-content/uploads/2024/11/RahwayDecember2024.pdf</t>
  </si>
  <si>
    <t xml:space="preserve">https://rennamedia.com/wp-content/uploads/2024/12/RahwayJanuary2025.pdf</t>
  </si>
  <si>
    <t xml:space="preserve">https://rennamedia.com/wp-content/uploads/2025/02/RahwayFebruary2025.pdf</t>
  </si>
  <si>
    <t xml:space="preserve">https://rennamedia.com/wp-content/uploads/2025/02/RahwayMarch2025.pdf</t>
  </si>
  <si>
    <t xml:space="preserve">https://rennamedia.com/wp-content/uploads/2025/03/RahwayApril202.pdf</t>
  </si>
  <si>
    <t xml:space="preserve">https://rennamedia.com/wp-content/uploads/2025/04/RahwayMay2025.pdf</t>
  </si>
  <si>
    <t xml:space="preserve">https://rennamedia.com/wp-content/uploads/2025/05/RahwayJune2025.pdf</t>
  </si>
  <si>
    <t xml:space="preserve">https://rennamedia.com/wp-content/uploads/2025/06/RahwayJuly2025.pdf</t>
  </si>
  <si>
    <t xml:space="preserve">https://rennamedia.com/wp-content/uploads/2025/07/RahwayAugust2025.pdf</t>
  </si>
  <si>
    <t xml:space="preserve">https://rennamedia.com/wp-content/uploads/2025/08/RahwaySeptember2025.pdf</t>
  </si>
  <si>
    <t xml:space="preserve">https://rennamedia.com/wp-content/uploads/2025/09/RahwayOctober2025.pdf</t>
  </si>
  <si>
    <t xml:space="preserve">https://rennamedia.com/wp-content/uploads/2025/10/RahwayNovember2025.pdf</t>
  </si>
  <si>
    <t xml:space="preserve">https://rennamedia.com/wp-content/uploads/2025/11/RahwayDecember2025.pdf</t>
  </si>
  <si>
    <t xml:space="preserve">https://rennamedia.com/wp-content/uploads/2025/12/RahwayJanuary2026.pdf</t>
  </si>
  <si>
    <t xml:space="preserve">https://rennamedia.com/wp-content/uploads/2026/01/RahwayFebruary2026.pdf</t>
  </si>
  <si>
    <t xml:space="preserve">https://rennamedia.com/wp-content/uploads/2026/02/RahwayMarch2026.pdf</t>
  </si>
  <si>
    <t xml:space="preserve">https://rennamedia.com/wp-content/uploads/2026/03/RahwayApril2026.pdf</t>
  </si>
  <si>
    <t xml:space="preserve">https://rennamedia.com/wp-content/uploads/2026/04/RahwayMay2026.pdf</t>
  </si>
  <si>
    <t xml:space="preserve">life-in-roseland</t>
  </si>
  <si>
    <t xml:space="preserve">https://rennamedia.com/wp-content/uploads/2024/11/LifeInRoselandDecember2024.pdf</t>
  </si>
  <si>
    <t xml:space="preserve">https://rennamedia.com/wp-content/uploads/2024/12/LifeInRoselandJanuary2025.pdf</t>
  </si>
  <si>
    <t xml:space="preserve">https://rennamedia.com/wp-content/uploads/2025/02/LifeInRoselandFebruary2025.pdf</t>
  </si>
  <si>
    <t xml:space="preserve">https://rennamedia.com/wp-content/uploads/2025/02/LifeInRoselandMarch2025.pdf</t>
  </si>
  <si>
    <t xml:space="preserve">https://rennamedia.com/wp-content/uploads/2025/03/LifeInRoselandApril2025.pdf</t>
  </si>
  <si>
    <t xml:space="preserve">https://rennamedia.com/wp-content/uploads/2025/04/LifeInRoselandMay2025.pdf</t>
  </si>
  <si>
    <t xml:space="preserve">https://rennamedia.com/wp-content/uploads/2025/05/LifeInRoselandJune2025.pdf</t>
  </si>
  <si>
    <t xml:space="preserve">https://rennamedia.com/wp-content/uploads/2025/06/LifeInRoselandJuly2025.pdf</t>
  </si>
  <si>
    <t xml:space="preserve">https://rennamedia.com/wp-content/uploads/2025/07/LifeInRoselandAugust2025.pdf</t>
  </si>
  <si>
    <t xml:space="preserve">https://rennamedia.com/wp-content/uploads/2025/08/LifeInRoselandSeptember2025.pdf</t>
  </si>
  <si>
    <t xml:space="preserve">https://rennamedia.com/wp-content/uploads/2025/09/LifeInRoselandOctober2025.pdf</t>
  </si>
  <si>
    <t xml:space="preserve">https://rennamedia.com/wp-content/uploads/2025/10/LifeInRoselandNovember2025.pdf</t>
  </si>
  <si>
    <t xml:space="preserve">https://rennamedia.com/wp-content/uploads/2025/11/LifeInRoselandDecember2025.pdf</t>
  </si>
  <si>
    <t xml:space="preserve">https://rennamedia.com/wp-content/uploads/2025/12/LifeInRoselandJanuary2026.pdf</t>
  </si>
  <si>
    <t xml:space="preserve">https://rennamedia.com/wp-content/uploads/2026/01/LifeInRoselandFebruary2026.pdf</t>
  </si>
  <si>
    <t xml:space="preserve">https://rennamedia.com/wp-content/uploads/2026/02/LifeInRoselandMarch2026.pdf</t>
  </si>
  <si>
    <t xml:space="preserve">https://rennamedia.com/wp-content/uploads/2026/03/LifeInRoselandApril2026.pdf</t>
  </si>
  <si>
    <t xml:space="preserve">https://rennamedia.com/wp-content/uploads/2026/04/LifeInRoselandMay2026.pdf</t>
  </si>
  <si>
    <t xml:space="preserve">roselle-park-monthly</t>
  </si>
  <si>
    <t xml:space="preserve">https://rennamedia.com/wp-content/uploads/2021/12/RoselleParkJanuary2022.pdf</t>
  </si>
  <si>
    <t xml:space="preserve">https://rennamedia.com/wp-content/uploads/2022/01/RoselleParkFebruary2022.pdf</t>
  </si>
  <si>
    <t xml:space="preserve">https://rennamedia.com/wp-content/uploads/2022/02/RoselleParkMarch2022.pdf</t>
  </si>
  <si>
    <t xml:space="preserve">https://rennamedia.com/wp-content/uploads/2022/03/RoselleParkApril2022.pdf</t>
  </si>
  <si>
    <t xml:space="preserve">https://rennamedia.com/wp-content/uploads/2022/04/RoselleParkMay2022.pdf</t>
  </si>
  <si>
    <t xml:space="preserve">https://rennamedia.com/wp-content/uploads/2022/05/RoselleParkJune2022.pdf</t>
  </si>
  <si>
    <t xml:space="preserve">https://rennamedia.com/wp-content/uploads/2022/06/RoselleParkJuly2022.pdf</t>
  </si>
  <si>
    <t xml:space="preserve">https://rennamedia.com/wp-content/uploads/2022/07/RoselleParkAugust2022.pdf</t>
  </si>
  <si>
    <t xml:space="preserve">https://rennamedia.com/wp-content/uploads/2022/09/RoselleParkSeptember2022.pdf</t>
  </si>
  <si>
    <t xml:space="preserve">https://rennamedia.com/wp-content/uploads/2022/10/RoselleParkOctober2022.pdf</t>
  </si>
  <si>
    <t xml:space="preserve">https://rennamedia.com/wp-content/uploads/2022/11/RoselleParkNovember2022.pdf</t>
  </si>
  <si>
    <t xml:space="preserve">https://rennamedia.com/wp-content/uploads/2022/11/RoselleParkDecember2022.pdf</t>
  </si>
  <si>
    <t xml:space="preserve">https://rennamedia.com/wp-content/uploads/2022/12/RoselleParkJanuary2023.pdf</t>
  </si>
  <si>
    <t xml:space="preserve">https://rennamedia.com/wp-content/uploads/2023/01/RoselleParkFebruary2023.pdf</t>
  </si>
  <si>
    <t xml:space="preserve">https://rennamedia.com/wp-content/uploads/2023/02/RoselleParkMarch2023.pdf</t>
  </si>
  <si>
    <t xml:space="preserve">https://rennamedia.com/wp-content/uploads/2023/03/RoselleParkApril2023.pdf</t>
  </si>
  <si>
    <t xml:space="preserve">https://rennamedia.com/wp-content/uploads/2023/04/RoselleParkMay2023.pdf</t>
  </si>
  <si>
    <t xml:space="preserve">https://rennamedia.com/wp-content/uploads/2023/05/RoselleParkJune2023.pdf</t>
  </si>
  <si>
    <t xml:space="preserve">https://rennamedia.com/wp-content/uploads/2023/06/RoselleParkJuly2023.pdf</t>
  </si>
  <si>
    <t xml:space="preserve">https://rennamedia.com/wp-content/uploads/2023/07/RoselleParkAug2023.pdf</t>
  </si>
  <si>
    <t xml:space="preserve">https://rennamedia.com/wp-content/uploads/2023/08/RoselleParkSep2023.pdf</t>
  </si>
  <si>
    <t xml:space="preserve">https://rennamedia.com/wp-content/uploads/2023/09/RoselleParkOct2023.pdf</t>
  </si>
  <si>
    <t xml:space="preserve">https://rennamedia.com/wp-content/uploads/2023/10/RoselleParkNov2023.pdf</t>
  </si>
  <si>
    <t xml:space="preserve">https://rennamedia.com/wp-content/uploads/2023/11/RoselleParkDec2023.pdf</t>
  </si>
  <si>
    <t xml:space="preserve">https://rennamedia.com/wp-content/uploads/2023/12/RoselleParkJan2024.pdf</t>
  </si>
  <si>
    <t xml:space="preserve">https://rennamedia.com/wp-content/uploads/2024/01/RoselleParkFeb2024.pdf</t>
  </si>
  <si>
    <t xml:space="preserve">https://rennamedia.com/wp-content/uploads/2024/02/RoselleParkMar2024.pdf</t>
  </si>
  <si>
    <t xml:space="preserve">https://rennamedia.com/wp-content/uploads/2024/03/RoselleParkApr2024.pdf</t>
  </si>
  <si>
    <t xml:space="preserve">https://rennamedia.com/wp-content/uploads/2024/04/RoselleParkMay2024.pdf</t>
  </si>
  <si>
    <t xml:space="preserve">https://rennamedia.com/wp-content/uploads/2024/05/RoselleParkJune2024.pdf</t>
  </si>
  <si>
    <t xml:space="preserve">https://rennamedia.com/wp-content/uploads/2024/06/RoselleParkJuly2024.pdf</t>
  </si>
  <si>
    <t xml:space="preserve">https://rennamedia.com/wp-content/uploads/2024/07/RoselleParkAugust2024.pdf</t>
  </si>
  <si>
    <t xml:space="preserve">https://rennamedia.com/wp-content/uploads/2024/08/RoselleParkSeptember2024.pdf</t>
  </si>
  <si>
    <t xml:space="preserve">https://rennamedia.com/wp-content/uploads/2024/09/RoselleParkOctober2024.pdf</t>
  </si>
  <si>
    <t xml:space="preserve">https://rennamedia.com/wp-content/uploads/2024/10/RoselleParkNovember2024.pdf</t>
  </si>
  <si>
    <t xml:space="preserve">https://rennamedia.com/wp-content/uploads/2024/11/RoselleParkDecember2024.pdf</t>
  </si>
  <si>
    <t xml:space="preserve">https://rennamedia.com/wp-content/uploads/2024/12/RoselleParkJanuary2025.pdf</t>
  </si>
  <si>
    <t xml:space="preserve">https://rennamedia.com/wp-content/uploads/2025/02/RoselleParkFebruary2025.pdf</t>
  </si>
  <si>
    <t xml:space="preserve">https://rennamedia.com/wp-content/uploads/2025/02/RoselleParkMarch2025.pdf</t>
  </si>
  <si>
    <t xml:space="preserve">https://rennamedia.com/wp-content/uploads/2025/03/RoselleParkApril2025.pdf</t>
  </si>
  <si>
    <t xml:space="preserve">https://rennamedia.com/wp-content/uploads/2025/04/RoselleParkMay2025.pdf</t>
  </si>
  <si>
    <t xml:space="preserve">https://rennamedia.com/wp-content/uploads/2025/05/RoselleParkJune2025.pdf</t>
  </si>
  <si>
    <t xml:space="preserve">https://rennamedia.com/wp-content/uploads/2025/06/RoselleParkJuly2025.pdf</t>
  </si>
  <si>
    <t xml:space="preserve">https://rennamedia.com/wp-content/uploads/2025/07/RoselleParkAugust2025.pdf</t>
  </si>
  <si>
    <t xml:space="preserve">https://rennamedia.com/wp-content/uploads/2025/08/RoselleParkSeptember2025.pdf</t>
  </si>
  <si>
    <t xml:space="preserve">https://rennamedia.com/wp-content/uploads/2025/09/RoselleParkOctober2025.pdf</t>
  </si>
  <si>
    <t xml:space="preserve">https://rennamedia.com/wp-content/uploads/2025/10/RoselleParkNovember2025.pdf</t>
  </si>
  <si>
    <t xml:space="preserve">https://rennamedia.com/wp-content/uploads/2025/11/RoselleParkDecember2025.pdf</t>
  </si>
  <si>
    <t xml:space="preserve">https://rennamedia.com/wp-content/uploads/2025/12/RoselleParkJanuary2026.pdf</t>
  </si>
  <si>
    <t xml:space="preserve">https://rennamedia.com/wp-content/uploads/2026/01/RoselleParkFebruary2026.pdf</t>
  </si>
  <si>
    <t xml:space="preserve">https://rennamedia.com/wp-content/uploads/2026/02/RoselleParkMarch2026.pdf</t>
  </si>
  <si>
    <t xml:space="preserve">https://rennamedia.com/wp-content/uploads/2026/03/RoselleParkApril2026.pdf</t>
  </si>
  <si>
    <t xml:space="preserve">https://rennamedia.com/wp-content/uploads/2026/04/RoselleParkMay2026.pdf</t>
  </si>
  <si>
    <t xml:space="preserve">scotch-plains-monthly</t>
  </si>
  <si>
    <t xml:space="preserve">https://rennamedia.com/wp-content/uploads/2021/12/ScotchPlainsJanuary2022.pdf</t>
  </si>
  <si>
    <t xml:space="preserve">https://rennamedia.com/wp-content/uploads/2022/01/ScotchPlainsFebruary2022.pdf</t>
  </si>
  <si>
    <t xml:space="preserve">https://rennamedia.com/wp-content/uploads/2022/02/ScotchPlainsMarch2022.pdf</t>
  </si>
  <si>
    <t xml:space="preserve">https://rennamedia.com/wp-content/uploads/2022/03/ScotchPlainsApril2022.pdf</t>
  </si>
  <si>
    <t xml:space="preserve">https://rennamedia.com/wp-content/uploads/2022/04/ScotchPlainsMay2022.pdf</t>
  </si>
  <si>
    <t xml:space="preserve">https://rennamedia.com/wp-content/uploads/2022/05/ScotchPlainsJune2022.pdf</t>
  </si>
  <si>
    <t xml:space="preserve">https://rennamedia.com/wp-content/uploads/2022/06/ScotchPlainsJuly2022.pdf</t>
  </si>
  <si>
    <t xml:space="preserve">https://rennamedia.com/wp-content/uploads/2022/07/ScotchPlainsAugust2022.pdf</t>
  </si>
  <si>
    <t xml:space="preserve">https://rennamedia.com/wp-content/uploads/2022/09/ScotchPlainsSeptember2022.pdf</t>
  </si>
  <si>
    <t xml:space="preserve">https://rennamedia.com/wp-content/uploads/2022/10/ScotchPlainsOctober2022.pdf</t>
  </si>
  <si>
    <t xml:space="preserve">https://rennamedia.com/wp-content/uploads/2022/11/ScotchPlainsNovember2022.pdf</t>
  </si>
  <si>
    <t xml:space="preserve">https://rennamedia.com/wp-content/uploads/2022/11/ScotchPlainsDecember2022.pdf</t>
  </si>
  <si>
    <t xml:space="preserve">https://rennamedia.com/wp-content/uploads/2022/12/ScotchPlainsJanuary2023.pdf</t>
  </si>
  <si>
    <t xml:space="preserve">https://rennamedia.com/wp-content/uploads/2023/01/ScotchPlainsFebruary2023.pdf</t>
  </si>
  <si>
    <t xml:space="preserve">https://rennamedia.com/wp-content/uploads/2023/02/ScotchPlainsMarch2023.pdf</t>
  </si>
  <si>
    <t xml:space="preserve">https://rennamedia.com/wp-content/uploads/2023/03/ScotchPlainsApril2023.pdf</t>
  </si>
  <si>
    <t xml:space="preserve">https://rennamedia.com/wp-content/uploads/2023/04/ScotchPlainsMay2023.pdf</t>
  </si>
  <si>
    <t xml:space="preserve">https://rennamedia.com/wp-content/uploads/2023/05/ScotchPlainsJune2023.pdf</t>
  </si>
  <si>
    <t xml:space="preserve">https://rennamedia.com/wp-content/uploads/2023/06/ScotchPlainsJuly2023.pdf</t>
  </si>
  <si>
    <t xml:space="preserve">https://rennamedia.com/wp-content/uploads/2023/07/ScotchPlainsAug2023.pdf</t>
  </si>
  <si>
    <t xml:space="preserve">https://rennamedia.com/wp-content/uploads/2023/08/ScotchPlainsSep2023.pdf</t>
  </si>
  <si>
    <t xml:space="preserve">https://rennamedia.com/wp-content/uploads/2023/09/ScotchPlainsOct2023.pdf</t>
  </si>
  <si>
    <t xml:space="preserve">https://rennamedia.com/wp-content/uploads/2023/10/ScotchPlainsNov2023.pdf</t>
  </si>
  <si>
    <t xml:space="preserve">https://rennamedia.com/wp-content/uploads/2023/11/ScotchPlainsDec2023.pdf</t>
  </si>
  <si>
    <t xml:space="preserve">https://rennamedia.com/wp-content/uploads/2023/12/ScotchPlainsJan2024.pdf</t>
  </si>
  <si>
    <t xml:space="preserve">https://rennamedia.com/wp-content/uploads/2024/01/ScotchPlainsFeb2024.pdf</t>
  </si>
  <si>
    <t xml:space="preserve">https://rennamedia.com/wp-content/uploads/2024/02/ScotchPlainsMar2024.pdf</t>
  </si>
  <si>
    <t xml:space="preserve">https://rennamedia.com/wp-content/uploads/2024/03/ScotchPlainsApr2024.pdf</t>
  </si>
  <si>
    <t xml:space="preserve">https://rennamedia.com/wp-content/uploads/2024/04/ScotchPlainsMay2024.pdf</t>
  </si>
  <si>
    <t xml:space="preserve">https://rennamedia.com/wp-content/uploads/2024/05/ScotchPlainsJune2024.pdf</t>
  </si>
  <si>
    <t xml:space="preserve">https://rennamedia.com/wp-content/uploads/2024/06/ScotchPlainsJuly2024.pdf</t>
  </si>
  <si>
    <t xml:space="preserve">https://rennamedia.com/wp-content/uploads/2024/07/ScotchPlainsAugust2024.pdf</t>
  </si>
  <si>
    <t xml:space="preserve">https://rennamedia.com/wp-content/uploads/2024/08/ScotchPlainsSeptember2024.pdf</t>
  </si>
  <si>
    <t xml:space="preserve">https://rennamedia.com/wp-content/uploads/2024/10/ScotchPlainsOctober2024x.pdf</t>
  </si>
  <si>
    <t xml:space="preserve">https://rennamedia.com/wp-content/uploads/2024/10/ScotchPlainsNovember2024.pdf</t>
  </si>
  <si>
    <t xml:space="preserve">https://rennamedia.com/wp-content/uploads/2024/11/ScotchPlainsDecember2024.pdf</t>
  </si>
  <si>
    <t xml:space="preserve">https://rennamedia.com/wp-content/uploads/2024/12/ScotchPlainsJanuary2025.pdf</t>
  </si>
  <si>
    <t xml:space="preserve">https://rennamedia.com/wp-content/uploads/2025/02/ScotchPlainsFebruary2025.pdf</t>
  </si>
  <si>
    <t xml:space="preserve">https://rennamedia.com/wp-content/uploads/2025/02/ScotchPlainsMarch2025.pdf</t>
  </si>
  <si>
    <t xml:space="preserve">https://rennamedia.com/wp-content/uploads/2025/03/ScotchPlainsApril2025.pdf</t>
  </si>
  <si>
    <t xml:space="preserve">https://rennamedia.com/wp-content/uploads/2025/04/ScotchPlainsMay2025.pdf</t>
  </si>
  <si>
    <t xml:space="preserve">https://rennamedia.com/wp-content/uploads/2025/05/ScotchPlainsJune2025.pdf</t>
  </si>
  <si>
    <t xml:space="preserve">https://rennamedia.com/wp-content/uploads/2025/06/ScotchPlainsJuly2025.pdf</t>
  </si>
  <si>
    <t xml:space="preserve">https://rennamedia.com/wp-content/uploads/2025/07/ScotchPlainsAugust2025.pdf</t>
  </si>
  <si>
    <t xml:space="preserve">https://rennamedia.com/wp-content/uploads/2025/08/ScotchPlainsSeptember2025.pdf</t>
  </si>
  <si>
    <t xml:space="preserve">https://rennamedia.com/wp-content/uploads/2025/09/ScotchPlainsOctober2025.pdf</t>
  </si>
  <si>
    <t xml:space="preserve">https://rennamedia.com/wp-content/uploads/2025/10/ScotchPlainsNovember2025.pdf</t>
  </si>
  <si>
    <t xml:space="preserve">https://rennamedia.com/wp-content/uploads/2025/11/ScotchPlainsDecember2025.pdf</t>
  </si>
  <si>
    <t xml:space="preserve">https://rennamedia.com/wp-content/uploads/2025/12/ScotchPlainsJanuary2026.pdf</t>
  </si>
  <si>
    <t xml:space="preserve">https://rennamedia.com/wp-content/uploads/2026/01/ScotchPlainsFebruary2026.pdf</t>
  </si>
  <si>
    <t xml:space="preserve">https://rennamedia.com/wp-content/uploads/2026/02/ScotchPlainsMarch2026.pdf</t>
  </si>
  <si>
    <t xml:space="preserve">https://rennamedia.com/wp-content/uploads/2026/03/ScotchPlainsApril2026.pdf</t>
  </si>
  <si>
    <t xml:space="preserve">https://rennamedia.com/wp-content/uploads/2026/04/ScotchPlainsMay2026.pdf</t>
  </si>
  <si>
    <t xml:space="preserve">spirit-of-union</t>
  </si>
  <si>
    <t xml:space="preserve">https://rennamedia.com/wp-content/uploads/2021/12/UnionJanuary2022.pdf</t>
  </si>
  <si>
    <t xml:space="preserve">https://rennamedia.com/wp-content/uploads/2022/01/UnionFebruary2022.pdf</t>
  </si>
  <si>
    <t xml:space="preserve">https://rennamedia.com/wp-content/uploads/2022/02/UnionMarch2022.pdf</t>
  </si>
  <si>
    <t xml:space="preserve">https://rennamedia.com/wp-content/uploads/2022/03/UnionApril2022.pdf</t>
  </si>
  <si>
    <t xml:space="preserve">https://rennamedia.com/wp-content/uploads/2022/04/UnionMay2022.pdf</t>
  </si>
  <si>
    <t xml:space="preserve">https://rennamedia.com/wp-content/uploads/2022/05/UnionJune2022.pdf</t>
  </si>
  <si>
    <t xml:space="preserve">https://rennamedia.com/wp-content/uploads/2022/06/UnionJuly2022.pdf</t>
  </si>
  <si>
    <t xml:space="preserve">https://rennamedia.com/wp-content/uploads/2022/07/UnionAugust2022.pdf</t>
  </si>
  <si>
    <t xml:space="preserve">https://rennamedia.com/wp-content/uploads/2022/09/UnionSeptember2022.pdf</t>
  </si>
  <si>
    <t xml:space="preserve">https://rennamedia.com/wp-content/uploads/2022/10/UnionOctober2022.pdf</t>
  </si>
  <si>
    <t xml:space="preserve">https://rennamedia.com/wp-content/uploads/2022/11/UnionNovember2022.pdf</t>
  </si>
  <si>
    <t xml:space="preserve">https://rennamedia.com/wp-content/uploads/2022/11/UnionDecember2022.pdf</t>
  </si>
  <si>
    <t xml:space="preserve">https://rennamedia.com/wp-content/uploads/2022/12/UnionJanuary2023.pdf</t>
  </si>
  <si>
    <t xml:space="preserve">https://rennamedia.com/wp-content/uploads/2023/01/UnionFebruary2023.pdf</t>
  </si>
  <si>
    <t xml:space="preserve">https://rennamedia.com/wp-content/uploads/2023/02/UnionMarch2023.pdf</t>
  </si>
  <si>
    <t xml:space="preserve">https://rennamedia.com/wp-content/uploads/2023/03/UnionApril2023.pdf</t>
  </si>
  <si>
    <t xml:space="preserve">https://rennamedia.com/wp-content/uploads/2023/04/UnionMay2023.pdf</t>
  </si>
  <si>
    <t xml:space="preserve">https://rennamedia.com/wp-content/uploads/2023/05/UnionJune2023.pdf</t>
  </si>
  <si>
    <t xml:space="preserve">https://rennamedia.com/wp-content/uploads/2023/06/UnionJuly2023.pdf</t>
  </si>
  <si>
    <t xml:space="preserve">https://rennamedia.com/wp-content/uploads/2023/07/UnionAug2023.pdf</t>
  </si>
  <si>
    <t xml:space="preserve">https://rennamedia.com/wp-content/uploads/2023/08/UnionSep2023.pdf</t>
  </si>
  <si>
    <t xml:space="preserve">https://rennamedia.com/wp-content/uploads/2023/09/UnionOct2023.pdf</t>
  </si>
  <si>
    <t xml:space="preserve">https://rennamedia.com/wp-content/uploads/2023/10/UnionNov2023.pdf</t>
  </si>
  <si>
    <t xml:space="preserve">https://rennamedia.com/wp-content/uploads/2023/11/UnionDec2023.pdf</t>
  </si>
  <si>
    <t xml:space="preserve">https://rennamedia.com/wp-content/uploads/2023/12/UnionJan2024.pdf</t>
  </si>
  <si>
    <t xml:space="preserve">https://rennamedia.com/wp-content/uploads/2024/01/UnionFeb2024.pdf</t>
  </si>
  <si>
    <t xml:space="preserve">https://rennamedia.com/wp-content/uploads/2024/02/UnionMar2024.pdf</t>
  </si>
  <si>
    <t xml:space="preserve">https://rennamedia.com/wp-content/uploads/2024/03/UnionApr2024.pdf</t>
  </si>
  <si>
    <t xml:space="preserve">https://rennamedia.com/wp-content/uploads/2024/04/UnionMay2024.pdf</t>
  </si>
  <si>
    <t xml:space="preserve">https://rennamedia.com/wp-content/uploads/2024/05/UnionJune2024.pdf</t>
  </si>
  <si>
    <t xml:space="preserve">https://rennamedia.com/wp-content/uploads/2024/06/UnionJuly2024.pdf</t>
  </si>
  <si>
    <t xml:space="preserve">https://rennamedia.com/wp-content/uploads/2024/07/UnionAugust2024.pdf</t>
  </si>
  <si>
    <t xml:space="preserve">https://rennamedia.com/wp-content/uploads/2024/08/UnionSeptember2024.pdf</t>
  </si>
  <si>
    <t xml:space="preserve">https://rennamedia.com/wp-content/uploads/2024/09/UnionOctober2024.pdf</t>
  </si>
  <si>
    <t xml:space="preserve">https://rennamedia.com/wp-content/uploads/2024/10/UnionNovember2024.pdf</t>
  </si>
  <si>
    <t xml:space="preserve">https://rennamedia.com/wp-content/uploads/2024/11/UnionDecember2024.pdf</t>
  </si>
  <si>
    <t xml:space="preserve">https://rennamedia.com/wp-content/uploads/2024/12/UnionJanuary2025.pdf</t>
  </si>
  <si>
    <t xml:space="preserve">https://rennamedia.com/wp-content/uploads/2025/02/UnionFebruary2025.pdf</t>
  </si>
  <si>
    <t xml:space="preserve">https://rennamedia.com/wp-content/uploads/2025/02/UnionMarch2025.pdf</t>
  </si>
  <si>
    <t xml:space="preserve">https://rennamedia.com/wp-content/uploads/2025/03/UnionApril2025.pdf</t>
  </si>
  <si>
    <t xml:space="preserve">https://rennamedia.com/wp-content/uploads/2025/04/UnionMay2025.pdf</t>
  </si>
  <si>
    <t xml:space="preserve">https://rennamedia.com/wp-content/uploads/2025/05/UnionJune2025.pdf</t>
  </si>
  <si>
    <t xml:space="preserve">https://rennamedia.com/wp-content/uploads/2025/06/UnionJuly2025.pdf</t>
  </si>
  <si>
    <t xml:space="preserve">https://rennamedia.com/wp-content/uploads/2025/07/UnionAugust2025.pdf</t>
  </si>
  <si>
    <t xml:space="preserve">https://rennamedia.com/wp-content/uploads/2025/08/UnionSeptember202.pdf</t>
  </si>
  <si>
    <t xml:space="preserve">https://rennamedia.com/wp-content/uploads/2025/09/UnionOctober2025.pdf</t>
  </si>
  <si>
    <t xml:space="preserve">https://rennamedia.com/wp-content/uploads/2025/10/UnionNovember2025.pdf</t>
  </si>
  <si>
    <t xml:space="preserve">https://rennamedia.com/wp-content/uploads/2025/11/UnionNDecember2025.pdf</t>
  </si>
  <si>
    <t xml:space="preserve">https://rennamedia.com/wp-content/uploads/2025/12/UnionJanuary2026.pdf</t>
  </si>
  <si>
    <t xml:space="preserve">https://rennamedia.com/wp-content/uploads/2026/01/UnionFebruary2026.pdf</t>
  </si>
  <si>
    <t xml:space="preserve">https://rennamedia.com/wp-content/uploads/2026/02/UnionMarch2026.pdf</t>
  </si>
  <si>
    <t xml:space="preserve">https://rennamedia.com/wp-content/uploads/2026/04/UnionMay2026.pdf</t>
  </si>
  <si>
    <t xml:space="preserve">summit-times</t>
  </si>
  <si>
    <t xml:space="preserve">https://rennamedia.com/wp-content/uploads/2021/12/SummitJanuary2022.pdf</t>
  </si>
  <si>
    <t xml:space="preserve">https://rennamedia.com/wp-content/uploads/2022/01/SummitFebruary2022.pdf</t>
  </si>
  <si>
    <t xml:space="preserve">https://rennamedia.com/wp-content/uploads/2022/02/SummitMarch2022.pdf</t>
  </si>
  <si>
    <t xml:space="preserve">https://rennamedia.com/wp-content/uploads/2022/03/SummitApril2022.pdf</t>
  </si>
  <si>
    <t xml:space="preserve">https://rennamedia.com/wp-content/uploads/2022/04/SummitMay2022.pdf</t>
  </si>
  <si>
    <t xml:space="preserve">https://rennamedia.com/wp-content/uploads/2022/05/SummitJune2022.pdf</t>
  </si>
  <si>
    <t xml:space="preserve">https://rennamedia.com/wp-content/uploads/2022/06/SummitJuly2022.pdf</t>
  </si>
  <si>
    <t xml:space="preserve">https://rennamedia.com/wp-content/uploads/2022/07/SummitAugust2022.pdf</t>
  </si>
  <si>
    <t xml:space="preserve">https://rennamedia.com/wp-content/uploads/2022/09/SummitSeptember2022.pdf</t>
  </si>
  <si>
    <t xml:space="preserve">https://rennamedia.com/wp-content/uploads/2022/10/SummitOctober2022.pdf</t>
  </si>
  <si>
    <t xml:space="preserve">https://rennamedia.com/wp-content/uploads/2022/11/SummitNovember2022.pdf</t>
  </si>
  <si>
    <t xml:space="preserve">https://rennamedia.com/wp-content/uploads/2022/11/SummitDecember2022.pdf</t>
  </si>
  <si>
    <t xml:space="preserve">https://rennamedia.com/wp-content/uploads/2022/12/SummitJanuary2023.pdf</t>
  </si>
  <si>
    <t xml:space="preserve">https://rennamedia.com/wp-content/uploads/2023/01/SummitFebruary2023.pdf</t>
  </si>
  <si>
    <t xml:space="preserve">https://rennamedia.com/wp-content/uploads/2023/02/SummitMarch2023.pdf</t>
  </si>
  <si>
    <t xml:space="preserve">https://rennamedia.com/wp-content/uploads/2023/03/SummitApril2023.pdf</t>
  </si>
  <si>
    <t xml:space="preserve">https://rennamedia.com/wp-content/uploads/2023/04/SummitMay2023.pdf</t>
  </si>
  <si>
    <t xml:space="preserve">https://rennamedia.com/wp-content/uploads/2023/05/SummitJune2023.pdf</t>
  </si>
  <si>
    <t xml:space="preserve">https://rennamedia.com/wp-content/uploads/2023/06/SummitJuly2023.pdf</t>
  </si>
  <si>
    <t xml:space="preserve">https://rennamedia.com/wp-content/uploads/2023/07/SummitAug2023.pdf</t>
  </si>
  <si>
    <t xml:space="preserve">https://rennamedia.com/wp-content/uploads/2023/08/SummitSep2023.pdf</t>
  </si>
  <si>
    <t xml:space="preserve">https://rennamedia.com/wp-content/uploads/2023/09/SummitOct2023.pdf</t>
  </si>
  <si>
    <t xml:space="preserve">https://rennamedia.com/wp-content/uploads/2023/10/SummitNov2023.pdf</t>
  </si>
  <si>
    <t xml:space="preserve">https://rennamedia.com/wp-content/uploads/2023/11/SummitDec2023.pdf</t>
  </si>
  <si>
    <t xml:space="preserve">https://rennamedia.com/wp-content/uploads/2023/12/SummitJan2024.pdf</t>
  </si>
  <si>
    <t xml:space="preserve">https://rennamedia.com/wp-content/uploads/2024/01/SummitFeb2024.pdf</t>
  </si>
  <si>
    <t xml:space="preserve">https://rennamedia.com/wp-content/uploads/2024/02/SummitMar2024.pdf</t>
  </si>
  <si>
    <t xml:space="preserve">https://rennamedia.com/wp-content/uploads/2024/03/SummitApr2024.pdf</t>
  </si>
  <si>
    <t xml:space="preserve">https://rennamedia.com/wp-content/uploads/2024/04/SummitMay2024.pdf</t>
  </si>
  <si>
    <t xml:space="preserve">https://rennamedia.com/wp-content/uploads/2024/05/SummitJune2024.pdf</t>
  </si>
  <si>
    <t xml:space="preserve">https://rennamedia.com/wp-content/uploads/2024/06/SummitJuly2024.pdf</t>
  </si>
  <si>
    <t xml:space="preserve">https://rennamedia.com/wp-content/uploads/2024/07/SummitAugust2024.pdf</t>
  </si>
  <si>
    <t xml:space="preserve">https://rennamedia.com/wp-content/uploads/2024/08/SummitSeptember2024.pdf</t>
  </si>
  <si>
    <t xml:space="preserve">https://rennamedia.com/wp-content/uploads/2024/09/SummitOctober2024.pdf</t>
  </si>
  <si>
    <t xml:space="preserve">https://rennamedia.com/wp-content/uploads/2024/10/SummitNovember2024.pdf</t>
  </si>
  <si>
    <t xml:space="preserve">https://rennamedia.com/wp-content/uploads/2024/11/SummitDecember2024.pdf</t>
  </si>
  <si>
    <t xml:space="preserve">https://rennamedia.com/wp-content/uploads/2024/12/SummitJanuary2025.pdf</t>
  </si>
  <si>
    <t xml:space="preserve">https://rennamedia.com/wp-content/uploads/2025/02/SummitFebruary2025.pdf</t>
  </si>
  <si>
    <t xml:space="preserve">https://rennamedia.com/wp-content/uploads/2025/02/SummitMarch2025.pdf</t>
  </si>
  <si>
    <t xml:space="preserve">https://rennamedia.com/wp-content/uploads/2025/04/SummitMay2025.pdf</t>
  </si>
  <si>
    <t xml:space="preserve">https://rennamedia.com/wp-content/uploads/2025/05/SummitJune2025.pdf</t>
  </si>
  <si>
    <t xml:space="preserve">https://rennamedia.com/wp-content/uploads/2025/06/SummitJuly2025.pdf</t>
  </si>
  <si>
    <t xml:space="preserve">https://rennamedia.com/wp-content/uploads/2025/07/SummitAugust2025.pdf</t>
  </si>
  <si>
    <t xml:space="preserve">https://rennamedia.com/wp-content/uploads/2025/08/SummitSeptember2025.pdf</t>
  </si>
  <si>
    <t xml:space="preserve">https://rennamedia.com/wp-content/uploads/2025/09/SummitOctober2025.pdf</t>
  </si>
  <si>
    <t xml:space="preserve">https://rennamedia.com/wp-content/uploads/2025/10/SummitNovember2025.pdf</t>
  </si>
  <si>
    <t xml:space="preserve">https://rennamedia.com/wp-content/uploads/2025/11/SummitDecember2025.pdf</t>
  </si>
  <si>
    <t xml:space="preserve">https://rennamedia.com/wp-content/uploads/2025/12/SummitJanuary2026.pdf</t>
  </si>
  <si>
    <t xml:space="preserve">https://rennamedia.com/wp-content/uploads/2026/02/SummitFebruary2026.pdf</t>
  </si>
  <si>
    <t xml:space="preserve">https://rennamedia.com/wp-content/uploads/2026/02/SummitMarch2026.pdf</t>
  </si>
  <si>
    <t xml:space="preserve">https://rennamedia.com/wp-content/uploads/2026/03/SummitApril2026.pdf</t>
  </si>
  <si>
    <t xml:space="preserve">https://rennamedia.com/wp-content/uploads/2026/04/SummitMay2026.pdf</t>
  </si>
  <si>
    <t xml:space="preserve">warren-monthly</t>
  </si>
  <si>
    <t xml:space="preserve">https://rennamedia.com/wp-content/uploads/2021/12/WarrenJanuary2022.pdf</t>
  </si>
  <si>
    <t xml:space="preserve">https://rennamedia.com/wp-content/uploads/2022/01/WarrenFebruary2022.pdf</t>
  </si>
  <si>
    <t xml:space="preserve">https://rennamedia.com/wp-content/uploads/2022/02/WarrenMarch2022.pdf</t>
  </si>
  <si>
    <t xml:space="preserve">https://rennamedia.com/wp-content/uploads/2022/03/WarrenApril2022.pdf</t>
  </si>
  <si>
    <t xml:space="preserve">https://rennamedia.com/wp-content/uploads/2022/04/WarrenMay2022.pdf</t>
  </si>
  <si>
    <t xml:space="preserve">https://rennamedia.com/wp-content/uploads/2022/05/WarrenJune2022.pdf</t>
  </si>
  <si>
    <t xml:space="preserve">https://rennamedia.com/wp-content/uploads/2022/06/WarrenJuly2022.pdf</t>
  </si>
  <si>
    <t xml:space="preserve">https://rennamedia.com/wp-content/uploads/2022/07/WarrenAugust2022.pdf</t>
  </si>
  <si>
    <t xml:space="preserve">https://rennamedia.com/wp-content/uploads/2022/09/WarrenSeptember2022.pdf</t>
  </si>
  <si>
    <t xml:space="preserve">https://rennamedia.com/wp-content/uploads/2022/10/WarrenOctober2022.pdf</t>
  </si>
  <si>
    <t xml:space="preserve">https://rennamedia.com/wp-content/uploads/2022/11/WarrenNovember2022.pdf</t>
  </si>
  <si>
    <t xml:space="preserve">https://rennamedia.com/wp-content/uploads/2022/11/WarrenDecember2022.pdf</t>
  </si>
  <si>
    <t xml:space="preserve">https://rennamedia.com/wp-content/uploads/2022/12/WarrenJanuary2023.pdf</t>
  </si>
  <si>
    <t xml:space="preserve">https://rennamedia.com/wp-content/uploads/2023/01/WarrenFebruary2023.pdf</t>
  </si>
  <si>
    <t xml:space="preserve">https://rennamedia.com/wp-content/uploads/2023/02/WarrenMarch2023.pdf</t>
  </si>
  <si>
    <t xml:space="preserve">https://rennamedia.com/wp-content/uploads/2023/03/WarrenApril2023.pdf</t>
  </si>
  <si>
    <t xml:space="preserve">https://rennamedia.com/wp-content/uploads/2023/04/WarrenMay2023.pdf</t>
  </si>
  <si>
    <t xml:space="preserve">https://rennamedia.com/wp-content/uploads/2023/05/WarrenJune2023.pdf</t>
  </si>
  <si>
    <t xml:space="preserve">https://rennamedia.com/wp-content/uploads/2023/06/WarrenJuly2023.pdf</t>
  </si>
  <si>
    <t xml:space="preserve">https://rennamedia.com/wp-content/uploads/2023/07/WarrenAug2023.pdf</t>
  </si>
  <si>
    <t xml:space="preserve">https://rennamedia.com/wp-content/uploads/2023/08/WarrenSep2023.pdf</t>
  </si>
  <si>
    <t xml:space="preserve">https://rennamedia.com/wp-content/uploads/2023/09/WarrenOct2023.pdf</t>
  </si>
  <si>
    <t xml:space="preserve">https://rennamedia.com/wp-content/uploads/2023/10/WarrenNov2023.pdf</t>
  </si>
  <si>
    <t xml:space="preserve">https://rennamedia.com/wp-content/uploads/2023/11/WarrenDec2023.pdf</t>
  </si>
  <si>
    <t xml:space="preserve">https://rennamedia.com/wp-content/uploads/2023/12/WarrenJan2024.pdf</t>
  </si>
  <si>
    <t xml:space="preserve">https://rennamedia.com/wp-content/uploads/2024/01/WarrenFeb2024.pdf</t>
  </si>
  <si>
    <t xml:space="preserve">https://rennamedia.com/wp-content/uploads/2024/02/WarrenMar2024.pdf</t>
  </si>
  <si>
    <t xml:space="preserve">https://rennamedia.com/wp-content/uploads/2024/03/WarrenApr2024.pdf</t>
  </si>
  <si>
    <t xml:space="preserve">https://rennamedia.com/wp-content/uploads/2024/04/WarrenMay2024.pdf</t>
  </si>
  <si>
    <t xml:space="preserve">https://rennamedia.com/wp-content/uploads/2024/05/WarrenJune2024.pdf</t>
  </si>
  <si>
    <t xml:space="preserve">https://rennamedia.com/wp-content/uploads/2024/06/WarrenJuly2024.pdf</t>
  </si>
  <si>
    <t xml:space="preserve">https://rennamedia.com/wp-content/uploads/2024/07/WarrenAugust2024.pdf</t>
  </si>
  <si>
    <t xml:space="preserve">https://rennamedia.com/wp-content/uploads/2024/08/WarrenSeptember2024.pdf</t>
  </si>
  <si>
    <t xml:space="preserve">https://rennamedia.com/wp-content/uploads/2024/09/WarrenOctober2024.pdf</t>
  </si>
  <si>
    <t xml:space="preserve">https://rennamedia.com/wp-content/uploads/2024/10/WarrenNovember2024.pdf</t>
  </si>
  <si>
    <t xml:space="preserve">https://rennamedia.com/wp-content/uploads/2024/11/WarrenDecember2024.pdf</t>
  </si>
  <si>
    <t xml:space="preserve">https://rennamedia.com/wp-content/uploads/2024/12/WarrenJanuary2025.pdf</t>
  </si>
  <si>
    <t xml:space="preserve">https://rennamedia.com/wp-content/uploads/2025/02/WarrenFebruary2025.pdf</t>
  </si>
  <si>
    <t xml:space="preserve">https://rennamedia.com/wp-content/uploads/2025/02/WarrenMarch2025.pdf</t>
  </si>
  <si>
    <t xml:space="preserve">https://rennamedia.com/wp-content/uploads/2025/03/WarrenApril2025.pdf</t>
  </si>
  <si>
    <t xml:space="preserve">https://rennamedia.com/wp-content/uploads/2025/04/WarrenMay2025.pdf</t>
  </si>
  <si>
    <t xml:space="preserve">https://rennamedia.com/wp-content/uploads/2025/05/WarrenJune2025.pdf</t>
  </si>
  <si>
    <t xml:space="preserve">https://rennamedia.com/wp-content/uploads/2025/06/WarrenJuly2025.pdf</t>
  </si>
  <si>
    <t xml:space="preserve">https://rennamedia.com/wp-content/uploads/2025/07/WarrenAugust2025.pdf</t>
  </si>
  <si>
    <t xml:space="preserve">https://rennamedia.com/wp-content/uploads/2025/08/WarrenSeptember2025.pdf</t>
  </si>
  <si>
    <t xml:space="preserve">https://rennamedia.com/wp-content/uploads/2025/09/WarrenOctober2025.pdf</t>
  </si>
  <si>
    <t xml:space="preserve">https://rennamedia.com/wp-content/uploads/2025/10/WarrenNovember2025.pdf</t>
  </si>
  <si>
    <t xml:space="preserve">https://rennamedia.com/wp-content/uploads/2025/11/WarrenDecember2025.pdf</t>
  </si>
  <si>
    <t xml:space="preserve">https://rennamedia.com/wp-content/uploads/2025/12/WarrenJanuary2026.pdf</t>
  </si>
  <si>
    <t xml:space="preserve">https://rennamedia.com/wp-content/uploads/2026/01/WarrenFebruary2026.pdf</t>
  </si>
  <si>
    <t xml:space="preserve">https://rennamedia.com/wp-content/uploads/2026/02/WarrenMarch2026.pdf</t>
  </si>
  <si>
    <t xml:space="preserve">https://rennamedia.com/wp-content/uploads/2026/03/WarrenApril2026.pdf</t>
  </si>
  <si>
    <t xml:space="preserve">https://rennamedia.com/wp-content/uploads/2026/04/WarrenMay2026.pdf</t>
  </si>
  <si>
    <t xml:space="preserve">watchung-post</t>
  </si>
  <si>
    <t xml:space="preserve">https://rennamedia.com/wp-content/uploads/2021/12/WatchungJanuary2022.pdf</t>
  </si>
  <si>
    <t xml:space="preserve">https://rennamedia.com/wp-content/uploads/2022/01/WatchungFebruary2022.pdf</t>
  </si>
  <si>
    <t xml:space="preserve">https://rennamedia.com/wp-content/uploads/2022/02/WatchungMarch2022.pdf</t>
  </si>
  <si>
    <t xml:space="preserve">https://rennamedia.com/wp-content/uploads/2022/03/WatchungApril2022.pdf</t>
  </si>
  <si>
    <t xml:space="preserve">https://rennamedia.com/wp-content/uploads/2022/04/WatchungMay2022.pdf</t>
  </si>
  <si>
    <t xml:space="preserve">https://rennamedia.com/wp-content/uploads/2022/05/WatchungJune2022.pdf</t>
  </si>
  <si>
    <t xml:space="preserve">https://rennamedia.com/wp-content/uploads/2022/06/WatchungJuly2022.pdf</t>
  </si>
  <si>
    <t xml:space="preserve">https://rennamedia.com/wp-content/uploads/2022/07/WatchungAugust2022.pdf</t>
  </si>
  <si>
    <t xml:space="preserve">https://rennamedia.com/wp-content/uploads/2022/09/WatchungSeptember2022.pdf</t>
  </si>
  <si>
    <t xml:space="preserve">https://rennamedia.com/wp-content/uploads/2022/10/WatchungOctober2022.pdf</t>
  </si>
  <si>
    <t xml:space="preserve">https://rennamedia.com/wp-content/uploads/2022/11/WatchungNovember2022.pdf</t>
  </si>
  <si>
    <t xml:space="preserve">https://rennamedia.com/wp-content/uploads/2022/11/WatchungDecember2022.pdf</t>
  </si>
  <si>
    <t xml:space="preserve">https://rennamedia.com/wp-content/uploads/2022/12/WatchungJanuary2023.pdf</t>
  </si>
  <si>
    <t xml:space="preserve">https://rennamedia.com/wp-content/uploads/2023/01/WatchungFebruary2023.pdf</t>
  </si>
  <si>
    <t xml:space="preserve">https://rennamedia.com/wp-content/uploads/2023/02/WatchungMarch2023.pdf</t>
  </si>
  <si>
    <t xml:space="preserve">https://rennamedia.com/wp-content/uploads/2023/03/WatchungApril2023.pdf</t>
  </si>
  <si>
    <t xml:space="preserve">https://rennamedia.com/wp-content/uploads/2023/04/WatchungMay2023.pdf</t>
  </si>
  <si>
    <t xml:space="preserve">https://rennamedia.com/wp-content/uploads/2023/05/WatchungJune2023.pdf</t>
  </si>
  <si>
    <t xml:space="preserve">https://rennamedia.com/wp-content/uploads/2023/06/WatchungJuly2023.pdf</t>
  </si>
  <si>
    <t xml:space="preserve">https://rennamedia.com/wp-content/uploads/2023/07/WatchungAug2023.pdf</t>
  </si>
  <si>
    <t xml:space="preserve">https://rennamedia.com/wp-content/uploads/2023/08/WatchungSep2023.pdf</t>
  </si>
  <si>
    <t xml:space="preserve">https://rennamedia.com/wp-content/uploads/2023/09/WatchungOct2023.pdf</t>
  </si>
  <si>
    <t xml:space="preserve">https://rennamedia.com/wp-content/uploads/2023/10/WatchungNov2023.pdf</t>
  </si>
  <si>
    <t xml:space="preserve">https://rennamedia.com/wp-content/uploads/2023/11/WatchungDec2023.pdf</t>
  </si>
  <si>
    <t xml:space="preserve">https://rennamedia.com/wp-content/uploads/2023/12/WatchungJan2024.pdf</t>
  </si>
  <si>
    <t xml:space="preserve">https://rennamedia.com/wp-content/uploads/2024/01/WatchungFeb2024.pdf</t>
  </si>
  <si>
    <t xml:space="preserve">https://rennamedia.com/wp-content/uploads/2024/02/WatchungMar2024.pdf</t>
  </si>
  <si>
    <t xml:space="preserve">https://rennamedia.com/wp-content/uploads/2024/03/WatchungApr2024.pdf</t>
  </si>
  <si>
    <t xml:space="preserve">https://rennamedia.com/wp-content/uploads/2024/04/WatchungMay2024.pdf</t>
  </si>
  <si>
    <t xml:space="preserve">https://rennamedia.com/wp-content/uploads/2024/05/WatchungJune2024.pdf</t>
  </si>
  <si>
    <t xml:space="preserve">https://rennamedia.com/wp-content/uploads/2024/06/WatchungJuly2024.pdf</t>
  </si>
  <si>
    <t xml:space="preserve">https://rennamedia.com/wp-content/uploads/2024/07/WatchungAugust2024.pdf</t>
  </si>
  <si>
    <t xml:space="preserve">https://rennamedia.com/wp-content/uploads/2024/08/WatchungSeptember2024.pdf</t>
  </si>
  <si>
    <t xml:space="preserve">https://rennamedia.com/wp-content/uploads/2024/09/WatchungOctober2024.pdf</t>
  </si>
  <si>
    <t xml:space="preserve">https://rennamedia.com/wp-content/uploads/2024/10/WatchungNovember2024.pdf</t>
  </si>
  <si>
    <t xml:space="preserve">https://rennamedia.com/wp-content/uploads/2024/11/WatchungDecember2024.pdf</t>
  </si>
  <si>
    <t xml:space="preserve">https://rennamedia.com/wp-content/uploads/2024/12/WatchungJanuary2025.pdf</t>
  </si>
  <si>
    <t xml:space="preserve">https://rennamedia.com/wp-content/uploads/2025/02/WatchungFebruary2025.pdf</t>
  </si>
  <si>
    <t xml:space="preserve">https://rennamedia.com/wp-content/uploads/2025/02/WatchungMarch2025.pdf</t>
  </si>
  <si>
    <t xml:space="preserve">https://rennamedia.com/wp-content/uploads/2025/03/WatchungApril2025.pdf</t>
  </si>
  <si>
    <t xml:space="preserve">https://rennamedia.com/wp-content/uploads/2025/04/WatchungMay2025.pdf</t>
  </si>
  <si>
    <t xml:space="preserve">https://rennamedia.com/wp-content/uploads/2025/05/WatchungJune2025.pdf</t>
  </si>
  <si>
    <t xml:space="preserve">https://rennamedia.com/wp-content/uploads/2025/06/WatchungJuly2025.pdf</t>
  </si>
  <si>
    <t xml:space="preserve">https://rennamedia.com/wp-content/uploads/2025/07/WatchungAugust2025.pdf</t>
  </si>
  <si>
    <t xml:space="preserve">https://rennamedia.com/wp-content/uploads/2025/08/WatchungSeptember2025.pdf</t>
  </si>
  <si>
    <t xml:space="preserve">https://rennamedia.com/wp-content/uploads/2025/09/WatchungOctober2025.pdf</t>
  </si>
  <si>
    <t xml:space="preserve">https://rennamedia.com/wp-content/uploads/2025/10/WatchungNovember2025.pdf</t>
  </si>
  <si>
    <t xml:space="preserve">https://rennamedia.com/wp-content/uploads/2025/11/WatchungDecember2025.pdf</t>
  </si>
  <si>
    <t xml:space="preserve">https://rennamedia.com/wp-content/uploads/2025/12/WatchungJanuary2026.pdf</t>
  </si>
  <si>
    <t xml:space="preserve">https://rennamedia.com/wp-content/uploads/2026/01/WatchungFebruary2026.pdf</t>
  </si>
  <si>
    <t xml:space="preserve">https://rennamedia.com/wp-content/uploads/2026/02/WatchungMarch2026.pdf</t>
  </si>
  <si>
    <t xml:space="preserve">https://rennamedia.com/wp-content/uploads/2026/03/WatchungApril2026.pdf</t>
  </si>
  <si>
    <t xml:space="preserve">https://rennamedia.com/wp-content/uploads/2026/04/WatchungMay2026.pdf</t>
  </si>
  <si>
    <t xml:space="preserve">westfield-monthly</t>
  </si>
  <si>
    <t xml:space="preserve">https://rennamedia.com/wp-content/uploads/2021/12/WestfieldJanuary2022.pdf</t>
  </si>
  <si>
    <t xml:space="preserve">https://rennamedia.com/wp-content/uploads/2022/01/WestfieldFebruary2022.pdf</t>
  </si>
  <si>
    <t xml:space="preserve">https://rennamedia.com/wp-content/uploads/2022/02/WestfieldMarch2022.pdf</t>
  </si>
  <si>
    <t xml:space="preserve">https://rennamedia.com/wp-content/uploads/2022/03/WestfieldApril2022.pdf</t>
  </si>
  <si>
    <t xml:space="preserve">https://rennamedia.com/wp-content/uploads/2022/05/WestfieldMay2022issue.pdf</t>
  </si>
  <si>
    <t xml:space="preserve">https://rennamedia.com/wp-content/uploads/2022/05/WestfieldJune2022.pdf</t>
  </si>
  <si>
    <t xml:space="preserve">https://rennamedia.com/wp-content/uploads/2022/06/WestfieldJuly2022.pdf</t>
  </si>
  <si>
    <t xml:space="preserve">https://rennamedia.com/wp-content/uploads/2022/07/WestfieldAugust2022.pdf</t>
  </si>
  <si>
    <t xml:space="preserve">https://rennamedia.com/wp-content/uploads/2022/09/WestfieldSeptember2022.pdf</t>
  </si>
  <si>
    <t xml:space="preserve">https://rennamedia.com/wp-content/uploads/2022/10/WestfieldOctober2022.pdf</t>
  </si>
  <si>
    <t xml:space="preserve">https://rennamedia.com/wp-content/uploads/2022/11/WestfieldNovember2022.pdf</t>
  </si>
  <si>
    <t xml:space="preserve">https://rennamedia.com/wp-content/uploads/2022/11/WestfieldDecember2022.pdf</t>
  </si>
  <si>
    <t xml:space="preserve">https://rennamedia.com/wp-content/uploads/2022/12/WestfieldJanuary2023.pdf</t>
  </si>
  <si>
    <t xml:space="preserve">https://rennamedia.com/wp-content/uploads/2023/01/WestfieldFebruary2023.pdf</t>
  </si>
  <si>
    <t xml:space="preserve">https://rennamedia.com/wp-content/uploads/2023/02/WestfieldMarch2023.pdf</t>
  </si>
  <si>
    <t xml:space="preserve">https://rennamedia.com/wp-content/uploads/2023/03/WestfieldApril2023.pdf</t>
  </si>
  <si>
    <t xml:space="preserve">https://rennamedia.com/wp-content/uploads/2023/04/WestfieldMay2023.pdf</t>
  </si>
  <si>
    <t xml:space="preserve">https://rennamedia.com/wp-content/uploads/2023/05/WestfieldJune2023.pdf</t>
  </si>
  <si>
    <t xml:space="preserve">https://rennamedia.com/wp-content/uploads/2023/06/WestfieldJuly2023.pdf</t>
  </si>
  <si>
    <t xml:space="preserve">https://rennamedia.com/wp-content/uploads/2023/07/WestfieldAug2023.pdf</t>
  </si>
  <si>
    <t xml:space="preserve">https://rennamedia.com/wp-content/uploads/2023/08/WestfieldSep2023.pdf</t>
  </si>
  <si>
    <t xml:space="preserve">https://rennamedia.com/wp-content/uploads/2023/10/WestfieldOct2023.pdf</t>
  </si>
  <si>
    <t xml:space="preserve">https://rennamedia.com/wp-content/uploads/2023/10/WestfieldNov2023.pdf</t>
  </si>
  <si>
    <t xml:space="preserve">https://rennamedia.com/wp-content/uploads/2023/11/WestfieldDec2023.pdf</t>
  </si>
  <si>
    <t xml:space="preserve">https://rennamedia.com/wp-content/uploads/2023/12/WestfieldJan2024.pdf</t>
  </si>
  <si>
    <t xml:space="preserve">https://rennamedia.com/wp-content/uploads/2024/01/WestfieldFeb2024.pdf</t>
  </si>
  <si>
    <t xml:space="preserve">https://rennamedia.com/wp-content/uploads/2024/02/WestfieldMar2024.pdf</t>
  </si>
  <si>
    <t xml:space="preserve">https://rennamedia.com/wp-content/uploads/2024/03/WestfieldApr2024.pdf</t>
  </si>
  <si>
    <t xml:space="preserve">https://rennamedia.com/wp-content/uploads/2024/04/WestfieldMay2024.pdf</t>
  </si>
  <si>
    <t xml:space="preserve">https://rennamedia.com/wp-content/uploads/2024/05/WestfieldJune2024.pdf</t>
  </si>
  <si>
    <t xml:space="preserve">https://rennamedia.com/wp-content/uploads/2024/06/WestfieldJuly2024.pdf</t>
  </si>
  <si>
    <t xml:space="preserve">https://rennamedia.com/wp-content/uploads/2024/07/WestfieldAugust2024.pdf</t>
  </si>
  <si>
    <t xml:space="preserve">https://rennamedia.com/wp-content/uploads/2024/08/WestfieldSeptember2024.pdf</t>
  </si>
  <si>
    <t xml:space="preserve">https://rennamedia.com/wp-content/uploads/2024/10/WestfieldOctober2024x.pdf</t>
  </si>
  <si>
    <t xml:space="preserve">https://rennamedia.com/wp-content/uploads/2024/10/WestfieldNovember2024.pdf</t>
  </si>
  <si>
    <t xml:space="preserve">https://rennamedia.com/wp-content/uploads/2024/11/WestfieldDecember2024.pdf</t>
  </si>
  <si>
    <t xml:space="preserve">https://rennamedia.com/wp-content/uploads/2024/12/WestfieldJanuary2025.pdf</t>
  </si>
  <si>
    <t xml:space="preserve">https://rennamedia.com/wp-content/uploads/2025/02/WestfieldFebruary2025.pdf</t>
  </si>
  <si>
    <t xml:space="preserve">https://rennamedia.com/wp-content/uploads/2025/02/WestfieldMarch2025.pdf</t>
  </si>
  <si>
    <t xml:space="preserve">https://rennamedia.com/wp-content/uploads/2025/03/WestfieldApril2025.pdf</t>
  </si>
  <si>
    <t xml:space="preserve">https://rennamedia.com/wp-content/uploads/2025/04/WestfieldMay2025.pdf</t>
  </si>
  <si>
    <t xml:space="preserve">https://rennamedia.com/wp-content/uploads/2025/05/WestfieldJune2025.pdf</t>
  </si>
  <si>
    <t xml:space="preserve">https://rennamedia.com/wp-content/uploads/2025/06/WestfieldJuly2025.pdf</t>
  </si>
  <si>
    <t xml:space="preserve">https://rennamedia.com/wp-content/uploads/2025/07/WestfieldAugust2025.pdf</t>
  </si>
  <si>
    <t xml:space="preserve">https://rennamedia.com/wp-content/uploads/2025/08/WestfieldSeptember2025.pdf</t>
  </si>
  <si>
    <t xml:space="preserve">https://rennamedia.com/wp-content/uploads/2025/09/WestfieldOctober2025.pdf</t>
  </si>
  <si>
    <t xml:space="preserve">https://rennamedia.com/wp-content/uploads/2025/10/WestfieldNovember2025.pdf</t>
  </si>
  <si>
    <t xml:space="preserve">https://rennamedia.com/wp-content/uploads/2025/11/WestfieldDecember2025.pdf</t>
  </si>
  <si>
    <t xml:space="preserve">https://rennamedia.com/wp-content/uploads/2025/12/WestfieldJanuary2026.pdf</t>
  </si>
  <si>
    <t xml:space="preserve">https://rennamedia.com/wp-content/uploads/2026/01/WestfieldFebruary2026.pdf</t>
  </si>
  <si>
    <t xml:space="preserve">https://rennamedia.com/wp-content/uploads/2026/02/WestfieldMarch2026.pdf</t>
  </si>
  <si>
    <t xml:space="preserve">https://rennamedia.com/wp-content/uploads/2026/03/WestfieldApril2026.pdf</t>
  </si>
  <si>
    <t xml:space="preserve">https://rennamedia.com/wp-content/uploads/2026/04/WestfieldMay2026.pdf</t>
  </si>
  <si>
    <t xml:space="preserve">First Issue</t>
  </si>
  <si>
    <t xml:space="preserve">Latest Issue</t>
  </si>
  <si>
    <t xml:space="preserve"># Issues</t>
  </si>
  <si>
    <t xml:space="preserve">Total Pages</t>
  </si>
  <si>
    <t xml:space="preserve">Avg Pages</t>
  </si>
  <si>
    <t xml:space="preserve">Min Pages</t>
  </si>
  <si>
    <t xml:space="preserve">Max Pages</t>
  </si>
  <si>
    <t xml:space="preserve">—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</si>
</sst>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ennamedia.com/wp-content/uploads/2021/12/BerkeleyHeightsJanuary2022.pdf" TargetMode="External"/><Relationship Id="rId2" Type="http://schemas.openxmlformats.org/officeDocument/2006/relationships/hyperlink" Target="https://rennamedia.com/wp-content/uploads/2021/12/ClarkJanuary2022.pdf" TargetMode="External"/><Relationship Id="rId3" Type="http://schemas.openxmlformats.org/officeDocument/2006/relationships/hyperlink" Target="https://rennamedia.com/wp-content/uploads/2021/12/ChathamsJanuary2022.pdf" TargetMode="External"/><Relationship Id="rId4" Type="http://schemas.openxmlformats.org/officeDocument/2006/relationships/hyperlink" Target="https://rennamedia.com/wp-content/uploads/2021/12/CranfordJanuary2022.pdf" TargetMode="External"/><Relationship Id="rId5" Type="http://schemas.openxmlformats.org/officeDocument/2006/relationships/hyperlink" Target="https://rennamedia.com/wp-content/uploads/2021/12/FanwoodJanuary2022.pdf" TargetMode="External"/><Relationship Id="rId6" Type="http://schemas.openxmlformats.org/officeDocument/2006/relationships/hyperlink" Target="https://rennamedia.com/wp-content/uploads/2021/12/GarwoodJanuary2022.pdf" TargetMode="External"/><Relationship Id="rId7" Type="http://schemas.openxmlformats.org/officeDocument/2006/relationships/hyperlink" Target="https://rennamedia.com/wp-content/uploads/2021/12/GreenBrookJanuary2022.pdf" TargetMode="External"/><Relationship Id="rId8" Type="http://schemas.openxmlformats.org/officeDocument/2006/relationships/hyperlink" Target="https://rennamedia.com/wp-content/uploads/2021/12/KenilworthJanuary2022.pdf" TargetMode="External"/><Relationship Id="rId9" Type="http://schemas.openxmlformats.org/officeDocument/2006/relationships/hyperlink" Target="https://rennamedia.com/wp-content/uploads/2021/12/LindenJanuary2022.pdf" TargetMode="External"/><Relationship Id="rId10" Type="http://schemas.openxmlformats.org/officeDocument/2006/relationships/hyperlink" Target="https://rennamedia.com/wp-content/uploads/2021/12/LongHillJanuary2022.pdf" TargetMode="External"/><Relationship Id="rId11" Type="http://schemas.openxmlformats.org/officeDocument/2006/relationships/hyperlink" Target="https://rennamedia.com/wp-content/uploads/2021/12/MadisonJanuary2022.pdf" TargetMode="External"/><Relationship Id="rId12" Type="http://schemas.openxmlformats.org/officeDocument/2006/relationships/hyperlink" Target="https://rennamedia.com/wp-content/uploads/2021/12/MountainsideJanuary2022.pdf" TargetMode="External"/><Relationship Id="rId13" Type="http://schemas.openxmlformats.org/officeDocument/2006/relationships/hyperlink" Target="https://rennamedia.com/wp-content/uploads/2021/12/NewProvidenceJanuary2022.pdf" TargetMode="External"/><Relationship Id="rId14" Type="http://schemas.openxmlformats.org/officeDocument/2006/relationships/hyperlink" Target="https://rennamedia.com/wp-content/uploads/2021/12/RahwayJanuary2022.pdf" TargetMode="External"/><Relationship Id="rId15" Type="http://schemas.openxmlformats.org/officeDocument/2006/relationships/hyperlink" Target="https://rennamedia.com/wp-content/uploads/2021/12/RoselleParkJanuary2022.pdf" TargetMode="External"/><Relationship Id="rId16" Type="http://schemas.openxmlformats.org/officeDocument/2006/relationships/hyperlink" Target="https://rennamedia.com/wp-content/uploads/2021/12/ScotchPlainsJanuary2022.pdf" TargetMode="External"/><Relationship Id="rId17" Type="http://schemas.openxmlformats.org/officeDocument/2006/relationships/hyperlink" Target="https://rennamedia.com/wp-content/uploads/2021/12/UnionJanuary2022.pdf" TargetMode="External"/><Relationship Id="rId18" Type="http://schemas.openxmlformats.org/officeDocument/2006/relationships/hyperlink" Target="https://rennamedia.com/wp-content/uploads/2021/12/SummitJanuary2022.pdf" TargetMode="External"/><Relationship Id="rId19" Type="http://schemas.openxmlformats.org/officeDocument/2006/relationships/hyperlink" Target="https://rennamedia.com/wp-content/uploads/2021/12/WarrenJanuary2022.pdf" TargetMode="External"/><Relationship Id="rId20" Type="http://schemas.openxmlformats.org/officeDocument/2006/relationships/hyperlink" Target="https://rennamedia.com/wp-content/uploads/2021/12/WatchungJanuary2022.pdf" TargetMode="External"/><Relationship Id="rId21" Type="http://schemas.openxmlformats.org/officeDocument/2006/relationships/hyperlink" Target="https://rennamedia.com/wp-content/uploads/2021/12/WestfieldJanuary2022.pdf" TargetMode="External"/><Relationship Id="rId22" Type="http://schemas.openxmlformats.org/officeDocument/2006/relationships/hyperlink" Target="https://rennamedia.com/wp-content/uploads/2022/01/BerkeleyHeightsFebruary2022.pdf" TargetMode="External"/><Relationship Id="rId23" Type="http://schemas.openxmlformats.org/officeDocument/2006/relationships/hyperlink" Target="https://rennamedia.com/wp-content/uploads/2022/01/ClarkFebruary2022.pdf" TargetMode="External"/><Relationship Id="rId24" Type="http://schemas.openxmlformats.org/officeDocument/2006/relationships/hyperlink" Target="https://rennamedia.com/wp-content/uploads/2022/01/ChathamsFebruary2022i.pdf" TargetMode="External"/><Relationship Id="rId25" Type="http://schemas.openxmlformats.org/officeDocument/2006/relationships/hyperlink" Target="https://rennamedia.com/wp-content/uploads/2022/01/CranfordFebruary2022.pdf" TargetMode="External"/><Relationship Id="rId26" Type="http://schemas.openxmlformats.org/officeDocument/2006/relationships/hyperlink" Target="https://rennamedia.com/wp-content/uploads/2022/01/FanwoodFebruary2022.pdf" TargetMode="External"/><Relationship Id="rId27" Type="http://schemas.openxmlformats.org/officeDocument/2006/relationships/hyperlink" Target="https://rennamedia.com/wp-content/uploads/2022/01/GarwoodFebruary2022.pdf" TargetMode="External"/><Relationship Id="rId28" Type="http://schemas.openxmlformats.org/officeDocument/2006/relationships/hyperlink" Target="https://rennamedia.com/wp-content/uploads/2022/01/GreenBrookFebruary2022.pdf" TargetMode="External"/><Relationship Id="rId29" Type="http://schemas.openxmlformats.org/officeDocument/2006/relationships/hyperlink" Target="https://rennamedia.com/wp-content/uploads/2022/01/KenilworthFebruary2022.pdf" TargetMode="External"/><Relationship Id="rId30" Type="http://schemas.openxmlformats.org/officeDocument/2006/relationships/hyperlink" Target="https://rennamedia.com/wp-content/uploads/2022/01/LindenFebruary2022.pdf" TargetMode="External"/><Relationship Id="rId31" Type="http://schemas.openxmlformats.org/officeDocument/2006/relationships/hyperlink" Target="https://rennamedia.com/wp-content/uploads/2022/01/LongHillFebruary2022.pdf" TargetMode="External"/><Relationship Id="rId32" Type="http://schemas.openxmlformats.org/officeDocument/2006/relationships/hyperlink" Target="https://rennamedia.com/wp-content/uploads/2022/01/MadisonFebruary2022.pdf" TargetMode="External"/><Relationship Id="rId33" Type="http://schemas.openxmlformats.org/officeDocument/2006/relationships/hyperlink" Target="https://rennamedia.com/wp-content/uploads/2022/01/MountainsideFebruary2022.pdf" TargetMode="External"/><Relationship Id="rId34" Type="http://schemas.openxmlformats.org/officeDocument/2006/relationships/hyperlink" Target="https://rennamedia.com/wp-content/uploads/2022/01/NewProvidenceFebruary2022.pdf" TargetMode="External"/><Relationship Id="rId35" Type="http://schemas.openxmlformats.org/officeDocument/2006/relationships/hyperlink" Target="https://rennamedia.com/wp-content/uploads/2022/01/RahwayFebruary2022.pdf" TargetMode="External"/><Relationship Id="rId36" Type="http://schemas.openxmlformats.org/officeDocument/2006/relationships/hyperlink" Target="https://rennamedia.com/wp-content/uploads/2022/01/RoselleParkFebruary2022.pdf" TargetMode="External"/><Relationship Id="rId37" Type="http://schemas.openxmlformats.org/officeDocument/2006/relationships/hyperlink" Target="https://rennamedia.com/wp-content/uploads/2022/01/ScotchPlainsFebruary2022.pdf" TargetMode="External"/><Relationship Id="rId38" Type="http://schemas.openxmlformats.org/officeDocument/2006/relationships/hyperlink" Target="https://rennamedia.com/wp-content/uploads/2022/01/UnionFebruary2022.pdf" TargetMode="External"/><Relationship Id="rId39" Type="http://schemas.openxmlformats.org/officeDocument/2006/relationships/hyperlink" Target="https://rennamedia.com/wp-content/uploads/2022/01/SummitFebruary2022.pdf" TargetMode="External"/><Relationship Id="rId40" Type="http://schemas.openxmlformats.org/officeDocument/2006/relationships/hyperlink" Target="https://rennamedia.com/wp-content/uploads/2022/01/WarrenFebruary2022.pdf" TargetMode="External"/><Relationship Id="rId41" Type="http://schemas.openxmlformats.org/officeDocument/2006/relationships/hyperlink" Target="https://rennamedia.com/wp-content/uploads/2022/01/WatchungFebruary2022.pdf" TargetMode="External"/><Relationship Id="rId42" Type="http://schemas.openxmlformats.org/officeDocument/2006/relationships/hyperlink" Target="https://rennamedia.com/wp-content/uploads/2022/01/WestfieldFebruary2022.pdf" TargetMode="External"/><Relationship Id="rId43" Type="http://schemas.openxmlformats.org/officeDocument/2006/relationships/hyperlink" Target="https://rennamedia.com/wp-content/uploads/2022/02/BerkeleyHeightsMarch2022.pdf" TargetMode="External"/><Relationship Id="rId44" Type="http://schemas.openxmlformats.org/officeDocument/2006/relationships/hyperlink" Target="https://rennamedia.com/wp-content/uploads/2022/02/ClarkMarch2022.pdf" TargetMode="External"/><Relationship Id="rId45" Type="http://schemas.openxmlformats.org/officeDocument/2006/relationships/hyperlink" Target="https://rennamedia.com/wp-content/uploads/2022/02/ChathamsMarch2022.pdf" TargetMode="External"/><Relationship Id="rId46" Type="http://schemas.openxmlformats.org/officeDocument/2006/relationships/hyperlink" Target="https://rennamedia.com/wp-content/uploads/2022/02/CranfordMarch2022.pdf" TargetMode="External"/><Relationship Id="rId47" Type="http://schemas.openxmlformats.org/officeDocument/2006/relationships/hyperlink" Target="https://rennamedia.com/wp-content/uploads/2022/02/ElmoraHillsMonthlyMarch2022.pdf" TargetMode="External"/><Relationship Id="rId48" Type="http://schemas.openxmlformats.org/officeDocument/2006/relationships/hyperlink" Target="https://rennamedia.com/wp-content/uploads/2022/02/FanwoodMarch2022.pdf" TargetMode="External"/><Relationship Id="rId49" Type="http://schemas.openxmlformats.org/officeDocument/2006/relationships/hyperlink" Target="https://rennamedia.com/wp-content/uploads/2022/02/FlorhamParkMonthlyMarch2022.pdf" TargetMode="External"/><Relationship Id="rId50" Type="http://schemas.openxmlformats.org/officeDocument/2006/relationships/hyperlink" Target="https://rennamedia.com/wp-content/uploads/2022/02/GarwoodMarch2022.pdf" TargetMode="External"/><Relationship Id="rId51" Type="http://schemas.openxmlformats.org/officeDocument/2006/relationships/hyperlink" Target="https://rennamedia.com/wp-content/uploads/2022/02/GreenBrookMarch2022.pdf" TargetMode="External"/><Relationship Id="rId52" Type="http://schemas.openxmlformats.org/officeDocument/2006/relationships/hyperlink" Target="https://rennamedia.com/wp-content/uploads/2022/02/KenilworthMarch2022.pdf" TargetMode="External"/><Relationship Id="rId53" Type="http://schemas.openxmlformats.org/officeDocument/2006/relationships/hyperlink" Target="https://rennamedia.com/wp-content/uploads/2022/02/LindenMarch2022.pdf" TargetMode="External"/><Relationship Id="rId54" Type="http://schemas.openxmlformats.org/officeDocument/2006/relationships/hyperlink" Target="https://rennamedia.com/wp-content/uploads/2022/02/LongHillMarch2022.pdf" TargetMode="External"/><Relationship Id="rId55" Type="http://schemas.openxmlformats.org/officeDocument/2006/relationships/hyperlink" Target="https://rennamedia.com/wp-content/uploads/2022/02/MadisonMarch2022.pdf" TargetMode="External"/><Relationship Id="rId56" Type="http://schemas.openxmlformats.org/officeDocument/2006/relationships/hyperlink" Target="https://rennamedia.com/wp-content/uploads/2022/02/ShortHillsMillburnMarch2022.pdf" TargetMode="External"/><Relationship Id="rId57" Type="http://schemas.openxmlformats.org/officeDocument/2006/relationships/hyperlink" Target="https://rennamedia.com/wp-content/uploads/2022/02/MountainsideMarch2022.pdf" TargetMode="External"/><Relationship Id="rId58" Type="http://schemas.openxmlformats.org/officeDocument/2006/relationships/hyperlink" Target="https://rennamedia.com/wp-content/uploads/2022/02/NewProvidenceMarch2022.pdf" TargetMode="External"/><Relationship Id="rId59" Type="http://schemas.openxmlformats.org/officeDocument/2006/relationships/hyperlink" Target="https://rennamedia.com/wp-content/uploads/2022/02/RahwayMarch2022.pdf" TargetMode="External"/><Relationship Id="rId60" Type="http://schemas.openxmlformats.org/officeDocument/2006/relationships/hyperlink" Target="https://rennamedia.com/wp-content/uploads/2022/02/RoselleParkMarch2022.pdf" TargetMode="External"/><Relationship Id="rId61" Type="http://schemas.openxmlformats.org/officeDocument/2006/relationships/hyperlink" Target="https://rennamedia.com/wp-content/uploads/2022/02/ScotchPlainsMarch2022.pdf" TargetMode="External"/><Relationship Id="rId62" Type="http://schemas.openxmlformats.org/officeDocument/2006/relationships/hyperlink" Target="https://rennamedia.com/wp-content/uploads/2022/02/UnionMarch2022.pdf" TargetMode="External"/><Relationship Id="rId63" Type="http://schemas.openxmlformats.org/officeDocument/2006/relationships/hyperlink" Target="https://rennamedia.com/wp-content/uploads/2022/02/SummitMarch2022.pdf" TargetMode="External"/><Relationship Id="rId64" Type="http://schemas.openxmlformats.org/officeDocument/2006/relationships/hyperlink" Target="https://rennamedia.com/wp-content/uploads/2022/02/WarrenMarch2022.pdf" TargetMode="External"/><Relationship Id="rId65" Type="http://schemas.openxmlformats.org/officeDocument/2006/relationships/hyperlink" Target="https://rennamedia.com/wp-content/uploads/2022/02/WatchungMarch2022.pdf" TargetMode="External"/><Relationship Id="rId66" Type="http://schemas.openxmlformats.org/officeDocument/2006/relationships/hyperlink" Target="https://rennamedia.com/wp-content/uploads/2022/02/WestfieldMarch2022.pdf" TargetMode="External"/><Relationship Id="rId67" Type="http://schemas.openxmlformats.org/officeDocument/2006/relationships/hyperlink" Target="https://rennamedia.com/wp-content/uploads/2022/03/BerkeleyHeightsApril2022.pdf" TargetMode="External"/><Relationship Id="rId68" Type="http://schemas.openxmlformats.org/officeDocument/2006/relationships/hyperlink" Target="https://rennamedia.com/wp-content/uploads/2022/03/ClarkApril2022.pdf" TargetMode="External"/><Relationship Id="rId69" Type="http://schemas.openxmlformats.org/officeDocument/2006/relationships/hyperlink" Target="https://rennamedia.com/wp-content/uploads/2022/03/ChathamsApril2022.pdf" TargetMode="External"/><Relationship Id="rId70" Type="http://schemas.openxmlformats.org/officeDocument/2006/relationships/hyperlink" Target="https://rennamedia.com/wp-content/uploads/2022/03/CranfordApril2022.pdf" TargetMode="External"/><Relationship Id="rId71" Type="http://schemas.openxmlformats.org/officeDocument/2006/relationships/hyperlink" Target="https://rennamedia.com/wp-content/uploads/2022/03/ElmoraHillsMonthlyApril2022.pdf" TargetMode="External"/><Relationship Id="rId72" Type="http://schemas.openxmlformats.org/officeDocument/2006/relationships/hyperlink" Target="https://rennamedia.com/wp-content/uploads/2022/03/FanwoodApril2022.pdf" TargetMode="External"/><Relationship Id="rId73" Type="http://schemas.openxmlformats.org/officeDocument/2006/relationships/hyperlink" Target="https://rennamedia.com/wp-content/uploads/2022/03/FlorhamParkMonthlyApril2022.pdf" TargetMode="External"/><Relationship Id="rId74" Type="http://schemas.openxmlformats.org/officeDocument/2006/relationships/hyperlink" Target="https://rennamedia.com/wp-content/uploads/2022/03/GarwoodApril2022.pdf" TargetMode="External"/><Relationship Id="rId75" Type="http://schemas.openxmlformats.org/officeDocument/2006/relationships/hyperlink" Target="https://rennamedia.com/wp-content/uploads/2022/03/GreenBrookApril2022.pdf" TargetMode="External"/><Relationship Id="rId76" Type="http://schemas.openxmlformats.org/officeDocument/2006/relationships/hyperlink" Target="https://rennamedia.com/wp-content/uploads/2022/03/KenilworthApril2022.pdf" TargetMode="External"/><Relationship Id="rId77" Type="http://schemas.openxmlformats.org/officeDocument/2006/relationships/hyperlink" Target="https://rennamedia.com/wp-content/uploads/2022/03/LindenApril2022.pdf" TargetMode="External"/><Relationship Id="rId78" Type="http://schemas.openxmlformats.org/officeDocument/2006/relationships/hyperlink" Target="https://rennamedia.com/wp-content/uploads/2022/03/LongHillApril2022.pdf" TargetMode="External"/><Relationship Id="rId79" Type="http://schemas.openxmlformats.org/officeDocument/2006/relationships/hyperlink" Target="https://rennamedia.com/wp-content/uploads/2022/03/MadisonApril2022.pdf" TargetMode="External"/><Relationship Id="rId80" Type="http://schemas.openxmlformats.org/officeDocument/2006/relationships/hyperlink" Target="https://rennamedia.com/wp-content/uploads/2022/03/ShortHillsMillburnApril2022.pdf" TargetMode="External"/><Relationship Id="rId81" Type="http://schemas.openxmlformats.org/officeDocument/2006/relationships/hyperlink" Target="https://rennamedia.com/wp-content/uploads/2022/03/MountainsideApril2022.pdf" TargetMode="External"/><Relationship Id="rId82" Type="http://schemas.openxmlformats.org/officeDocument/2006/relationships/hyperlink" Target="https://rennamedia.com/wp-content/uploads/2022/03/NewProvidenceApril2022.pdf" TargetMode="External"/><Relationship Id="rId83" Type="http://schemas.openxmlformats.org/officeDocument/2006/relationships/hyperlink" Target="https://rennamedia.com/wp-content/uploads/2022/03/RahwayApril2022.pdf" TargetMode="External"/><Relationship Id="rId84" Type="http://schemas.openxmlformats.org/officeDocument/2006/relationships/hyperlink" Target="https://rennamedia.com/wp-content/uploads/2022/03/RoselleParkApril2022.pdf" TargetMode="External"/><Relationship Id="rId85" Type="http://schemas.openxmlformats.org/officeDocument/2006/relationships/hyperlink" Target="https://rennamedia.com/wp-content/uploads/2022/03/ScotchPlainsApril2022.pdf" TargetMode="External"/><Relationship Id="rId86" Type="http://schemas.openxmlformats.org/officeDocument/2006/relationships/hyperlink" Target="https://rennamedia.com/wp-content/uploads/2022/03/UnionApril2022.pdf" TargetMode="External"/><Relationship Id="rId87" Type="http://schemas.openxmlformats.org/officeDocument/2006/relationships/hyperlink" Target="https://rennamedia.com/wp-content/uploads/2022/03/SummitApril2022.pdf" TargetMode="External"/><Relationship Id="rId88" Type="http://schemas.openxmlformats.org/officeDocument/2006/relationships/hyperlink" Target="https://rennamedia.com/wp-content/uploads/2022/03/WarrenApril2022.pdf" TargetMode="External"/><Relationship Id="rId89" Type="http://schemas.openxmlformats.org/officeDocument/2006/relationships/hyperlink" Target="https://rennamedia.com/wp-content/uploads/2022/03/WatchungApril2022.pdf" TargetMode="External"/><Relationship Id="rId90" Type="http://schemas.openxmlformats.org/officeDocument/2006/relationships/hyperlink" Target="https://rennamedia.com/wp-content/uploads/2022/03/WestfieldApril2022.pdf" TargetMode="External"/><Relationship Id="rId91" Type="http://schemas.openxmlformats.org/officeDocument/2006/relationships/hyperlink" Target="https://rennamedia.com/wp-content/uploads/2022/04/BerkeleyHeightsMay2022.pdf" TargetMode="External"/><Relationship Id="rId92" Type="http://schemas.openxmlformats.org/officeDocument/2006/relationships/hyperlink" Target="https://rennamedia.com/wp-content/uploads/2022/04/ClarkMay2022.pdf" TargetMode="External"/><Relationship Id="rId93" Type="http://schemas.openxmlformats.org/officeDocument/2006/relationships/hyperlink" Target="https://rennamedia.com/wp-content/uploads/2022/04/ChathamsMay2022.pdf" TargetMode="External"/><Relationship Id="rId94" Type="http://schemas.openxmlformats.org/officeDocument/2006/relationships/hyperlink" Target="https://rennamedia.com/wp-content/uploads/2022/04/CranfordMay2022.pdf" TargetMode="External"/><Relationship Id="rId95" Type="http://schemas.openxmlformats.org/officeDocument/2006/relationships/hyperlink" Target="https://rennamedia.com/wp-content/uploads/2022/04/ElmoraHillsMonthlyMay2022.pdf" TargetMode="External"/><Relationship Id="rId96" Type="http://schemas.openxmlformats.org/officeDocument/2006/relationships/hyperlink" Target="https://rennamedia.com/wp-content/uploads/2022/04/FanwoodMay2022.pdf" TargetMode="External"/><Relationship Id="rId97" Type="http://schemas.openxmlformats.org/officeDocument/2006/relationships/hyperlink" Target="https://rennamedia.com/wp-content/uploads/2022/04/FlorhamParkMonthlyMay2022.pdf" TargetMode="External"/><Relationship Id="rId98" Type="http://schemas.openxmlformats.org/officeDocument/2006/relationships/hyperlink" Target="https://rennamedia.com/wp-content/uploads/2022/04/GarwoodMay2022.pdf" TargetMode="External"/><Relationship Id="rId99" Type="http://schemas.openxmlformats.org/officeDocument/2006/relationships/hyperlink" Target="https://rennamedia.com/wp-content/uploads/2022/04/GreenBrookMay2022.pdf" TargetMode="External"/><Relationship Id="rId100" Type="http://schemas.openxmlformats.org/officeDocument/2006/relationships/hyperlink" Target="https://rennamedia.com/wp-content/uploads/2022/04/KenilworthMay2022.pdf" TargetMode="External"/><Relationship Id="rId101" Type="http://schemas.openxmlformats.org/officeDocument/2006/relationships/hyperlink" Target="https://rennamedia.com/wp-content/uploads/2022/04/LindenMay2022.pdf" TargetMode="External"/><Relationship Id="rId102" Type="http://schemas.openxmlformats.org/officeDocument/2006/relationships/hyperlink" Target="https://rennamedia.com/wp-content/uploads/2022/04/LongHillMay2022.pdf" TargetMode="External"/><Relationship Id="rId103" Type="http://schemas.openxmlformats.org/officeDocument/2006/relationships/hyperlink" Target="https://rennamedia.com/wp-content/uploads/2022/04/MadisonMay2022.pdf" TargetMode="External"/><Relationship Id="rId104" Type="http://schemas.openxmlformats.org/officeDocument/2006/relationships/hyperlink" Target="https://rennamedia.com/wp-content/uploads/2022/04/MillburnShortHillsMay2022.pdf" TargetMode="External"/><Relationship Id="rId105" Type="http://schemas.openxmlformats.org/officeDocument/2006/relationships/hyperlink" Target="https://rennamedia.com/wp-content/uploads/2022/04/MountainsideMay2022.pdf" TargetMode="External"/><Relationship Id="rId106" Type="http://schemas.openxmlformats.org/officeDocument/2006/relationships/hyperlink" Target="https://rennamedia.com/wp-content/uploads/2022/04/NewProvidenceMay2022.pdf" TargetMode="External"/><Relationship Id="rId107" Type="http://schemas.openxmlformats.org/officeDocument/2006/relationships/hyperlink" Target="https://rennamedia.com/wp-content/uploads/2022/04/RahwayMay2022.pdf" TargetMode="External"/><Relationship Id="rId108" Type="http://schemas.openxmlformats.org/officeDocument/2006/relationships/hyperlink" Target="https://rennamedia.com/wp-content/uploads/2022/04/RoselleParkMay2022.pdf" TargetMode="External"/><Relationship Id="rId109" Type="http://schemas.openxmlformats.org/officeDocument/2006/relationships/hyperlink" Target="https://rennamedia.com/wp-content/uploads/2022/04/ScotchPlainsMay2022.pdf" TargetMode="External"/><Relationship Id="rId110" Type="http://schemas.openxmlformats.org/officeDocument/2006/relationships/hyperlink" Target="https://rennamedia.com/wp-content/uploads/2022/04/UnionMay2022.pdf" TargetMode="External"/><Relationship Id="rId111" Type="http://schemas.openxmlformats.org/officeDocument/2006/relationships/hyperlink" Target="https://rennamedia.com/wp-content/uploads/2022/04/SummitMay2022.pdf" TargetMode="External"/><Relationship Id="rId112" Type="http://schemas.openxmlformats.org/officeDocument/2006/relationships/hyperlink" Target="https://rennamedia.com/wp-content/uploads/2022/04/WarrenMay2022.pdf" TargetMode="External"/><Relationship Id="rId113" Type="http://schemas.openxmlformats.org/officeDocument/2006/relationships/hyperlink" Target="https://rennamedia.com/wp-content/uploads/2022/04/WatchungMay2022.pdf" TargetMode="External"/><Relationship Id="rId114" Type="http://schemas.openxmlformats.org/officeDocument/2006/relationships/hyperlink" Target="https://rennamedia.com/wp-content/uploads/2022/05/WestfieldMay2022issue.pdf" TargetMode="External"/><Relationship Id="rId115" Type="http://schemas.openxmlformats.org/officeDocument/2006/relationships/hyperlink" Target="https://rennamedia.com/wp-content/uploads/2022/05/BerkeleyHeightsJune2022.pdf" TargetMode="External"/><Relationship Id="rId116" Type="http://schemas.openxmlformats.org/officeDocument/2006/relationships/hyperlink" Target="https://rennamedia.com/wp-content/uploads/2022/05/ClarkJune2022.pdf" TargetMode="External"/><Relationship Id="rId117" Type="http://schemas.openxmlformats.org/officeDocument/2006/relationships/hyperlink" Target="https://rennamedia.com/wp-content/uploads/2022/05/ChathamsJune2022.pdf" TargetMode="External"/><Relationship Id="rId118" Type="http://schemas.openxmlformats.org/officeDocument/2006/relationships/hyperlink" Target="https://rennamedia.com/wp-content/uploads/2022/05/CranfordJune2022.pdf" TargetMode="External"/><Relationship Id="rId119" Type="http://schemas.openxmlformats.org/officeDocument/2006/relationships/hyperlink" Target="https://rennamedia.com/wp-content/uploads/2022/05/ElmoraHillsMonthlyJune2022.pdf" TargetMode="External"/><Relationship Id="rId120" Type="http://schemas.openxmlformats.org/officeDocument/2006/relationships/hyperlink" Target="https://rennamedia.com/wp-content/uploads/2022/05/FanwoodJune2022.pdf" TargetMode="External"/><Relationship Id="rId121" Type="http://schemas.openxmlformats.org/officeDocument/2006/relationships/hyperlink" Target="https://rennamedia.com/wp-content/uploads/2022/05/FlorhamParkMonthlyJune2022.pdf" TargetMode="External"/><Relationship Id="rId122" Type="http://schemas.openxmlformats.org/officeDocument/2006/relationships/hyperlink" Target="https://rennamedia.com/wp-content/uploads/2022/05/GarwoodJune2022.pdf" TargetMode="External"/><Relationship Id="rId123" Type="http://schemas.openxmlformats.org/officeDocument/2006/relationships/hyperlink" Target="https://rennamedia.com/wp-content/uploads/2022/05/GreenBrookJune2022.pdf" TargetMode="External"/><Relationship Id="rId124" Type="http://schemas.openxmlformats.org/officeDocument/2006/relationships/hyperlink" Target="https://rennamedia.com/wp-content/uploads/2022/05/KenilworthJune2022.pdf" TargetMode="External"/><Relationship Id="rId125" Type="http://schemas.openxmlformats.org/officeDocument/2006/relationships/hyperlink" Target="https://rennamedia.com/wp-content/uploads/2022/05/LindenJune2022.pdf" TargetMode="External"/><Relationship Id="rId126" Type="http://schemas.openxmlformats.org/officeDocument/2006/relationships/hyperlink" Target="https://rennamedia.com/wp-content/uploads/2022/05/LongHillJune2022.pdf" TargetMode="External"/><Relationship Id="rId127" Type="http://schemas.openxmlformats.org/officeDocument/2006/relationships/hyperlink" Target="https://rennamedia.com/wp-content/uploads/2022/05/MadisonJune2022.pdf" TargetMode="External"/><Relationship Id="rId128" Type="http://schemas.openxmlformats.org/officeDocument/2006/relationships/hyperlink" Target="https://rennamedia.com/wp-content/uploads/2022/05/MillburnShortHillsJune2022.pdf" TargetMode="External"/><Relationship Id="rId129" Type="http://schemas.openxmlformats.org/officeDocument/2006/relationships/hyperlink" Target="https://rennamedia.com/wp-content/uploads/2022/05/MountainsideJune2022.pdf" TargetMode="External"/><Relationship Id="rId130" Type="http://schemas.openxmlformats.org/officeDocument/2006/relationships/hyperlink" Target="https://rennamedia.com/wp-content/uploads/2022/05/NewProvidenceJune2022.pdf" TargetMode="External"/><Relationship Id="rId131" Type="http://schemas.openxmlformats.org/officeDocument/2006/relationships/hyperlink" Target="https://rennamedia.com/wp-content/uploads/2022/05/RahwayJune2022.pdf" TargetMode="External"/><Relationship Id="rId132" Type="http://schemas.openxmlformats.org/officeDocument/2006/relationships/hyperlink" Target="https://rennamedia.com/wp-content/uploads/2022/05/RoselleParkJune2022.pdf" TargetMode="External"/><Relationship Id="rId133" Type="http://schemas.openxmlformats.org/officeDocument/2006/relationships/hyperlink" Target="https://rennamedia.com/wp-content/uploads/2022/05/ScotchPlainsJune2022.pdf" TargetMode="External"/><Relationship Id="rId134" Type="http://schemas.openxmlformats.org/officeDocument/2006/relationships/hyperlink" Target="https://rennamedia.com/wp-content/uploads/2022/05/UnionJune2022.pdf" TargetMode="External"/><Relationship Id="rId135" Type="http://schemas.openxmlformats.org/officeDocument/2006/relationships/hyperlink" Target="https://rennamedia.com/wp-content/uploads/2022/05/SummitJune2022.pdf" TargetMode="External"/><Relationship Id="rId136" Type="http://schemas.openxmlformats.org/officeDocument/2006/relationships/hyperlink" Target="https://rennamedia.com/wp-content/uploads/2022/05/WarrenJune2022.pdf" TargetMode="External"/><Relationship Id="rId137" Type="http://schemas.openxmlformats.org/officeDocument/2006/relationships/hyperlink" Target="https://rennamedia.com/wp-content/uploads/2022/05/WatchungJune2022.pdf" TargetMode="External"/><Relationship Id="rId138" Type="http://schemas.openxmlformats.org/officeDocument/2006/relationships/hyperlink" Target="https://rennamedia.com/wp-content/uploads/2022/05/WestfieldJune2022.pdf" TargetMode="External"/><Relationship Id="rId139" Type="http://schemas.openxmlformats.org/officeDocument/2006/relationships/hyperlink" Target="https://rennamedia.com/wp-content/uploads/2022/06/BerkeleyHeightsJuly2022.pdf" TargetMode="External"/><Relationship Id="rId140" Type="http://schemas.openxmlformats.org/officeDocument/2006/relationships/hyperlink" Target="https://rennamedia.com/wp-content/uploads/2022/06/ClarkJuly2022.pdf" TargetMode="External"/><Relationship Id="rId141" Type="http://schemas.openxmlformats.org/officeDocument/2006/relationships/hyperlink" Target="https://rennamedia.com/wp-content/uploads/2022/06/ChathamsJuly2022.pdf" TargetMode="External"/><Relationship Id="rId142" Type="http://schemas.openxmlformats.org/officeDocument/2006/relationships/hyperlink" Target="https://rennamedia.com/wp-content/uploads/2022/06/CranfordJuly2022.pdf" TargetMode="External"/><Relationship Id="rId143" Type="http://schemas.openxmlformats.org/officeDocument/2006/relationships/hyperlink" Target="https://rennamedia.com/wp-content/uploads/2022/06/ElmoraHillsMonthlyJuly2022.pdf" TargetMode="External"/><Relationship Id="rId144" Type="http://schemas.openxmlformats.org/officeDocument/2006/relationships/hyperlink" Target="https://rennamedia.com/wp-content/uploads/2022/06/FanwoodJuly2022.pdf" TargetMode="External"/><Relationship Id="rId145" Type="http://schemas.openxmlformats.org/officeDocument/2006/relationships/hyperlink" Target="https://rennamedia.com/wp-content/uploads/2022/06/FlorhamParkMonthlyJuly2022.pdf" TargetMode="External"/><Relationship Id="rId146" Type="http://schemas.openxmlformats.org/officeDocument/2006/relationships/hyperlink" Target="https://rennamedia.com/wp-content/uploads/2022/06/GarwoodJuly2022.pdf" TargetMode="External"/><Relationship Id="rId147" Type="http://schemas.openxmlformats.org/officeDocument/2006/relationships/hyperlink" Target="https://rennamedia.com/wp-content/uploads/2022/06/GreenBrookJuly2022.pdf" TargetMode="External"/><Relationship Id="rId148" Type="http://schemas.openxmlformats.org/officeDocument/2006/relationships/hyperlink" Target="https://rennamedia.com/wp-content/uploads/2022/06/KenilworthJuly2022.pdf" TargetMode="External"/><Relationship Id="rId149" Type="http://schemas.openxmlformats.org/officeDocument/2006/relationships/hyperlink" Target="https://rennamedia.com/wp-content/uploads/2022/06/LindenJuly2022.pdf" TargetMode="External"/><Relationship Id="rId150" Type="http://schemas.openxmlformats.org/officeDocument/2006/relationships/hyperlink" Target="https://rennamedia.com/wp-content/uploads/2022/06/LongHillJuly2022.pdf" TargetMode="External"/><Relationship Id="rId151" Type="http://schemas.openxmlformats.org/officeDocument/2006/relationships/hyperlink" Target="https://rennamedia.com/wp-content/uploads/2022/06/MadisonJuly2022.pdf" TargetMode="External"/><Relationship Id="rId152" Type="http://schemas.openxmlformats.org/officeDocument/2006/relationships/hyperlink" Target="https://rennamedia.com/wp-content/uploads/2022/06/MillburnShortHillsJuly2022.pdf" TargetMode="External"/><Relationship Id="rId153" Type="http://schemas.openxmlformats.org/officeDocument/2006/relationships/hyperlink" Target="https://rennamedia.com/wp-content/uploads/2022/06/MountainsideJuly2022.pdf" TargetMode="External"/><Relationship Id="rId154" Type="http://schemas.openxmlformats.org/officeDocument/2006/relationships/hyperlink" Target="https://rennamedia.com/wp-content/uploads/2022/06/NewProvidenceJuly2022.pdf" TargetMode="External"/><Relationship Id="rId155" Type="http://schemas.openxmlformats.org/officeDocument/2006/relationships/hyperlink" Target="https://rennamedia.com/wp-content/uploads/2022/06/RahwayJuly2022.pdf" TargetMode="External"/><Relationship Id="rId156" Type="http://schemas.openxmlformats.org/officeDocument/2006/relationships/hyperlink" Target="https://rennamedia.com/wp-content/uploads/2022/06/RoselleParkJuly2022.pdf" TargetMode="External"/><Relationship Id="rId157" Type="http://schemas.openxmlformats.org/officeDocument/2006/relationships/hyperlink" Target="https://rennamedia.com/wp-content/uploads/2022/06/ScotchPlainsJuly2022.pdf" TargetMode="External"/><Relationship Id="rId158" Type="http://schemas.openxmlformats.org/officeDocument/2006/relationships/hyperlink" Target="https://rennamedia.com/wp-content/uploads/2022/06/UnionJuly2022.pdf" TargetMode="External"/><Relationship Id="rId159" Type="http://schemas.openxmlformats.org/officeDocument/2006/relationships/hyperlink" Target="https://rennamedia.com/wp-content/uploads/2022/06/SummitJuly2022.pdf" TargetMode="External"/><Relationship Id="rId160" Type="http://schemas.openxmlformats.org/officeDocument/2006/relationships/hyperlink" Target="https://rennamedia.com/wp-content/uploads/2022/06/WarrenJuly2022.pdf" TargetMode="External"/><Relationship Id="rId161" Type="http://schemas.openxmlformats.org/officeDocument/2006/relationships/hyperlink" Target="https://rennamedia.com/wp-content/uploads/2022/06/WatchungJuly2022.pdf" TargetMode="External"/><Relationship Id="rId162" Type="http://schemas.openxmlformats.org/officeDocument/2006/relationships/hyperlink" Target="https://rennamedia.com/wp-content/uploads/2022/06/WestfieldJuly2022.pdf" TargetMode="External"/><Relationship Id="rId163" Type="http://schemas.openxmlformats.org/officeDocument/2006/relationships/hyperlink" Target="https://rennamedia.com/wp-content/uploads/2022/07/BerkeleyHeightsAugust2022.pdf" TargetMode="External"/><Relationship Id="rId164" Type="http://schemas.openxmlformats.org/officeDocument/2006/relationships/hyperlink" Target="https://rennamedia.com/wp-content/uploads/2022/07/ChathamsAugust2022.pdf" TargetMode="External"/><Relationship Id="rId165" Type="http://schemas.openxmlformats.org/officeDocument/2006/relationships/hyperlink" Target="https://rennamedia.com/wp-content/uploads/2022/07/ChathamsAugust2022.pdf" TargetMode="External"/><Relationship Id="rId166" Type="http://schemas.openxmlformats.org/officeDocument/2006/relationships/hyperlink" Target="https://rennamedia.com/wp-content/uploads/2022/07/CranfordAugust2022.pdf" TargetMode="External"/><Relationship Id="rId167" Type="http://schemas.openxmlformats.org/officeDocument/2006/relationships/hyperlink" Target="https://rennamedia.com/wp-content/uploads/2022/07/ElmoraHillsMonthlyAugust2022.pdf" TargetMode="External"/><Relationship Id="rId168" Type="http://schemas.openxmlformats.org/officeDocument/2006/relationships/hyperlink" Target="https://rennamedia.com/wp-content/uploads/2022/07/FanwoodAugust2022.pdf" TargetMode="External"/><Relationship Id="rId169" Type="http://schemas.openxmlformats.org/officeDocument/2006/relationships/hyperlink" Target="https://rennamedia.com/wp-content/uploads/2022/07/FlorhamParkMonthlyAugust2022.pdf" TargetMode="External"/><Relationship Id="rId170" Type="http://schemas.openxmlformats.org/officeDocument/2006/relationships/hyperlink" Target="https://rennamedia.com/wp-content/uploads/2022/07/GarwoodAugust2022.pdf" TargetMode="External"/><Relationship Id="rId171" Type="http://schemas.openxmlformats.org/officeDocument/2006/relationships/hyperlink" Target="https://rennamedia.com/wp-content/uploads/2022/07/GreenBrookAugust2022.pdf" TargetMode="External"/><Relationship Id="rId172" Type="http://schemas.openxmlformats.org/officeDocument/2006/relationships/hyperlink" Target="https://rennamedia.com/wp-content/uploads/2022/07/KenilworthAugust2022.pdf" TargetMode="External"/><Relationship Id="rId173" Type="http://schemas.openxmlformats.org/officeDocument/2006/relationships/hyperlink" Target="https://rennamedia.com/wp-content/uploads/2022/07/LindenAugust2022.pdf" TargetMode="External"/><Relationship Id="rId174" Type="http://schemas.openxmlformats.org/officeDocument/2006/relationships/hyperlink" Target="https://rennamedia.com/wp-content/uploads/2022/07/LongHillAugust2022.pdf" TargetMode="External"/><Relationship Id="rId175" Type="http://schemas.openxmlformats.org/officeDocument/2006/relationships/hyperlink" Target="https://rennamedia.com/wp-content/uploads/2022/07/MadisonAugust2022.pdf" TargetMode="External"/><Relationship Id="rId176" Type="http://schemas.openxmlformats.org/officeDocument/2006/relationships/hyperlink" Target="https://rennamedia.com/wp-content/uploads/2022/07/MillburnShortHillsAugust2022.pdf" TargetMode="External"/><Relationship Id="rId177" Type="http://schemas.openxmlformats.org/officeDocument/2006/relationships/hyperlink" Target="https://rennamedia.com/wp-content/uploads/2022/07/MountainsideAugust2022.pdf" TargetMode="External"/><Relationship Id="rId178" Type="http://schemas.openxmlformats.org/officeDocument/2006/relationships/hyperlink" Target="https://rennamedia.com/wp-content/uploads/2022/07/NewProvidenceAugust2022.pdf" TargetMode="External"/><Relationship Id="rId179" Type="http://schemas.openxmlformats.org/officeDocument/2006/relationships/hyperlink" Target="https://rennamedia.com/wp-content/uploads/2022/07/RahwayAugust2022.pdf" TargetMode="External"/><Relationship Id="rId180" Type="http://schemas.openxmlformats.org/officeDocument/2006/relationships/hyperlink" Target="https://rennamedia.com/wp-content/uploads/2022/07/RoselleParkAugust2022.pdf" TargetMode="External"/><Relationship Id="rId181" Type="http://schemas.openxmlformats.org/officeDocument/2006/relationships/hyperlink" Target="https://rennamedia.com/wp-content/uploads/2022/07/ScotchPlainsAugust2022.pdf" TargetMode="External"/><Relationship Id="rId182" Type="http://schemas.openxmlformats.org/officeDocument/2006/relationships/hyperlink" Target="https://rennamedia.com/wp-content/uploads/2022/07/UnionAugust2022.pdf" TargetMode="External"/><Relationship Id="rId183" Type="http://schemas.openxmlformats.org/officeDocument/2006/relationships/hyperlink" Target="https://rennamedia.com/wp-content/uploads/2022/07/SummitAugust2022.pdf" TargetMode="External"/><Relationship Id="rId184" Type="http://schemas.openxmlformats.org/officeDocument/2006/relationships/hyperlink" Target="https://rennamedia.com/wp-content/uploads/2022/07/WarrenAugust2022.pdf" TargetMode="External"/><Relationship Id="rId185" Type="http://schemas.openxmlformats.org/officeDocument/2006/relationships/hyperlink" Target="https://rennamedia.com/wp-content/uploads/2022/07/WatchungAugust2022.pdf" TargetMode="External"/><Relationship Id="rId186" Type="http://schemas.openxmlformats.org/officeDocument/2006/relationships/hyperlink" Target="https://rennamedia.com/wp-content/uploads/2022/07/WestfieldAugust2022.pdf" TargetMode="External"/><Relationship Id="rId187" Type="http://schemas.openxmlformats.org/officeDocument/2006/relationships/hyperlink" Target="https://rennamedia.com/wp-content/uploads/2022/09/BerkeleyHeightsSeptember2022.pdf" TargetMode="External"/><Relationship Id="rId188" Type="http://schemas.openxmlformats.org/officeDocument/2006/relationships/hyperlink" Target="https://rennamedia.com/wp-content/uploads/2022/09/ClarkSeptember2022.pdf" TargetMode="External"/><Relationship Id="rId189" Type="http://schemas.openxmlformats.org/officeDocument/2006/relationships/hyperlink" Target="https://rennamedia.com/wp-content/uploads/2022/09/ChathamsSeptember2022.pdf" TargetMode="External"/><Relationship Id="rId190" Type="http://schemas.openxmlformats.org/officeDocument/2006/relationships/hyperlink" Target="https://rennamedia.com/wp-content/uploads/2022/09/CranfordSeptember2022.pdf" TargetMode="External"/><Relationship Id="rId191" Type="http://schemas.openxmlformats.org/officeDocument/2006/relationships/hyperlink" Target="https://rennamedia.com/wp-content/uploads/2022/09/ElmoraHillsMonthlySeptember2022.pdf" TargetMode="External"/><Relationship Id="rId192" Type="http://schemas.openxmlformats.org/officeDocument/2006/relationships/hyperlink" Target="https://rennamedia.com/wp-content/uploads/2022/09/FanwoodSeptember2022.pdf" TargetMode="External"/><Relationship Id="rId193" Type="http://schemas.openxmlformats.org/officeDocument/2006/relationships/hyperlink" Target="https://rennamedia.com/wp-content/uploads/2022/09/FlorhamParkMonthlySeptember2022.pdf" TargetMode="External"/><Relationship Id="rId194" Type="http://schemas.openxmlformats.org/officeDocument/2006/relationships/hyperlink" Target="https://rennamedia.com/wp-content/uploads/2022/09/GarwoodSeptember2022.pdf" TargetMode="External"/><Relationship Id="rId195" Type="http://schemas.openxmlformats.org/officeDocument/2006/relationships/hyperlink" Target="https://rennamedia.com/wp-content/uploads/2022/09/GreenBrookSeptember2022.pdf" TargetMode="External"/><Relationship Id="rId196" Type="http://schemas.openxmlformats.org/officeDocument/2006/relationships/hyperlink" Target="https://rennamedia.com/wp-content/uploads/2022/09/KenilworthSeptember2022.pdf" TargetMode="External"/><Relationship Id="rId197" Type="http://schemas.openxmlformats.org/officeDocument/2006/relationships/hyperlink" Target="https://rennamedia.com/wp-content/uploads/2022/09/LindenSeptember2022.pdf" TargetMode="External"/><Relationship Id="rId198" Type="http://schemas.openxmlformats.org/officeDocument/2006/relationships/hyperlink" Target="https://rennamedia.com/wp-content/uploads/2022/09/LongHillSeptember2022.pdf" TargetMode="External"/><Relationship Id="rId199" Type="http://schemas.openxmlformats.org/officeDocument/2006/relationships/hyperlink" Target="https://rennamedia.com/wp-content/uploads/2022/09/MadisonSeptember2022.pdf" TargetMode="External"/><Relationship Id="rId200" Type="http://schemas.openxmlformats.org/officeDocument/2006/relationships/hyperlink" Target="https://rennamedia.com/wp-content/uploads/2022/09/MillburnShortHillsSeptember2022.pdf" TargetMode="External"/><Relationship Id="rId201" Type="http://schemas.openxmlformats.org/officeDocument/2006/relationships/hyperlink" Target="https://rennamedia.com/wp-content/uploads/2022/09/MountainsideSeptember2022.pdf" TargetMode="External"/><Relationship Id="rId202" Type="http://schemas.openxmlformats.org/officeDocument/2006/relationships/hyperlink" Target="https://rennamedia.com/wp-content/uploads/2022/09/NewProvidenceSeptember2022.pdf" TargetMode="External"/><Relationship Id="rId203" Type="http://schemas.openxmlformats.org/officeDocument/2006/relationships/hyperlink" Target="https://rennamedia.com/wp-content/uploads/2022/09/RahwaySeptember2022.pdf" TargetMode="External"/><Relationship Id="rId204" Type="http://schemas.openxmlformats.org/officeDocument/2006/relationships/hyperlink" Target="https://rennamedia.com/wp-content/uploads/2022/09/RoselleParkSeptember2022.pdf" TargetMode="External"/><Relationship Id="rId205" Type="http://schemas.openxmlformats.org/officeDocument/2006/relationships/hyperlink" Target="https://rennamedia.com/wp-content/uploads/2022/09/ScotchPlainsSeptember2022.pdf" TargetMode="External"/><Relationship Id="rId206" Type="http://schemas.openxmlformats.org/officeDocument/2006/relationships/hyperlink" Target="https://rennamedia.com/wp-content/uploads/2022/09/UnionSeptember2022.pdf" TargetMode="External"/><Relationship Id="rId207" Type="http://schemas.openxmlformats.org/officeDocument/2006/relationships/hyperlink" Target="https://rennamedia.com/wp-content/uploads/2022/09/SummitSeptember2022.pdf" TargetMode="External"/><Relationship Id="rId208" Type="http://schemas.openxmlformats.org/officeDocument/2006/relationships/hyperlink" Target="https://rennamedia.com/wp-content/uploads/2022/09/WarrenSeptember2022.pdf" TargetMode="External"/><Relationship Id="rId209" Type="http://schemas.openxmlformats.org/officeDocument/2006/relationships/hyperlink" Target="https://rennamedia.com/wp-content/uploads/2022/09/WatchungSeptember2022.pdf" TargetMode="External"/><Relationship Id="rId210" Type="http://schemas.openxmlformats.org/officeDocument/2006/relationships/hyperlink" Target="https://rennamedia.com/wp-content/uploads/2022/09/WestfieldSeptember2022.pdf" TargetMode="External"/><Relationship Id="rId211" Type="http://schemas.openxmlformats.org/officeDocument/2006/relationships/hyperlink" Target="https://rennamedia.com/wp-content/uploads/2022/10/BerkeleyHeightsOctober2022.pdf" TargetMode="External"/><Relationship Id="rId212" Type="http://schemas.openxmlformats.org/officeDocument/2006/relationships/hyperlink" Target="https://rennamedia.com/wp-content/uploads/2022/10/ClarkOctober2022.pdf" TargetMode="External"/><Relationship Id="rId213" Type="http://schemas.openxmlformats.org/officeDocument/2006/relationships/hyperlink" Target="https://rennamedia.com/wp-content/uploads/2022/10/ChathamsOctober2022.pdf" TargetMode="External"/><Relationship Id="rId214" Type="http://schemas.openxmlformats.org/officeDocument/2006/relationships/hyperlink" Target="https://rennamedia.com/wp-content/uploads/2022/10/CranfordOctober2022.pdf" TargetMode="External"/><Relationship Id="rId215" Type="http://schemas.openxmlformats.org/officeDocument/2006/relationships/hyperlink" Target="https://rennamedia.com/wp-content/uploads/2022/10/ElmoraHillsMonthlyOctober2022.pdf" TargetMode="External"/><Relationship Id="rId216" Type="http://schemas.openxmlformats.org/officeDocument/2006/relationships/hyperlink" Target="https://rennamedia.com/wp-content/uploads/2022/10/FanwoodOctober2022.pdf" TargetMode="External"/><Relationship Id="rId217" Type="http://schemas.openxmlformats.org/officeDocument/2006/relationships/hyperlink" Target="https://rennamedia.com/wp-content/uploads/2022/10/FlorhamParkMonthlyOctober2022.pdf" TargetMode="External"/><Relationship Id="rId218" Type="http://schemas.openxmlformats.org/officeDocument/2006/relationships/hyperlink" Target="https://rennamedia.com/wp-content/uploads/2022/10/GarwoodOctober2022.pdf" TargetMode="External"/><Relationship Id="rId219" Type="http://schemas.openxmlformats.org/officeDocument/2006/relationships/hyperlink" Target="https://rennamedia.com/wp-content/uploads/2022/10/GreenBrookOctober2022.pdf" TargetMode="External"/><Relationship Id="rId220" Type="http://schemas.openxmlformats.org/officeDocument/2006/relationships/hyperlink" Target="https://rennamedia.com/wp-content/uploads/2022/10/KenilworthOctober2022.pdf" TargetMode="External"/><Relationship Id="rId221" Type="http://schemas.openxmlformats.org/officeDocument/2006/relationships/hyperlink" Target="https://rennamedia.com/wp-content/uploads/2022/10/LindenOctober2022.pdf" TargetMode="External"/><Relationship Id="rId222" Type="http://schemas.openxmlformats.org/officeDocument/2006/relationships/hyperlink" Target="https://rennamedia.com/wp-content/uploads/2022/10/LongHillOctober2022.pdf" TargetMode="External"/><Relationship Id="rId223" Type="http://schemas.openxmlformats.org/officeDocument/2006/relationships/hyperlink" Target="https://rennamedia.com/wp-content/uploads/2022/10/MadisonOctober2022.pdf" TargetMode="External"/><Relationship Id="rId224" Type="http://schemas.openxmlformats.org/officeDocument/2006/relationships/hyperlink" Target="https://rennamedia.com/wp-content/uploads/2022/10/MillburnShortHillsOctober2022.pdf" TargetMode="External"/><Relationship Id="rId225" Type="http://schemas.openxmlformats.org/officeDocument/2006/relationships/hyperlink" Target="https://rennamedia.com/wp-content/uploads/2022/10/MountainsideOctober2022.pdf" TargetMode="External"/><Relationship Id="rId226" Type="http://schemas.openxmlformats.org/officeDocument/2006/relationships/hyperlink" Target="https://rennamedia.com/wp-content/uploads/2022/10/NewProvidenceOctober2022.pdf" TargetMode="External"/><Relationship Id="rId227" Type="http://schemas.openxmlformats.org/officeDocument/2006/relationships/hyperlink" Target="https://rennamedia.com/wp-content/uploads/2022/10/RahwayOctober2022.pdf" TargetMode="External"/><Relationship Id="rId228" Type="http://schemas.openxmlformats.org/officeDocument/2006/relationships/hyperlink" Target="https://rennamedia.com/wp-content/uploads/2022/10/RoselleParkOctober2022.pdf" TargetMode="External"/><Relationship Id="rId229" Type="http://schemas.openxmlformats.org/officeDocument/2006/relationships/hyperlink" Target="https://rennamedia.com/wp-content/uploads/2022/10/ScotchPlainsOctober2022.pdf" TargetMode="External"/><Relationship Id="rId230" Type="http://schemas.openxmlformats.org/officeDocument/2006/relationships/hyperlink" Target="https://rennamedia.com/wp-content/uploads/2022/10/UnionOctober2022.pdf" TargetMode="External"/><Relationship Id="rId231" Type="http://schemas.openxmlformats.org/officeDocument/2006/relationships/hyperlink" Target="https://rennamedia.com/wp-content/uploads/2022/10/SummitOctober2022.pdf" TargetMode="External"/><Relationship Id="rId232" Type="http://schemas.openxmlformats.org/officeDocument/2006/relationships/hyperlink" Target="https://rennamedia.com/wp-content/uploads/2022/10/WarrenOctober2022.pdf" TargetMode="External"/><Relationship Id="rId233" Type="http://schemas.openxmlformats.org/officeDocument/2006/relationships/hyperlink" Target="https://rennamedia.com/wp-content/uploads/2022/10/WatchungOctober2022.pdf" TargetMode="External"/><Relationship Id="rId234" Type="http://schemas.openxmlformats.org/officeDocument/2006/relationships/hyperlink" Target="https://rennamedia.com/wp-content/uploads/2022/10/WestfieldOctober2022.pdf" TargetMode="External"/><Relationship Id="rId235" Type="http://schemas.openxmlformats.org/officeDocument/2006/relationships/hyperlink" Target="https://rennamedia.com/wp-content/uploads/2022/11/BerkeleyHeightsNovember2022.pdf" TargetMode="External"/><Relationship Id="rId236" Type="http://schemas.openxmlformats.org/officeDocument/2006/relationships/hyperlink" Target="https://rennamedia.com/wp-content/uploads/2022/11/ClarkNovember2022.pdf" TargetMode="External"/><Relationship Id="rId237" Type="http://schemas.openxmlformats.org/officeDocument/2006/relationships/hyperlink" Target="https://rennamedia.com/wp-content/uploads/2022/11/ChathamsNovember2022.pdf" TargetMode="External"/><Relationship Id="rId238" Type="http://schemas.openxmlformats.org/officeDocument/2006/relationships/hyperlink" Target="https://rennamedia.com/wp-content/uploads/2022/11/CranfordNovember2022.pdf" TargetMode="External"/><Relationship Id="rId239" Type="http://schemas.openxmlformats.org/officeDocument/2006/relationships/hyperlink" Target="https://rennamedia.com/wp-content/uploads/2022/11/ElmoraHillsMonthlyNovember2022.pdf" TargetMode="External"/><Relationship Id="rId240" Type="http://schemas.openxmlformats.org/officeDocument/2006/relationships/hyperlink" Target="https://rennamedia.com/wp-content/uploads/2022/11/FanwoodNovember2022.pdf" TargetMode="External"/><Relationship Id="rId241" Type="http://schemas.openxmlformats.org/officeDocument/2006/relationships/hyperlink" Target="https://rennamedia.com/wp-content/uploads/2022/11/FlorhamParkMonthlyNovember2022.pdf" TargetMode="External"/><Relationship Id="rId242" Type="http://schemas.openxmlformats.org/officeDocument/2006/relationships/hyperlink" Target="https://rennamedia.com/wp-content/uploads/2022/11/GarwoodNovember2022.pdf" TargetMode="External"/><Relationship Id="rId243" Type="http://schemas.openxmlformats.org/officeDocument/2006/relationships/hyperlink" Target="https://rennamedia.com/wp-content/uploads/2022/11/GreenBrookNovember2022.pdf" TargetMode="External"/><Relationship Id="rId244" Type="http://schemas.openxmlformats.org/officeDocument/2006/relationships/hyperlink" Target="https://rennamedia.com/wp-content/uploads/2022/11/KenilworthNovember2022.pdf" TargetMode="External"/><Relationship Id="rId245" Type="http://schemas.openxmlformats.org/officeDocument/2006/relationships/hyperlink" Target="https://rennamedia.com/wp-content/uploads/2022/11/LindenNovember2022.pdf" TargetMode="External"/><Relationship Id="rId246" Type="http://schemas.openxmlformats.org/officeDocument/2006/relationships/hyperlink" Target="https://rennamedia.com/wp-content/uploads/2022/11/LongHillNovember2022.pdf" TargetMode="External"/><Relationship Id="rId247" Type="http://schemas.openxmlformats.org/officeDocument/2006/relationships/hyperlink" Target="https://rennamedia.com/wp-content/uploads/2022/11/MadisonNovember2022.pdf" TargetMode="External"/><Relationship Id="rId248" Type="http://schemas.openxmlformats.org/officeDocument/2006/relationships/hyperlink" Target="https://rennamedia.com/wp-content/uploads/2022/11/MillburnShortHillsNovember2022.pdf" TargetMode="External"/><Relationship Id="rId249" Type="http://schemas.openxmlformats.org/officeDocument/2006/relationships/hyperlink" Target="https://rennamedia.com/wp-content/uploads/2022/11/MountainsideNovember2022.pdf" TargetMode="External"/><Relationship Id="rId250" Type="http://schemas.openxmlformats.org/officeDocument/2006/relationships/hyperlink" Target="https://rennamedia.com/wp-content/uploads/2022/11/NewProvidenceNovember2022.pdf" TargetMode="External"/><Relationship Id="rId251" Type="http://schemas.openxmlformats.org/officeDocument/2006/relationships/hyperlink" Target="https://rennamedia.com/wp-content/uploads/2022/11/RahwayNovember2022.pdf" TargetMode="External"/><Relationship Id="rId252" Type="http://schemas.openxmlformats.org/officeDocument/2006/relationships/hyperlink" Target="https://rennamedia.com/wp-content/uploads/2022/11/RoselleParkNovember2022.pdf" TargetMode="External"/><Relationship Id="rId253" Type="http://schemas.openxmlformats.org/officeDocument/2006/relationships/hyperlink" Target="https://rennamedia.com/wp-content/uploads/2022/11/ScotchPlainsNovember2022.pdf" TargetMode="External"/><Relationship Id="rId254" Type="http://schemas.openxmlformats.org/officeDocument/2006/relationships/hyperlink" Target="https://rennamedia.com/wp-content/uploads/2022/11/UnionNovember2022.pdf" TargetMode="External"/><Relationship Id="rId255" Type="http://schemas.openxmlformats.org/officeDocument/2006/relationships/hyperlink" Target="https://rennamedia.com/wp-content/uploads/2022/11/SummitNovember2022.pdf" TargetMode="External"/><Relationship Id="rId256" Type="http://schemas.openxmlformats.org/officeDocument/2006/relationships/hyperlink" Target="https://rennamedia.com/wp-content/uploads/2022/11/WarrenNovember2022.pdf" TargetMode="External"/><Relationship Id="rId257" Type="http://schemas.openxmlformats.org/officeDocument/2006/relationships/hyperlink" Target="https://rennamedia.com/wp-content/uploads/2022/11/WatchungNovember2022.pdf" TargetMode="External"/><Relationship Id="rId258" Type="http://schemas.openxmlformats.org/officeDocument/2006/relationships/hyperlink" Target="https://rennamedia.com/wp-content/uploads/2022/11/WestfieldNovember2022.pdf" TargetMode="External"/><Relationship Id="rId259" Type="http://schemas.openxmlformats.org/officeDocument/2006/relationships/hyperlink" Target="https://rennamedia.com/wp-content/uploads/2022/11/BerkeleyHeightsDecember2022.pdf" TargetMode="External"/><Relationship Id="rId260" Type="http://schemas.openxmlformats.org/officeDocument/2006/relationships/hyperlink" Target="https://rennamedia.com/wp-content/uploads/2022/11/ClarkDecember2022.pdf" TargetMode="External"/><Relationship Id="rId261" Type="http://schemas.openxmlformats.org/officeDocument/2006/relationships/hyperlink" Target="https://rennamedia.com/wp-content/uploads/2022/11/ChathamsDecember2022.pdf" TargetMode="External"/><Relationship Id="rId262" Type="http://schemas.openxmlformats.org/officeDocument/2006/relationships/hyperlink" Target="https://rennamedia.com/wp-content/uploads/2022/11/CranfordDecember2022.pdf" TargetMode="External"/><Relationship Id="rId263" Type="http://schemas.openxmlformats.org/officeDocument/2006/relationships/hyperlink" Target="https://rennamedia.com/wp-content/uploads/2022/11/ElmoraHillsMonthlyDecember2022.pdf" TargetMode="External"/><Relationship Id="rId264" Type="http://schemas.openxmlformats.org/officeDocument/2006/relationships/hyperlink" Target="https://rennamedia.com/wp-content/uploads/2022/11/FanwoodDecember2022.pdf" TargetMode="External"/><Relationship Id="rId265" Type="http://schemas.openxmlformats.org/officeDocument/2006/relationships/hyperlink" Target="https://rennamedia.com/wp-content/uploads/2022/11/FlorhamParkMonthlyDecember2022.pdf" TargetMode="External"/><Relationship Id="rId266" Type="http://schemas.openxmlformats.org/officeDocument/2006/relationships/hyperlink" Target="https://rennamedia.com/wp-content/uploads/2022/11/GarwoodDecember2022.pdf" TargetMode="External"/><Relationship Id="rId267" Type="http://schemas.openxmlformats.org/officeDocument/2006/relationships/hyperlink" Target="https://rennamedia.com/wp-content/uploads/2022/11/GreenBrookDecember2022.pdf" TargetMode="External"/><Relationship Id="rId268" Type="http://schemas.openxmlformats.org/officeDocument/2006/relationships/hyperlink" Target="https://rennamedia.com/wp-content/uploads/2022/11/KenilworthDecember2022.pdf" TargetMode="External"/><Relationship Id="rId269" Type="http://schemas.openxmlformats.org/officeDocument/2006/relationships/hyperlink" Target="https://rennamedia.com/wp-content/uploads/2022/11/LindenDecember2022.pdf" TargetMode="External"/><Relationship Id="rId270" Type="http://schemas.openxmlformats.org/officeDocument/2006/relationships/hyperlink" Target="https://rennamedia.com/wp-content/uploads/2022/11/LongHillDecember2022.pdf" TargetMode="External"/><Relationship Id="rId271" Type="http://schemas.openxmlformats.org/officeDocument/2006/relationships/hyperlink" Target="https://rennamedia.com/wp-content/uploads/2022/11/MadisonDecember2022.pdf" TargetMode="External"/><Relationship Id="rId272" Type="http://schemas.openxmlformats.org/officeDocument/2006/relationships/hyperlink" Target="https://rennamedia.com/wp-content/uploads/2022/11/MillburnShortHillsDecember2022.pdf" TargetMode="External"/><Relationship Id="rId273" Type="http://schemas.openxmlformats.org/officeDocument/2006/relationships/hyperlink" Target="https://rennamedia.com/wp-content/uploads/2022/11/MountainsideDecember2022.pdf" TargetMode="External"/><Relationship Id="rId274" Type="http://schemas.openxmlformats.org/officeDocument/2006/relationships/hyperlink" Target="https://rennamedia.com/wp-content/uploads/2022/11/NewProvidenceDecember2022.pdf" TargetMode="External"/><Relationship Id="rId275" Type="http://schemas.openxmlformats.org/officeDocument/2006/relationships/hyperlink" Target="https://rennamedia.com/wp-content/uploads/2022/11/RahwayDecember2022.pdf" TargetMode="External"/><Relationship Id="rId276" Type="http://schemas.openxmlformats.org/officeDocument/2006/relationships/hyperlink" Target="https://rennamedia.com/wp-content/uploads/2022/11/RoselleParkDecember2022.pdf" TargetMode="External"/><Relationship Id="rId277" Type="http://schemas.openxmlformats.org/officeDocument/2006/relationships/hyperlink" Target="https://rennamedia.com/wp-content/uploads/2022/11/ScotchPlainsDecember2022.pdf" TargetMode="External"/><Relationship Id="rId278" Type="http://schemas.openxmlformats.org/officeDocument/2006/relationships/hyperlink" Target="https://rennamedia.com/wp-content/uploads/2022/11/UnionDecember2022.pdf" TargetMode="External"/><Relationship Id="rId279" Type="http://schemas.openxmlformats.org/officeDocument/2006/relationships/hyperlink" Target="https://rennamedia.com/wp-content/uploads/2022/11/SummitDecember2022.pdf" TargetMode="External"/><Relationship Id="rId280" Type="http://schemas.openxmlformats.org/officeDocument/2006/relationships/hyperlink" Target="https://rennamedia.com/wp-content/uploads/2022/11/WarrenDecember2022.pdf" TargetMode="External"/><Relationship Id="rId281" Type="http://schemas.openxmlformats.org/officeDocument/2006/relationships/hyperlink" Target="https://rennamedia.com/wp-content/uploads/2022/11/WatchungDecember2022.pdf" TargetMode="External"/><Relationship Id="rId282" Type="http://schemas.openxmlformats.org/officeDocument/2006/relationships/hyperlink" Target="https://rennamedia.com/wp-content/uploads/2022/11/WestfieldDecember2022.pdf" TargetMode="External"/><Relationship Id="rId283" Type="http://schemas.openxmlformats.org/officeDocument/2006/relationships/hyperlink" Target="https://rennamedia.com/wp-content/uploads/2022/12/BerkeleyHeightsJanuary2023.pdf" TargetMode="External"/><Relationship Id="rId284" Type="http://schemas.openxmlformats.org/officeDocument/2006/relationships/hyperlink" Target="https://rennamedia.com/wp-content/uploads/2022/12/ClarkJanuary2023.pdf" TargetMode="External"/><Relationship Id="rId285" Type="http://schemas.openxmlformats.org/officeDocument/2006/relationships/hyperlink" Target="https://rennamedia.com/wp-content/uploads/2022/12/ChathamsJanuary2023.pdf" TargetMode="External"/><Relationship Id="rId286" Type="http://schemas.openxmlformats.org/officeDocument/2006/relationships/hyperlink" Target="https://rennamedia.com/wp-content/uploads/2022/12/CranfordJanuary2023.pdf" TargetMode="External"/><Relationship Id="rId287" Type="http://schemas.openxmlformats.org/officeDocument/2006/relationships/hyperlink" Target="https://rennamedia.com/wp-content/uploads/2022/12/ElmoraHillsMonthlyJanuary2023.pdf" TargetMode="External"/><Relationship Id="rId288" Type="http://schemas.openxmlformats.org/officeDocument/2006/relationships/hyperlink" Target="https://rennamedia.com/wp-content/uploads/2022/12/FanwoodJanuary2023.pdf" TargetMode="External"/><Relationship Id="rId289" Type="http://schemas.openxmlformats.org/officeDocument/2006/relationships/hyperlink" Target="https://rennamedia.com/wp-content/uploads/2022/12/FlorhamParkMonthlyJanuary2023.pdf" TargetMode="External"/><Relationship Id="rId290" Type="http://schemas.openxmlformats.org/officeDocument/2006/relationships/hyperlink" Target="https://rennamedia.com/wp-content/uploads/2022/12/GarwoodJanuary2023.pdf" TargetMode="External"/><Relationship Id="rId291" Type="http://schemas.openxmlformats.org/officeDocument/2006/relationships/hyperlink" Target="https://rennamedia.com/wp-content/uploads/2022/12/GreenBrookJanuary2023.pdf" TargetMode="External"/><Relationship Id="rId292" Type="http://schemas.openxmlformats.org/officeDocument/2006/relationships/hyperlink" Target="https://rennamedia.com/wp-content/uploads/2022/12/KenilworthJanuary2023.pdf" TargetMode="External"/><Relationship Id="rId293" Type="http://schemas.openxmlformats.org/officeDocument/2006/relationships/hyperlink" Target="https://rennamedia.com/wp-content/uploads/2023/01/LindenJanuary2023-new.pdf" TargetMode="External"/><Relationship Id="rId294" Type="http://schemas.openxmlformats.org/officeDocument/2006/relationships/hyperlink" Target="https://rennamedia.com/wp-content/uploads/2022/12/LongHillJanuary2023.pdf" TargetMode="External"/><Relationship Id="rId295" Type="http://schemas.openxmlformats.org/officeDocument/2006/relationships/hyperlink" Target="https://rennamedia.com/wp-content/uploads/2022/12/MadisonJanuary2023.pdf" TargetMode="External"/><Relationship Id="rId296" Type="http://schemas.openxmlformats.org/officeDocument/2006/relationships/hyperlink" Target="https://rennamedia.com/wp-content/uploads/2022/12/MillburnShortHillsJanuary2023.pdf" TargetMode="External"/><Relationship Id="rId297" Type="http://schemas.openxmlformats.org/officeDocument/2006/relationships/hyperlink" Target="https://rennamedia.com/wp-content/uploads/2022/12/MountainsideJanuary2023.pdf" TargetMode="External"/><Relationship Id="rId298" Type="http://schemas.openxmlformats.org/officeDocument/2006/relationships/hyperlink" Target="https://rennamedia.com/wp-content/uploads/2022/12/NewProvidenceJanuary2023.pdf" TargetMode="External"/><Relationship Id="rId299" Type="http://schemas.openxmlformats.org/officeDocument/2006/relationships/hyperlink" Target="https://rennamedia.com/wp-content/uploads/2022/12/RahwayJanuary2023.pdf" TargetMode="External"/><Relationship Id="rId300" Type="http://schemas.openxmlformats.org/officeDocument/2006/relationships/hyperlink" Target="https://rennamedia.com/wp-content/uploads/2022/12/RoselleParkJanuary2023.pdf" TargetMode="External"/><Relationship Id="rId301" Type="http://schemas.openxmlformats.org/officeDocument/2006/relationships/hyperlink" Target="https://rennamedia.com/wp-content/uploads/2022/12/ScotchPlainsJanuary2023.pdf" TargetMode="External"/><Relationship Id="rId302" Type="http://schemas.openxmlformats.org/officeDocument/2006/relationships/hyperlink" Target="https://rennamedia.com/wp-content/uploads/2022/12/UnionJanuary2023.pdf" TargetMode="External"/><Relationship Id="rId303" Type="http://schemas.openxmlformats.org/officeDocument/2006/relationships/hyperlink" Target="https://rennamedia.com/wp-content/uploads/2022/12/SummitJanuary2023.pdf" TargetMode="External"/><Relationship Id="rId304" Type="http://schemas.openxmlformats.org/officeDocument/2006/relationships/hyperlink" Target="https://rennamedia.com/wp-content/uploads/2022/12/WarrenJanuary2023.pdf" TargetMode="External"/><Relationship Id="rId305" Type="http://schemas.openxmlformats.org/officeDocument/2006/relationships/hyperlink" Target="https://rennamedia.com/wp-content/uploads/2022/12/WatchungJanuary2023.pdf" TargetMode="External"/><Relationship Id="rId306" Type="http://schemas.openxmlformats.org/officeDocument/2006/relationships/hyperlink" Target="https://rennamedia.com/wp-content/uploads/2022/12/WestfieldJanuary2023.pdf" TargetMode="External"/><Relationship Id="rId307" Type="http://schemas.openxmlformats.org/officeDocument/2006/relationships/hyperlink" Target="https://rennamedia.com/wp-content/uploads/2023/01/BerkeleyHeightsFebruary2023.pdf" TargetMode="External"/><Relationship Id="rId308" Type="http://schemas.openxmlformats.org/officeDocument/2006/relationships/hyperlink" Target="https://rennamedia.com/wp-content/uploads/2023/01/ClarkFebruary2023.pdf" TargetMode="External"/><Relationship Id="rId309" Type="http://schemas.openxmlformats.org/officeDocument/2006/relationships/hyperlink" Target="https://rennamedia.com/wp-content/uploads/2023/01/ChathamsFebruary2023.pdf" TargetMode="External"/><Relationship Id="rId310" Type="http://schemas.openxmlformats.org/officeDocument/2006/relationships/hyperlink" Target="https://rennamedia.com/wp-content/uploads/2023/01/CranfordFebruary2023.pdf" TargetMode="External"/><Relationship Id="rId311" Type="http://schemas.openxmlformats.org/officeDocument/2006/relationships/hyperlink" Target="https://rennamedia.com/wp-content/uploads/2023/01/ElmoraHillsMonthlyFebruary2023.pdf" TargetMode="External"/><Relationship Id="rId312" Type="http://schemas.openxmlformats.org/officeDocument/2006/relationships/hyperlink" Target="https://rennamedia.com/wp-content/uploads/2023/01/FanwoodFebruary2023.pdf" TargetMode="External"/><Relationship Id="rId313" Type="http://schemas.openxmlformats.org/officeDocument/2006/relationships/hyperlink" Target="https://rennamedia.com/wp-content/uploads/2023/01/FlorhamParkMonthlyFebruary2023.pdf" TargetMode="External"/><Relationship Id="rId314" Type="http://schemas.openxmlformats.org/officeDocument/2006/relationships/hyperlink" Target="https://rennamedia.com/wp-content/uploads/2023/01/GarwoodFebruary2023.pdf" TargetMode="External"/><Relationship Id="rId315" Type="http://schemas.openxmlformats.org/officeDocument/2006/relationships/hyperlink" Target="https://rennamedia.com/wp-content/uploads/2023/01/GreenBrookFebruary2023.pdf" TargetMode="External"/><Relationship Id="rId316" Type="http://schemas.openxmlformats.org/officeDocument/2006/relationships/hyperlink" Target="https://rennamedia.com/wp-content/uploads/2023/01/KenilworthFebruary2023.pdf" TargetMode="External"/><Relationship Id="rId317" Type="http://schemas.openxmlformats.org/officeDocument/2006/relationships/hyperlink" Target="https://rennamedia.com/wp-content/uploads/2023/01/LindenFebruary2023.pdf" TargetMode="External"/><Relationship Id="rId318" Type="http://schemas.openxmlformats.org/officeDocument/2006/relationships/hyperlink" Target="https://rennamedia.com/wp-content/uploads/2023/01/LongHillFebruary2023.pdf" TargetMode="External"/><Relationship Id="rId319" Type="http://schemas.openxmlformats.org/officeDocument/2006/relationships/hyperlink" Target="https://rennamedia.com/wp-content/uploads/2023/01/MadisonFebruary2023.pdf" TargetMode="External"/><Relationship Id="rId320" Type="http://schemas.openxmlformats.org/officeDocument/2006/relationships/hyperlink" Target="https://rennamedia.com/wp-content/uploads/2023/01/MillburnShortHillsFebruary2023.pdf" TargetMode="External"/><Relationship Id="rId321" Type="http://schemas.openxmlformats.org/officeDocument/2006/relationships/hyperlink" Target="https://rennamedia.com/wp-content/uploads/2023/01/MountainsideFebruary2023.pdf" TargetMode="External"/><Relationship Id="rId322" Type="http://schemas.openxmlformats.org/officeDocument/2006/relationships/hyperlink" Target="https://rennamedia.com/wp-content/uploads/2023/01/NewProvidenceFebruary2023.pdf" TargetMode="External"/><Relationship Id="rId323" Type="http://schemas.openxmlformats.org/officeDocument/2006/relationships/hyperlink" Target="https://rennamedia.com/wp-content/uploads/2023/01/RahwayFebruary2023.pdf" TargetMode="External"/><Relationship Id="rId324" Type="http://schemas.openxmlformats.org/officeDocument/2006/relationships/hyperlink" Target="https://rennamedia.com/wp-content/uploads/2023/01/RoselleParkFebruary2023.pdf" TargetMode="External"/><Relationship Id="rId325" Type="http://schemas.openxmlformats.org/officeDocument/2006/relationships/hyperlink" Target="https://rennamedia.com/wp-content/uploads/2023/01/ScotchPlainsFebruary2023.pdf" TargetMode="External"/><Relationship Id="rId326" Type="http://schemas.openxmlformats.org/officeDocument/2006/relationships/hyperlink" Target="https://rennamedia.com/wp-content/uploads/2023/01/UnionFebruary2023.pdf" TargetMode="External"/><Relationship Id="rId327" Type="http://schemas.openxmlformats.org/officeDocument/2006/relationships/hyperlink" Target="https://rennamedia.com/wp-content/uploads/2023/01/SummitFebruary2023.pdf" TargetMode="External"/><Relationship Id="rId328" Type="http://schemas.openxmlformats.org/officeDocument/2006/relationships/hyperlink" Target="https://rennamedia.com/wp-content/uploads/2023/01/WarrenFebruary2023.pdf" TargetMode="External"/><Relationship Id="rId329" Type="http://schemas.openxmlformats.org/officeDocument/2006/relationships/hyperlink" Target="https://rennamedia.com/wp-content/uploads/2023/01/WatchungFebruary2023.pdf" TargetMode="External"/><Relationship Id="rId330" Type="http://schemas.openxmlformats.org/officeDocument/2006/relationships/hyperlink" Target="https://rennamedia.com/wp-content/uploads/2023/01/WestfieldFebruary2023.pdf" TargetMode="External"/><Relationship Id="rId331" Type="http://schemas.openxmlformats.org/officeDocument/2006/relationships/hyperlink" Target="https://rennamedia.com/wp-content/uploads/2023/02/BerkeleyHeightsMarch2023.pdf" TargetMode="External"/><Relationship Id="rId332" Type="http://schemas.openxmlformats.org/officeDocument/2006/relationships/hyperlink" Target="https://rennamedia.com/wp-content/uploads/2023/02/ClarkMarch2023.pdf" TargetMode="External"/><Relationship Id="rId333" Type="http://schemas.openxmlformats.org/officeDocument/2006/relationships/hyperlink" Target="https://rennamedia.com/wp-content/uploads/2023/02/ChathamsMarch2023.pdf" TargetMode="External"/><Relationship Id="rId334" Type="http://schemas.openxmlformats.org/officeDocument/2006/relationships/hyperlink" Target="https://rennamedia.com/wp-content/uploads/2023/02/CranfordMarch2023.pdf" TargetMode="External"/><Relationship Id="rId335" Type="http://schemas.openxmlformats.org/officeDocument/2006/relationships/hyperlink" Target="https://rennamedia.com/wp-content/uploads/2023/02/ElmoraHillsMonthlyMarch2023.pdf" TargetMode="External"/><Relationship Id="rId336" Type="http://schemas.openxmlformats.org/officeDocument/2006/relationships/hyperlink" Target="https://rennamedia.com/wp-content/uploads/2023/02/FanwoodMarch2023.pdf" TargetMode="External"/><Relationship Id="rId337" Type="http://schemas.openxmlformats.org/officeDocument/2006/relationships/hyperlink" Target="https://rennamedia.com/wp-content/uploads/2023/02/FlorhamParkMonthlyMarch2023.pdf" TargetMode="External"/><Relationship Id="rId338" Type="http://schemas.openxmlformats.org/officeDocument/2006/relationships/hyperlink" Target="https://rennamedia.com/wp-content/uploads/2023/02/GarwoodMarch2023.pdf" TargetMode="External"/><Relationship Id="rId339" Type="http://schemas.openxmlformats.org/officeDocument/2006/relationships/hyperlink" Target="https://rennamedia.com/wp-content/uploads/2023/02/GreenBrookMarch2023.pdf" TargetMode="External"/><Relationship Id="rId340" Type="http://schemas.openxmlformats.org/officeDocument/2006/relationships/hyperlink" Target="https://rennamedia.com/wp-content/uploads/2023/02/KenilworthMarch2023.pdf" TargetMode="External"/><Relationship Id="rId341" Type="http://schemas.openxmlformats.org/officeDocument/2006/relationships/hyperlink" Target="https://rennamedia.com/wp-content/uploads/2023/02/LindenMarch2023.pdf" TargetMode="External"/><Relationship Id="rId342" Type="http://schemas.openxmlformats.org/officeDocument/2006/relationships/hyperlink" Target="https://rennamedia.com/wp-content/uploads/2023/02/LongHillMarch2023.pdf" TargetMode="External"/><Relationship Id="rId343" Type="http://schemas.openxmlformats.org/officeDocument/2006/relationships/hyperlink" Target="https://rennamedia.com/wp-content/uploads/2023/02/MadisonMarch2023.pdf" TargetMode="External"/><Relationship Id="rId344" Type="http://schemas.openxmlformats.org/officeDocument/2006/relationships/hyperlink" Target="https://rennamedia.com/wp-content/uploads/2023/02/MillburnShortHillsMarch2023.pdf" TargetMode="External"/><Relationship Id="rId345" Type="http://schemas.openxmlformats.org/officeDocument/2006/relationships/hyperlink" Target="https://rennamedia.com/wp-content/uploads/2023/02/MountainsideMarch2023.pdf" TargetMode="External"/><Relationship Id="rId346" Type="http://schemas.openxmlformats.org/officeDocument/2006/relationships/hyperlink" Target="https://rennamedia.com/wp-content/uploads/2023/02/NewProvidenceMarch2023.pdf" TargetMode="External"/><Relationship Id="rId347" Type="http://schemas.openxmlformats.org/officeDocument/2006/relationships/hyperlink" Target="https://rennamedia.com/wp-content/uploads/2023/02/RahwayMarch2023.pdf" TargetMode="External"/><Relationship Id="rId348" Type="http://schemas.openxmlformats.org/officeDocument/2006/relationships/hyperlink" Target="https://rennamedia.com/wp-content/uploads/2023/02/RoselleParkMarch2023.pdf" TargetMode="External"/><Relationship Id="rId349" Type="http://schemas.openxmlformats.org/officeDocument/2006/relationships/hyperlink" Target="https://rennamedia.com/wp-content/uploads/2023/02/ScotchPlainsMarch2023.pdf" TargetMode="External"/><Relationship Id="rId350" Type="http://schemas.openxmlformats.org/officeDocument/2006/relationships/hyperlink" Target="https://rennamedia.com/wp-content/uploads/2023/02/UnionMarch2023.pdf" TargetMode="External"/><Relationship Id="rId351" Type="http://schemas.openxmlformats.org/officeDocument/2006/relationships/hyperlink" Target="https://rennamedia.com/wp-content/uploads/2023/02/SummitMarch2023.pdf" TargetMode="External"/><Relationship Id="rId352" Type="http://schemas.openxmlformats.org/officeDocument/2006/relationships/hyperlink" Target="https://rennamedia.com/wp-content/uploads/2023/02/WarrenMarch2023.pdf" TargetMode="External"/><Relationship Id="rId353" Type="http://schemas.openxmlformats.org/officeDocument/2006/relationships/hyperlink" Target="https://rennamedia.com/wp-content/uploads/2023/02/WatchungMarch2023.pdf" TargetMode="External"/><Relationship Id="rId354" Type="http://schemas.openxmlformats.org/officeDocument/2006/relationships/hyperlink" Target="https://rennamedia.com/wp-content/uploads/2023/02/WestfieldMarch2023.pdf" TargetMode="External"/><Relationship Id="rId355" Type="http://schemas.openxmlformats.org/officeDocument/2006/relationships/hyperlink" Target="https://rennamedia.com/wp-content/uploads/2023/03/BerkeleyHeightsApril2023.pdf" TargetMode="External"/><Relationship Id="rId356" Type="http://schemas.openxmlformats.org/officeDocument/2006/relationships/hyperlink" Target="https://rennamedia.com/wp-content/uploads/2023/03/ClarkApril2023.pdf" TargetMode="External"/><Relationship Id="rId357" Type="http://schemas.openxmlformats.org/officeDocument/2006/relationships/hyperlink" Target="https://rennamedia.com/wp-content/uploads/2023/03/ChathamsApril2023.pdf" TargetMode="External"/><Relationship Id="rId358" Type="http://schemas.openxmlformats.org/officeDocument/2006/relationships/hyperlink" Target="https://rennamedia.com/wp-content/uploads/2023/03/CranfordApril2023.pdf" TargetMode="External"/><Relationship Id="rId359" Type="http://schemas.openxmlformats.org/officeDocument/2006/relationships/hyperlink" Target="https://rennamedia.com/wp-content/uploads/2023/03/ElmoraHillsMonthlyApril2023.pdf" TargetMode="External"/><Relationship Id="rId360" Type="http://schemas.openxmlformats.org/officeDocument/2006/relationships/hyperlink" Target="https://rennamedia.com/wp-content/uploads/2023/03/FanwoodApril2023.pdf" TargetMode="External"/><Relationship Id="rId361" Type="http://schemas.openxmlformats.org/officeDocument/2006/relationships/hyperlink" Target="https://rennamedia.com/wp-content/uploads/2023/03/FlorhamParkMonthlyApril2023.pdf" TargetMode="External"/><Relationship Id="rId362" Type="http://schemas.openxmlformats.org/officeDocument/2006/relationships/hyperlink" Target="https://rennamedia.com/wp-content/uploads/2023/03/GarwoodApril2023.pdf" TargetMode="External"/><Relationship Id="rId363" Type="http://schemas.openxmlformats.org/officeDocument/2006/relationships/hyperlink" Target="https://rennamedia.com/wp-content/uploads/2023/03/GreenBrookApril2023.pdf" TargetMode="External"/><Relationship Id="rId364" Type="http://schemas.openxmlformats.org/officeDocument/2006/relationships/hyperlink" Target="https://rennamedia.com/wp-content/uploads/2023/03/KenilworthApril2023.pdf" TargetMode="External"/><Relationship Id="rId365" Type="http://schemas.openxmlformats.org/officeDocument/2006/relationships/hyperlink" Target="https://rennamedia.com/wp-content/uploads/2023/03/LindenApril2023.pdf" TargetMode="External"/><Relationship Id="rId366" Type="http://schemas.openxmlformats.org/officeDocument/2006/relationships/hyperlink" Target="https://rennamedia.com/wp-content/uploads/2023/03/LongHillApril2023.pdf" TargetMode="External"/><Relationship Id="rId367" Type="http://schemas.openxmlformats.org/officeDocument/2006/relationships/hyperlink" Target="https://rennamedia.com/wp-content/uploads/2023/03/MadisonApril2023.pdf" TargetMode="External"/><Relationship Id="rId368" Type="http://schemas.openxmlformats.org/officeDocument/2006/relationships/hyperlink" Target="https://rennamedia.com/wp-content/uploads/2023/03/MillburnShortHillsApril2023.pdf" TargetMode="External"/><Relationship Id="rId369" Type="http://schemas.openxmlformats.org/officeDocument/2006/relationships/hyperlink" Target="https://rennamedia.com/wp-content/uploads/2023/03/MountainsideApril2023.pdf" TargetMode="External"/><Relationship Id="rId370" Type="http://schemas.openxmlformats.org/officeDocument/2006/relationships/hyperlink" Target="https://rennamedia.com/wp-content/uploads/2023/03/NewProvidenceApril2023.pdf" TargetMode="External"/><Relationship Id="rId371" Type="http://schemas.openxmlformats.org/officeDocument/2006/relationships/hyperlink" Target="https://rennamedia.com/wp-content/uploads/2023/03/RahwayApril2023.pdf" TargetMode="External"/><Relationship Id="rId372" Type="http://schemas.openxmlformats.org/officeDocument/2006/relationships/hyperlink" Target="https://rennamedia.com/wp-content/uploads/2023/03/RoselleParkApril2023.pdf" TargetMode="External"/><Relationship Id="rId373" Type="http://schemas.openxmlformats.org/officeDocument/2006/relationships/hyperlink" Target="https://rennamedia.com/wp-content/uploads/2023/03/ScotchPlainsApril2023.pdf" TargetMode="External"/><Relationship Id="rId374" Type="http://schemas.openxmlformats.org/officeDocument/2006/relationships/hyperlink" Target="https://rennamedia.com/wp-content/uploads/2023/03/UnionApril2023.pdf" TargetMode="External"/><Relationship Id="rId375" Type="http://schemas.openxmlformats.org/officeDocument/2006/relationships/hyperlink" Target="https://rennamedia.com/wp-content/uploads/2023/03/SummitApril2023.pdf" TargetMode="External"/><Relationship Id="rId376" Type="http://schemas.openxmlformats.org/officeDocument/2006/relationships/hyperlink" Target="https://rennamedia.com/wp-content/uploads/2023/03/WarrenApril2023.pdf" TargetMode="External"/><Relationship Id="rId377" Type="http://schemas.openxmlformats.org/officeDocument/2006/relationships/hyperlink" Target="https://rennamedia.com/wp-content/uploads/2023/03/WatchungApril2023.pdf" TargetMode="External"/><Relationship Id="rId378" Type="http://schemas.openxmlformats.org/officeDocument/2006/relationships/hyperlink" Target="https://rennamedia.com/wp-content/uploads/2023/03/WestfieldApril2023.pdf" TargetMode="External"/><Relationship Id="rId379" Type="http://schemas.openxmlformats.org/officeDocument/2006/relationships/hyperlink" Target="https://rennamedia.com/wp-content/uploads/2023/04/BerkeleyHeightsMay2023.pdf" TargetMode="External"/><Relationship Id="rId380" Type="http://schemas.openxmlformats.org/officeDocument/2006/relationships/hyperlink" Target="https://rennamedia.com/wp-content/uploads/2023/04/ClarkMay2023.pdf" TargetMode="External"/><Relationship Id="rId381" Type="http://schemas.openxmlformats.org/officeDocument/2006/relationships/hyperlink" Target="https://rennamedia.com/wp-content/uploads/2023/04/ChathamsMay2023.pdf" TargetMode="External"/><Relationship Id="rId382" Type="http://schemas.openxmlformats.org/officeDocument/2006/relationships/hyperlink" Target="https://rennamedia.com/wp-content/uploads/2023/04/CranfordMay2023.pdf" TargetMode="External"/><Relationship Id="rId383" Type="http://schemas.openxmlformats.org/officeDocument/2006/relationships/hyperlink" Target="https://rennamedia.com/wp-content/uploads/2023/04/ElmoraHillsMonthlyMay2023.pdf" TargetMode="External"/><Relationship Id="rId384" Type="http://schemas.openxmlformats.org/officeDocument/2006/relationships/hyperlink" Target="https://rennamedia.com/wp-content/uploads/2023/04/FanwoodMay2023.pdf" TargetMode="External"/><Relationship Id="rId385" Type="http://schemas.openxmlformats.org/officeDocument/2006/relationships/hyperlink" Target="https://rennamedia.com/wp-content/uploads/2023/04/FlorhamParkMonthlyMay2023.pdf" TargetMode="External"/><Relationship Id="rId386" Type="http://schemas.openxmlformats.org/officeDocument/2006/relationships/hyperlink" Target="https://rennamedia.com/wp-content/uploads/2023/04/GarwoodMay2023.pdf" TargetMode="External"/><Relationship Id="rId387" Type="http://schemas.openxmlformats.org/officeDocument/2006/relationships/hyperlink" Target="https://rennamedia.com/wp-content/uploads/2023/04/GreenBrookMay2023.pdf" TargetMode="External"/><Relationship Id="rId388" Type="http://schemas.openxmlformats.org/officeDocument/2006/relationships/hyperlink" Target="https://rennamedia.com/wp-content/uploads/2023/04/KenilworthMay2023.pdf" TargetMode="External"/><Relationship Id="rId389" Type="http://schemas.openxmlformats.org/officeDocument/2006/relationships/hyperlink" Target="https://rennamedia.com/wp-content/uploads/2023/04/LindenMay2023.pdf" TargetMode="External"/><Relationship Id="rId390" Type="http://schemas.openxmlformats.org/officeDocument/2006/relationships/hyperlink" Target="https://rennamedia.com/wp-content/uploads/2023/04/LongHillMay2023.pdf" TargetMode="External"/><Relationship Id="rId391" Type="http://schemas.openxmlformats.org/officeDocument/2006/relationships/hyperlink" Target="https://rennamedia.com/wp-content/uploads/2023/04/MadisonMay2023.pdf" TargetMode="External"/><Relationship Id="rId392" Type="http://schemas.openxmlformats.org/officeDocument/2006/relationships/hyperlink" Target="https://rennamedia.com/wp-content/uploads/2023/04/MillburnShortHillsMay2023.pdf" TargetMode="External"/><Relationship Id="rId393" Type="http://schemas.openxmlformats.org/officeDocument/2006/relationships/hyperlink" Target="https://rennamedia.com/wp-content/uploads/2023/04/MountainsideMay2023.pdf" TargetMode="External"/><Relationship Id="rId394" Type="http://schemas.openxmlformats.org/officeDocument/2006/relationships/hyperlink" Target="https://rennamedia.com/wp-content/uploads/2023/04/NewProvidenceMay2023.pdf" TargetMode="External"/><Relationship Id="rId395" Type="http://schemas.openxmlformats.org/officeDocument/2006/relationships/hyperlink" Target="https://rennamedia.com/wp-content/uploads/2023/04/RahwayMay2023.pdf" TargetMode="External"/><Relationship Id="rId396" Type="http://schemas.openxmlformats.org/officeDocument/2006/relationships/hyperlink" Target="https://rennamedia.com/wp-content/uploads/2023/04/RoselleParkMay2023.pdf" TargetMode="External"/><Relationship Id="rId397" Type="http://schemas.openxmlformats.org/officeDocument/2006/relationships/hyperlink" Target="https://rennamedia.com/wp-content/uploads/2023/04/ScotchPlainsMay2023.pdf" TargetMode="External"/><Relationship Id="rId398" Type="http://schemas.openxmlformats.org/officeDocument/2006/relationships/hyperlink" Target="https://rennamedia.com/wp-content/uploads/2023/04/UnionMay2023.pdf" TargetMode="External"/><Relationship Id="rId399" Type="http://schemas.openxmlformats.org/officeDocument/2006/relationships/hyperlink" Target="https://rennamedia.com/wp-content/uploads/2023/04/SummitMay2023.pdf" TargetMode="External"/><Relationship Id="rId400" Type="http://schemas.openxmlformats.org/officeDocument/2006/relationships/hyperlink" Target="https://rennamedia.com/wp-content/uploads/2023/04/WarrenMay2023.pdf" TargetMode="External"/><Relationship Id="rId401" Type="http://schemas.openxmlformats.org/officeDocument/2006/relationships/hyperlink" Target="https://rennamedia.com/wp-content/uploads/2023/04/WatchungMay2023.pdf" TargetMode="External"/><Relationship Id="rId402" Type="http://schemas.openxmlformats.org/officeDocument/2006/relationships/hyperlink" Target="https://rennamedia.com/wp-content/uploads/2023/04/WestfieldMay2023.pdf" TargetMode="External"/><Relationship Id="rId403" Type="http://schemas.openxmlformats.org/officeDocument/2006/relationships/hyperlink" Target="https://rennamedia.com/wp-content/uploads/2023/05/BerkeleyHeightsJune2023.pdf" TargetMode="External"/><Relationship Id="rId404" Type="http://schemas.openxmlformats.org/officeDocument/2006/relationships/hyperlink" Target="https://rennamedia.com/wp-content/uploads/2023/05/ClarkJune2023.pdf" TargetMode="External"/><Relationship Id="rId405" Type="http://schemas.openxmlformats.org/officeDocument/2006/relationships/hyperlink" Target="https://rennamedia.com/wp-content/uploads/2023/05/ChathamsJune2023.pdf" TargetMode="External"/><Relationship Id="rId406" Type="http://schemas.openxmlformats.org/officeDocument/2006/relationships/hyperlink" Target="https://rennamedia.com/wp-content/uploads/2023/05/CranfordJune2023.pdf" TargetMode="External"/><Relationship Id="rId407" Type="http://schemas.openxmlformats.org/officeDocument/2006/relationships/hyperlink" Target="https://rennamedia.com/wp-content/uploads/2023/05/ElmoraHillsMonthlyJune2023.pdf" TargetMode="External"/><Relationship Id="rId408" Type="http://schemas.openxmlformats.org/officeDocument/2006/relationships/hyperlink" Target="https://rennamedia.com/wp-content/uploads/2023/05/FanwoodJune2023.pdf" TargetMode="External"/><Relationship Id="rId409" Type="http://schemas.openxmlformats.org/officeDocument/2006/relationships/hyperlink" Target="https://rennamedia.com/wp-content/uploads/2023/05/FlorhamParkMonthlyJune2023.pdf" TargetMode="External"/><Relationship Id="rId410" Type="http://schemas.openxmlformats.org/officeDocument/2006/relationships/hyperlink" Target="https://rennamedia.com/wp-content/uploads/2023/05/GarwoodJune2023.pdf" TargetMode="External"/><Relationship Id="rId411" Type="http://schemas.openxmlformats.org/officeDocument/2006/relationships/hyperlink" Target="https://rennamedia.com/wp-content/uploads/2023/05/GreenBrookJune2023.pdf" TargetMode="External"/><Relationship Id="rId412" Type="http://schemas.openxmlformats.org/officeDocument/2006/relationships/hyperlink" Target="https://rennamedia.com/wp-content/uploads/2023/05/KenilworthJune2023.pdf" TargetMode="External"/><Relationship Id="rId413" Type="http://schemas.openxmlformats.org/officeDocument/2006/relationships/hyperlink" Target="https://rennamedia.com/wp-content/uploads/2023/05/LindenJune2023.pdf" TargetMode="External"/><Relationship Id="rId414" Type="http://schemas.openxmlformats.org/officeDocument/2006/relationships/hyperlink" Target="https://rennamedia.com/wp-content/uploads/2023/05/LongHillJune2023.pdf" TargetMode="External"/><Relationship Id="rId415" Type="http://schemas.openxmlformats.org/officeDocument/2006/relationships/hyperlink" Target="https://rennamedia.com/wp-content/uploads/2023/05/MadisonJune2023.pdf" TargetMode="External"/><Relationship Id="rId416" Type="http://schemas.openxmlformats.org/officeDocument/2006/relationships/hyperlink" Target="https://rennamedia.com/wp-content/uploads/2023/05/MillburnShortHillsJune2023.pdf" TargetMode="External"/><Relationship Id="rId417" Type="http://schemas.openxmlformats.org/officeDocument/2006/relationships/hyperlink" Target="https://rennamedia.com/wp-content/uploads/2023/05/MountainsideJune2023.pdf" TargetMode="External"/><Relationship Id="rId418" Type="http://schemas.openxmlformats.org/officeDocument/2006/relationships/hyperlink" Target="https://rennamedia.com/wp-content/uploads/2023/05/NewProvidenceJune2023.pdf" TargetMode="External"/><Relationship Id="rId419" Type="http://schemas.openxmlformats.org/officeDocument/2006/relationships/hyperlink" Target="https://rennamedia.com/wp-content/uploads/2023/05/RahwayJune2023.pdf" TargetMode="External"/><Relationship Id="rId420" Type="http://schemas.openxmlformats.org/officeDocument/2006/relationships/hyperlink" Target="https://rennamedia.com/wp-content/uploads/2023/05/RoselleParkJune2023.pdf" TargetMode="External"/><Relationship Id="rId421" Type="http://schemas.openxmlformats.org/officeDocument/2006/relationships/hyperlink" Target="https://rennamedia.com/wp-content/uploads/2023/05/ScotchPlainsJune2023.pdf" TargetMode="External"/><Relationship Id="rId422" Type="http://schemas.openxmlformats.org/officeDocument/2006/relationships/hyperlink" Target="https://rennamedia.com/wp-content/uploads/2023/05/UnionJune2023.pdf" TargetMode="External"/><Relationship Id="rId423" Type="http://schemas.openxmlformats.org/officeDocument/2006/relationships/hyperlink" Target="https://rennamedia.com/wp-content/uploads/2023/05/SummitJune2023.pdf" TargetMode="External"/><Relationship Id="rId424" Type="http://schemas.openxmlformats.org/officeDocument/2006/relationships/hyperlink" Target="https://rennamedia.com/wp-content/uploads/2023/05/WarrenJune2023.pdf" TargetMode="External"/><Relationship Id="rId425" Type="http://schemas.openxmlformats.org/officeDocument/2006/relationships/hyperlink" Target="https://rennamedia.com/wp-content/uploads/2023/05/WatchungJune2023.pdf" TargetMode="External"/><Relationship Id="rId426" Type="http://schemas.openxmlformats.org/officeDocument/2006/relationships/hyperlink" Target="https://rennamedia.com/wp-content/uploads/2023/05/WestfieldJune2023.pdf" TargetMode="External"/><Relationship Id="rId427" Type="http://schemas.openxmlformats.org/officeDocument/2006/relationships/hyperlink" Target="https://rennamedia.com/wp-content/uploads/2023/06/BerkeleyHeightsJuly2023.pdf" TargetMode="External"/><Relationship Id="rId428" Type="http://schemas.openxmlformats.org/officeDocument/2006/relationships/hyperlink" Target="https://rennamedia.com/wp-content/uploads/2023/06/ClarkJuly2023.pdf" TargetMode="External"/><Relationship Id="rId429" Type="http://schemas.openxmlformats.org/officeDocument/2006/relationships/hyperlink" Target="https://rennamedia.com/wp-content/uploads/2023/06/ChathamsJuly2023.pdf" TargetMode="External"/><Relationship Id="rId430" Type="http://schemas.openxmlformats.org/officeDocument/2006/relationships/hyperlink" Target="https://rennamedia.com/wp-content/uploads/2023/06/CranfordJuly2023.pdf" TargetMode="External"/><Relationship Id="rId431" Type="http://schemas.openxmlformats.org/officeDocument/2006/relationships/hyperlink" Target="https://rennamedia.com/wp-content/uploads/2023/06/ElmoraHillsMonthlyJuly2023.pdf" TargetMode="External"/><Relationship Id="rId432" Type="http://schemas.openxmlformats.org/officeDocument/2006/relationships/hyperlink" Target="https://rennamedia.com/wp-content/uploads/2023/06/FanwoodJuly2023.pdf" TargetMode="External"/><Relationship Id="rId433" Type="http://schemas.openxmlformats.org/officeDocument/2006/relationships/hyperlink" Target="https://rennamedia.com/wp-content/uploads/2023/06/FlorhamParkMonthlyJuly2023.pdf" TargetMode="External"/><Relationship Id="rId434" Type="http://schemas.openxmlformats.org/officeDocument/2006/relationships/hyperlink" Target="https://rennamedia.com/wp-content/uploads/2023/06/GarwoodJuly2023.pdf" TargetMode="External"/><Relationship Id="rId435" Type="http://schemas.openxmlformats.org/officeDocument/2006/relationships/hyperlink" Target="https://rennamedia.com/wp-content/uploads/2023/06/GreenBrookJuly2023.pdf" TargetMode="External"/><Relationship Id="rId436" Type="http://schemas.openxmlformats.org/officeDocument/2006/relationships/hyperlink" Target="https://rennamedia.com/wp-content/uploads/2023/06/KenilworthJuly2023.pdf" TargetMode="External"/><Relationship Id="rId437" Type="http://schemas.openxmlformats.org/officeDocument/2006/relationships/hyperlink" Target="https://rennamedia.com/wp-content/uploads/2023/06/LindenJuly2023.pdf" TargetMode="External"/><Relationship Id="rId438" Type="http://schemas.openxmlformats.org/officeDocument/2006/relationships/hyperlink" Target="https://rennamedia.com/wp-content/uploads/2023/06/LongHillJuly2023.pdf" TargetMode="External"/><Relationship Id="rId439" Type="http://schemas.openxmlformats.org/officeDocument/2006/relationships/hyperlink" Target="https://rennamedia.com/wp-content/uploads/2023/06/MadisonJuly2023.pdf" TargetMode="External"/><Relationship Id="rId440" Type="http://schemas.openxmlformats.org/officeDocument/2006/relationships/hyperlink" Target="https://rennamedia.com/wp-content/uploads/2023/06/MillburnShortHillsJuly2023.pdf" TargetMode="External"/><Relationship Id="rId441" Type="http://schemas.openxmlformats.org/officeDocument/2006/relationships/hyperlink" Target="https://rennamedia.com/wp-content/uploads/2023/06/MountainsideJuly2023.pdf" TargetMode="External"/><Relationship Id="rId442" Type="http://schemas.openxmlformats.org/officeDocument/2006/relationships/hyperlink" Target="https://rennamedia.com/wp-content/uploads/2023/06/NewProvidenceJuly2023.pdf" TargetMode="External"/><Relationship Id="rId443" Type="http://schemas.openxmlformats.org/officeDocument/2006/relationships/hyperlink" Target="https://rennamedia.com/wp-content/uploads/2023/06/RahwayJuly2023.pdf" TargetMode="External"/><Relationship Id="rId444" Type="http://schemas.openxmlformats.org/officeDocument/2006/relationships/hyperlink" Target="https://rennamedia.com/wp-content/uploads/2023/06/RoselleParkJuly2023.pdf" TargetMode="External"/><Relationship Id="rId445" Type="http://schemas.openxmlformats.org/officeDocument/2006/relationships/hyperlink" Target="https://rennamedia.com/wp-content/uploads/2023/06/ScotchPlainsJuly2023.pdf" TargetMode="External"/><Relationship Id="rId446" Type="http://schemas.openxmlformats.org/officeDocument/2006/relationships/hyperlink" Target="https://rennamedia.com/wp-content/uploads/2023/06/UnionJuly2023.pdf" TargetMode="External"/><Relationship Id="rId447" Type="http://schemas.openxmlformats.org/officeDocument/2006/relationships/hyperlink" Target="https://rennamedia.com/wp-content/uploads/2023/06/SummitJuly2023.pdf" TargetMode="External"/><Relationship Id="rId448" Type="http://schemas.openxmlformats.org/officeDocument/2006/relationships/hyperlink" Target="https://rennamedia.com/wp-content/uploads/2023/06/WarrenJuly2023.pdf" TargetMode="External"/><Relationship Id="rId449" Type="http://schemas.openxmlformats.org/officeDocument/2006/relationships/hyperlink" Target="https://rennamedia.com/wp-content/uploads/2023/06/WatchungJuly2023.pdf" TargetMode="External"/><Relationship Id="rId450" Type="http://schemas.openxmlformats.org/officeDocument/2006/relationships/hyperlink" Target="https://rennamedia.com/wp-content/uploads/2023/06/WestfieldJuly2023.pdf" TargetMode="External"/><Relationship Id="rId451" Type="http://schemas.openxmlformats.org/officeDocument/2006/relationships/hyperlink" Target="https://rennamedia.com/wp-content/uploads/2023/07/BerkeleyHeightsAug2023.pdf" TargetMode="External"/><Relationship Id="rId452" Type="http://schemas.openxmlformats.org/officeDocument/2006/relationships/hyperlink" Target="https://rennamedia.com/wp-content/uploads/2023/07/ClarkAug2023.pdf" TargetMode="External"/><Relationship Id="rId453" Type="http://schemas.openxmlformats.org/officeDocument/2006/relationships/hyperlink" Target="https://rennamedia.com/wp-content/uploads/2023/07/ChathamsAug2023.pdf" TargetMode="External"/><Relationship Id="rId454" Type="http://schemas.openxmlformats.org/officeDocument/2006/relationships/hyperlink" Target="https://rennamedia.com/wp-content/uploads/2023/07/CranfordAug2023.pdf" TargetMode="External"/><Relationship Id="rId455" Type="http://schemas.openxmlformats.org/officeDocument/2006/relationships/hyperlink" Target="https://rennamedia.com/wp-content/uploads/2023/07/ElmoraHillsMonthlyAug2023.pdf" TargetMode="External"/><Relationship Id="rId456" Type="http://schemas.openxmlformats.org/officeDocument/2006/relationships/hyperlink" Target="https://rennamedia.com/wp-content/uploads/2023/07/FanwoodAug2023.pdf" TargetMode="External"/><Relationship Id="rId457" Type="http://schemas.openxmlformats.org/officeDocument/2006/relationships/hyperlink" Target="https://rennamedia.com/wp-content/uploads/2023/07/FlorhamParkMonthlyAug2023.pdf" TargetMode="External"/><Relationship Id="rId458" Type="http://schemas.openxmlformats.org/officeDocument/2006/relationships/hyperlink" Target="https://rennamedia.com/wp-content/uploads/2023/07/GarwoodAug2023.pdf" TargetMode="External"/><Relationship Id="rId459" Type="http://schemas.openxmlformats.org/officeDocument/2006/relationships/hyperlink" Target="https://rennamedia.com/wp-content/uploads/2023/07/GreenBrookAug2023.pdf" TargetMode="External"/><Relationship Id="rId460" Type="http://schemas.openxmlformats.org/officeDocument/2006/relationships/hyperlink" Target="https://rennamedia.com/wp-content/uploads/2023/07/KenilworthAug2023.pdf" TargetMode="External"/><Relationship Id="rId461" Type="http://schemas.openxmlformats.org/officeDocument/2006/relationships/hyperlink" Target="https://rennamedia.com/wp-content/uploads/2023/07/LindenAug2023.pdf" TargetMode="External"/><Relationship Id="rId462" Type="http://schemas.openxmlformats.org/officeDocument/2006/relationships/hyperlink" Target="https://rennamedia.com/wp-content/uploads/2023/07/LongHillAug2023.pdf" TargetMode="External"/><Relationship Id="rId463" Type="http://schemas.openxmlformats.org/officeDocument/2006/relationships/hyperlink" Target="https://rennamedia.com/wp-content/uploads/2023/07/MadisonAug2023.pdf" TargetMode="External"/><Relationship Id="rId464" Type="http://schemas.openxmlformats.org/officeDocument/2006/relationships/hyperlink" Target="https://rennamedia.com/wp-content/uploads/2023/07/MillburnShortHillsAug2023.pdf" TargetMode="External"/><Relationship Id="rId465" Type="http://schemas.openxmlformats.org/officeDocument/2006/relationships/hyperlink" Target="https://rennamedia.com/wp-content/uploads/2023/07/MountainsideAug2023.pdf" TargetMode="External"/><Relationship Id="rId466" Type="http://schemas.openxmlformats.org/officeDocument/2006/relationships/hyperlink" Target="https://rennamedia.com/wp-content/uploads/2023/07/NewProvidenceAug2023.pdf" TargetMode="External"/><Relationship Id="rId467" Type="http://schemas.openxmlformats.org/officeDocument/2006/relationships/hyperlink" Target="https://rennamedia.com/wp-content/uploads/2023/07/RahwayAug2023.pdf" TargetMode="External"/><Relationship Id="rId468" Type="http://schemas.openxmlformats.org/officeDocument/2006/relationships/hyperlink" Target="https://rennamedia.com/wp-content/uploads/2023/07/RoselleParkAug2023.pdf" TargetMode="External"/><Relationship Id="rId469" Type="http://schemas.openxmlformats.org/officeDocument/2006/relationships/hyperlink" Target="https://rennamedia.com/wp-content/uploads/2023/07/ScotchPlainsAug2023.pdf" TargetMode="External"/><Relationship Id="rId470" Type="http://schemas.openxmlformats.org/officeDocument/2006/relationships/hyperlink" Target="https://rennamedia.com/wp-content/uploads/2023/07/UnionAug2023.pdf" TargetMode="External"/><Relationship Id="rId471" Type="http://schemas.openxmlformats.org/officeDocument/2006/relationships/hyperlink" Target="https://rennamedia.com/wp-content/uploads/2023/07/SummitAug2023.pdf" TargetMode="External"/><Relationship Id="rId472" Type="http://schemas.openxmlformats.org/officeDocument/2006/relationships/hyperlink" Target="https://rennamedia.com/wp-content/uploads/2023/07/WarrenAug2023.pdf" TargetMode="External"/><Relationship Id="rId473" Type="http://schemas.openxmlformats.org/officeDocument/2006/relationships/hyperlink" Target="https://rennamedia.com/wp-content/uploads/2023/07/WatchungAug2023.pdf" TargetMode="External"/><Relationship Id="rId474" Type="http://schemas.openxmlformats.org/officeDocument/2006/relationships/hyperlink" Target="https://rennamedia.com/wp-content/uploads/2023/07/WestfieldAug2023.pdf" TargetMode="External"/><Relationship Id="rId475" Type="http://schemas.openxmlformats.org/officeDocument/2006/relationships/hyperlink" Target="https://rennamedia.com/wp-content/uploads/2023/08/BerkeleyHeightsSep2023.pdf" TargetMode="External"/><Relationship Id="rId476" Type="http://schemas.openxmlformats.org/officeDocument/2006/relationships/hyperlink" Target="https://rennamedia.com/wp-content/uploads/2023/08/ClarkSep2023.pdf" TargetMode="External"/><Relationship Id="rId477" Type="http://schemas.openxmlformats.org/officeDocument/2006/relationships/hyperlink" Target="https://rennamedia.com/wp-content/uploads/2023/08/ChathamsSep2023.pdf" TargetMode="External"/><Relationship Id="rId478" Type="http://schemas.openxmlformats.org/officeDocument/2006/relationships/hyperlink" Target="https://rennamedia.com/wp-content/uploads/2023/08/CranfordSep2023.pdf" TargetMode="External"/><Relationship Id="rId479" Type="http://schemas.openxmlformats.org/officeDocument/2006/relationships/hyperlink" Target="https://rennamedia.com/wp-content/uploads/2023/08/ElmoraHillsMonthlySep2023.pdf" TargetMode="External"/><Relationship Id="rId480" Type="http://schemas.openxmlformats.org/officeDocument/2006/relationships/hyperlink" Target="https://rennamedia.com/wp-content/uploads/2023/08/FanwoodSep2023.pdf" TargetMode="External"/><Relationship Id="rId481" Type="http://schemas.openxmlformats.org/officeDocument/2006/relationships/hyperlink" Target="https://rennamedia.com/wp-content/uploads/2023/08/FlorhamParkMonthlySep2023.pdf" TargetMode="External"/><Relationship Id="rId482" Type="http://schemas.openxmlformats.org/officeDocument/2006/relationships/hyperlink" Target="https://rennamedia.com/wp-content/uploads/2023/08/GarwoodSep2023.pdf" TargetMode="External"/><Relationship Id="rId483" Type="http://schemas.openxmlformats.org/officeDocument/2006/relationships/hyperlink" Target="https://rennamedia.com/wp-content/uploads/2023/08/GreenBrookSep2023.pdf" TargetMode="External"/><Relationship Id="rId484" Type="http://schemas.openxmlformats.org/officeDocument/2006/relationships/hyperlink" Target="https://rennamedia.com/wp-content/uploads/2023/08/KenilworthSep2023.pdf" TargetMode="External"/><Relationship Id="rId485" Type="http://schemas.openxmlformats.org/officeDocument/2006/relationships/hyperlink" Target="https://rennamedia.com/wp-content/uploads/2023/08/LindenSep2023.pdf" TargetMode="External"/><Relationship Id="rId486" Type="http://schemas.openxmlformats.org/officeDocument/2006/relationships/hyperlink" Target="https://rennamedia.com/wp-content/uploads/2023/08/LongHillSep2023.pdf" TargetMode="External"/><Relationship Id="rId487" Type="http://schemas.openxmlformats.org/officeDocument/2006/relationships/hyperlink" Target="https://rennamedia.com/wp-content/uploads/2023/08/MadisonSep2023.pdf" TargetMode="External"/><Relationship Id="rId488" Type="http://schemas.openxmlformats.org/officeDocument/2006/relationships/hyperlink" Target="https://rennamedia.com/wp-content/uploads/2023/08/MillburnShortHillsSep2023.pdf" TargetMode="External"/><Relationship Id="rId489" Type="http://schemas.openxmlformats.org/officeDocument/2006/relationships/hyperlink" Target="https://rennamedia.com/wp-content/uploads/2023/08/MountainsideSep2023.pdf" TargetMode="External"/><Relationship Id="rId490" Type="http://schemas.openxmlformats.org/officeDocument/2006/relationships/hyperlink" Target="https://rennamedia.com/wp-content/uploads/2023/08/NewProvidenceSep2023.pdf" TargetMode="External"/><Relationship Id="rId491" Type="http://schemas.openxmlformats.org/officeDocument/2006/relationships/hyperlink" Target="https://rennamedia.com/wp-content/uploads/2023/08/RahwaySep2023.pdf" TargetMode="External"/><Relationship Id="rId492" Type="http://schemas.openxmlformats.org/officeDocument/2006/relationships/hyperlink" Target="https://rennamedia.com/wp-content/uploads/2023/08/RoselleParkSep2023.pdf" TargetMode="External"/><Relationship Id="rId493" Type="http://schemas.openxmlformats.org/officeDocument/2006/relationships/hyperlink" Target="https://rennamedia.com/wp-content/uploads/2023/08/ScotchPlainsSep2023.pdf" TargetMode="External"/><Relationship Id="rId494" Type="http://schemas.openxmlformats.org/officeDocument/2006/relationships/hyperlink" Target="https://rennamedia.com/wp-content/uploads/2023/08/UnionSep2023.pdf" TargetMode="External"/><Relationship Id="rId495" Type="http://schemas.openxmlformats.org/officeDocument/2006/relationships/hyperlink" Target="https://rennamedia.com/wp-content/uploads/2023/08/SummitSep2023.pdf" TargetMode="External"/><Relationship Id="rId496" Type="http://schemas.openxmlformats.org/officeDocument/2006/relationships/hyperlink" Target="https://rennamedia.com/wp-content/uploads/2023/08/WarrenSep2023.pdf" TargetMode="External"/><Relationship Id="rId497" Type="http://schemas.openxmlformats.org/officeDocument/2006/relationships/hyperlink" Target="https://rennamedia.com/wp-content/uploads/2023/08/WatchungSep2023.pdf" TargetMode="External"/><Relationship Id="rId498" Type="http://schemas.openxmlformats.org/officeDocument/2006/relationships/hyperlink" Target="https://rennamedia.com/wp-content/uploads/2023/08/WestfieldSep2023.pdf" TargetMode="External"/><Relationship Id="rId499" Type="http://schemas.openxmlformats.org/officeDocument/2006/relationships/hyperlink" Target="https://rennamedia.com/wp-content/uploads/2023/10/BerkeleyHeightsOct2023.pdf" TargetMode="External"/><Relationship Id="rId500" Type="http://schemas.openxmlformats.org/officeDocument/2006/relationships/hyperlink" Target="https://rennamedia.com/wp-content/uploads/2023/09/ClarkOct2023.pdf" TargetMode="External"/><Relationship Id="rId501" Type="http://schemas.openxmlformats.org/officeDocument/2006/relationships/hyperlink" Target="https://rennamedia.com/wp-content/uploads/2023/09/ChathamsOct2023.pdf" TargetMode="External"/><Relationship Id="rId502" Type="http://schemas.openxmlformats.org/officeDocument/2006/relationships/hyperlink" Target="https://rennamedia.com/wp-content/uploads/2023/09/CranfordOct2023.pdf" TargetMode="External"/><Relationship Id="rId503" Type="http://schemas.openxmlformats.org/officeDocument/2006/relationships/hyperlink" Target="https://rennamedia.com/wp-content/uploads/2023/09/ElmoraHillsMonthlyOct2023.pdf" TargetMode="External"/><Relationship Id="rId504" Type="http://schemas.openxmlformats.org/officeDocument/2006/relationships/hyperlink" Target="https://rennamedia.com/wp-content/uploads/2023/09/FanwoodOct2023.pdf" TargetMode="External"/><Relationship Id="rId505" Type="http://schemas.openxmlformats.org/officeDocument/2006/relationships/hyperlink" Target="https://rennamedia.com/wp-content/uploads/2023/09/FlorhamParkMonthlyOct2023.pdf" TargetMode="External"/><Relationship Id="rId506" Type="http://schemas.openxmlformats.org/officeDocument/2006/relationships/hyperlink" Target="https://rennamedia.com/wp-content/uploads/2023/09/GarwoodOct2023.pdf" TargetMode="External"/><Relationship Id="rId507" Type="http://schemas.openxmlformats.org/officeDocument/2006/relationships/hyperlink" Target="https://rennamedia.com/wp-content/uploads/2023/09/GreenBrookOct2023.pdf" TargetMode="External"/><Relationship Id="rId508" Type="http://schemas.openxmlformats.org/officeDocument/2006/relationships/hyperlink" Target="https://rennamedia.com/wp-content/uploads/2023/09/KenilworthOct2023.pdf" TargetMode="External"/><Relationship Id="rId509" Type="http://schemas.openxmlformats.org/officeDocument/2006/relationships/hyperlink" Target="https://rennamedia.com/wp-content/uploads/2023/09/LindenOct2023.pdf" TargetMode="External"/><Relationship Id="rId510" Type="http://schemas.openxmlformats.org/officeDocument/2006/relationships/hyperlink" Target="https://rennamedia.com/wp-content/uploads/2023/09/LongHillOct2023.pdf" TargetMode="External"/><Relationship Id="rId511" Type="http://schemas.openxmlformats.org/officeDocument/2006/relationships/hyperlink" Target="https://rennamedia.com/wp-content/uploads/2023/09/MadisonOct2023.pdf" TargetMode="External"/><Relationship Id="rId512" Type="http://schemas.openxmlformats.org/officeDocument/2006/relationships/hyperlink" Target="https://rennamedia.com/wp-content/uploads/2023/09/MillburnShortHillsOct2023.pdf" TargetMode="External"/><Relationship Id="rId513" Type="http://schemas.openxmlformats.org/officeDocument/2006/relationships/hyperlink" Target="https://rennamedia.com/wp-content/uploads/2023/09/MountainsideOct2023.pdf" TargetMode="External"/><Relationship Id="rId514" Type="http://schemas.openxmlformats.org/officeDocument/2006/relationships/hyperlink" Target="https://rennamedia.com/wp-content/uploads/2023/10/NewProvidenceOct2023.pdf" TargetMode="External"/><Relationship Id="rId515" Type="http://schemas.openxmlformats.org/officeDocument/2006/relationships/hyperlink" Target="https://rennamedia.com/wp-content/uploads/2023/09/RahwayOct2023.pdf" TargetMode="External"/><Relationship Id="rId516" Type="http://schemas.openxmlformats.org/officeDocument/2006/relationships/hyperlink" Target="https://rennamedia.com/wp-content/uploads/2023/09/RoselleParkOct2023.pdf" TargetMode="External"/><Relationship Id="rId517" Type="http://schemas.openxmlformats.org/officeDocument/2006/relationships/hyperlink" Target="https://rennamedia.com/wp-content/uploads/2023/09/ScotchPlainsOct2023.pdf" TargetMode="External"/><Relationship Id="rId518" Type="http://schemas.openxmlformats.org/officeDocument/2006/relationships/hyperlink" Target="https://rennamedia.com/wp-content/uploads/2023/09/UnionOct2023.pdf" TargetMode="External"/><Relationship Id="rId519" Type="http://schemas.openxmlformats.org/officeDocument/2006/relationships/hyperlink" Target="https://rennamedia.com/wp-content/uploads/2023/09/SummitOct2023.pdf" TargetMode="External"/><Relationship Id="rId520" Type="http://schemas.openxmlformats.org/officeDocument/2006/relationships/hyperlink" Target="https://rennamedia.com/wp-content/uploads/2023/09/WarrenOct2023.pdf" TargetMode="External"/><Relationship Id="rId521" Type="http://schemas.openxmlformats.org/officeDocument/2006/relationships/hyperlink" Target="https://rennamedia.com/wp-content/uploads/2023/09/WatchungOct2023.pdf" TargetMode="External"/><Relationship Id="rId522" Type="http://schemas.openxmlformats.org/officeDocument/2006/relationships/hyperlink" Target="https://rennamedia.com/wp-content/uploads/2023/10/WestfieldOct2023.pdf" TargetMode="External"/><Relationship Id="rId523" Type="http://schemas.openxmlformats.org/officeDocument/2006/relationships/hyperlink" Target="https://rennamedia.com/wp-content/uploads/2023/10/BerkeleyHeightsNov2023.pdf" TargetMode="External"/><Relationship Id="rId524" Type="http://schemas.openxmlformats.org/officeDocument/2006/relationships/hyperlink" Target="https://rennamedia.com/wp-content/uploads/2023/10/ClarkNov2023.pdf" TargetMode="External"/><Relationship Id="rId525" Type="http://schemas.openxmlformats.org/officeDocument/2006/relationships/hyperlink" Target="https://rennamedia.com/wp-content/uploads/2023/10/ChathamsNov2023.pdf" TargetMode="External"/><Relationship Id="rId526" Type="http://schemas.openxmlformats.org/officeDocument/2006/relationships/hyperlink" Target="https://rennamedia.com/wp-content/uploads/2023/10/CranfordNov2023.pdf" TargetMode="External"/><Relationship Id="rId527" Type="http://schemas.openxmlformats.org/officeDocument/2006/relationships/hyperlink" Target="https://rennamedia.com/wp-content/uploads/2023/10/ElmoraHillsMonthlyNov2023.pdf" TargetMode="External"/><Relationship Id="rId528" Type="http://schemas.openxmlformats.org/officeDocument/2006/relationships/hyperlink" Target="https://rennamedia.com/wp-content/uploads/2023/10/FanwoodNov2023.pdf" TargetMode="External"/><Relationship Id="rId529" Type="http://schemas.openxmlformats.org/officeDocument/2006/relationships/hyperlink" Target="https://rennamedia.com/wp-content/uploads/2023/10/FlorhamParkMonthlyNov2023.pdf" TargetMode="External"/><Relationship Id="rId530" Type="http://schemas.openxmlformats.org/officeDocument/2006/relationships/hyperlink" Target="https://rennamedia.com/wp-content/uploads/2023/10/GarwoodNov2023.pdf" TargetMode="External"/><Relationship Id="rId531" Type="http://schemas.openxmlformats.org/officeDocument/2006/relationships/hyperlink" Target="https://rennamedia.com/wp-content/uploads/2023/10/GreenBrookNov2023.pdf" TargetMode="External"/><Relationship Id="rId532" Type="http://schemas.openxmlformats.org/officeDocument/2006/relationships/hyperlink" Target="https://rennamedia.com/wp-content/uploads/2023/10/KenilworthNov2023.pdf" TargetMode="External"/><Relationship Id="rId533" Type="http://schemas.openxmlformats.org/officeDocument/2006/relationships/hyperlink" Target="https://rennamedia.com/wp-content/uploads/2023/10/LindenNov2023.pdf" TargetMode="External"/><Relationship Id="rId534" Type="http://schemas.openxmlformats.org/officeDocument/2006/relationships/hyperlink" Target="https://rennamedia.com/wp-content/uploads/2023/10/LongHillNov2023.pdf" TargetMode="External"/><Relationship Id="rId535" Type="http://schemas.openxmlformats.org/officeDocument/2006/relationships/hyperlink" Target="https://rennamedia.com/wp-content/uploads/2023/10/MadisonNov2023.pdf" TargetMode="External"/><Relationship Id="rId536" Type="http://schemas.openxmlformats.org/officeDocument/2006/relationships/hyperlink" Target="https://rennamedia.com/wp-content/uploads/2023/10/MillburnShortHillsNov2023.pdf" TargetMode="External"/><Relationship Id="rId537" Type="http://schemas.openxmlformats.org/officeDocument/2006/relationships/hyperlink" Target="https://rennamedia.com/wp-content/uploads/2023/10/MountainsideNov2023.pdf" TargetMode="External"/><Relationship Id="rId538" Type="http://schemas.openxmlformats.org/officeDocument/2006/relationships/hyperlink" Target="https://rennamedia.com/wp-content/uploads/2023/10/NewProvidenceNov2023.pdf" TargetMode="External"/><Relationship Id="rId539" Type="http://schemas.openxmlformats.org/officeDocument/2006/relationships/hyperlink" Target="https://rennamedia.com/wp-content/uploads/2023/10/RahwayNov2023.pdf" TargetMode="External"/><Relationship Id="rId540" Type="http://schemas.openxmlformats.org/officeDocument/2006/relationships/hyperlink" Target="https://rennamedia.com/wp-content/uploads/2023/10/RoselleParkNov2023.pdf" TargetMode="External"/><Relationship Id="rId541" Type="http://schemas.openxmlformats.org/officeDocument/2006/relationships/hyperlink" Target="https://rennamedia.com/wp-content/uploads/2023/10/ScotchPlainsNov2023.pdf" TargetMode="External"/><Relationship Id="rId542" Type="http://schemas.openxmlformats.org/officeDocument/2006/relationships/hyperlink" Target="https://rennamedia.com/wp-content/uploads/2023/10/UnionNov2023.pdf" TargetMode="External"/><Relationship Id="rId543" Type="http://schemas.openxmlformats.org/officeDocument/2006/relationships/hyperlink" Target="https://rennamedia.com/wp-content/uploads/2023/10/SummitNov2023.pdf" TargetMode="External"/><Relationship Id="rId544" Type="http://schemas.openxmlformats.org/officeDocument/2006/relationships/hyperlink" Target="https://rennamedia.com/wp-content/uploads/2023/10/WarrenNov2023.pdf" TargetMode="External"/><Relationship Id="rId545" Type="http://schemas.openxmlformats.org/officeDocument/2006/relationships/hyperlink" Target="https://rennamedia.com/wp-content/uploads/2023/10/WatchungNov2023.pdf" TargetMode="External"/><Relationship Id="rId546" Type="http://schemas.openxmlformats.org/officeDocument/2006/relationships/hyperlink" Target="https://rennamedia.com/wp-content/uploads/2023/10/WestfieldNov2023.pdf" TargetMode="External"/><Relationship Id="rId547" Type="http://schemas.openxmlformats.org/officeDocument/2006/relationships/hyperlink" Target="https://rennamedia.com/wp-content/uploads/2023/11/BerkeleyHeightsDec2023.pdf" TargetMode="External"/><Relationship Id="rId548" Type="http://schemas.openxmlformats.org/officeDocument/2006/relationships/hyperlink" Target="https://rennamedia.com/wp-content/uploads/2023/11/ClarkDec2023.pdf" TargetMode="External"/><Relationship Id="rId549" Type="http://schemas.openxmlformats.org/officeDocument/2006/relationships/hyperlink" Target="https://rennamedia.com/wp-content/uploads/2023/11/ChathamsDec2023.pdf" TargetMode="External"/><Relationship Id="rId550" Type="http://schemas.openxmlformats.org/officeDocument/2006/relationships/hyperlink" Target="https://rennamedia.com/wp-content/uploads/2023/11/CranfordDec2023.pdf" TargetMode="External"/><Relationship Id="rId551" Type="http://schemas.openxmlformats.org/officeDocument/2006/relationships/hyperlink" Target="https://rennamedia.com/wp-content/uploads/2023/11/ElmoraHillsMonthlyDec2023.pdf" TargetMode="External"/><Relationship Id="rId552" Type="http://schemas.openxmlformats.org/officeDocument/2006/relationships/hyperlink" Target="https://rennamedia.com/wp-content/uploads/2023/11/FanwoodDec2023.pdf" TargetMode="External"/><Relationship Id="rId553" Type="http://schemas.openxmlformats.org/officeDocument/2006/relationships/hyperlink" Target="https://rennamedia.com/wp-content/uploads/2023/11/FlorhamParkMonthlyDec2023.pdf" TargetMode="External"/><Relationship Id="rId554" Type="http://schemas.openxmlformats.org/officeDocument/2006/relationships/hyperlink" Target="https://rennamedia.com/wp-content/uploads/2023/11/GarwoodDec2023.pdf" TargetMode="External"/><Relationship Id="rId555" Type="http://schemas.openxmlformats.org/officeDocument/2006/relationships/hyperlink" Target="https://rennamedia.com/wp-content/uploads/2023/11/GreenBrookDec2023.pdf" TargetMode="External"/><Relationship Id="rId556" Type="http://schemas.openxmlformats.org/officeDocument/2006/relationships/hyperlink" Target="https://rennamedia.com/wp-content/uploads/2023/11/KenilworthDec2023.pdf" TargetMode="External"/><Relationship Id="rId557" Type="http://schemas.openxmlformats.org/officeDocument/2006/relationships/hyperlink" Target="https://rennamedia.com/wp-content/uploads/2023/11/LindenDec2023.pdf" TargetMode="External"/><Relationship Id="rId558" Type="http://schemas.openxmlformats.org/officeDocument/2006/relationships/hyperlink" Target="https://rennamedia.com/wp-content/uploads/2023/11/LongHillDec2023.pdf" TargetMode="External"/><Relationship Id="rId559" Type="http://schemas.openxmlformats.org/officeDocument/2006/relationships/hyperlink" Target="https://rennamedia.com/wp-content/uploads/2023/11/MadisonDec2023.pdf" TargetMode="External"/><Relationship Id="rId560" Type="http://schemas.openxmlformats.org/officeDocument/2006/relationships/hyperlink" Target="https://rennamedia.com/wp-content/uploads/2023/11/MillburnShortHillsDec2023.pdf" TargetMode="External"/><Relationship Id="rId561" Type="http://schemas.openxmlformats.org/officeDocument/2006/relationships/hyperlink" Target="https://rennamedia.com/wp-content/uploads/2023/11/MountainsideDec2023.pdf" TargetMode="External"/><Relationship Id="rId562" Type="http://schemas.openxmlformats.org/officeDocument/2006/relationships/hyperlink" Target="https://rennamedia.com/wp-content/uploads/2023/11/NewProvidenceDec2023.pdf" TargetMode="External"/><Relationship Id="rId563" Type="http://schemas.openxmlformats.org/officeDocument/2006/relationships/hyperlink" Target="https://rennamedia.com/wp-content/uploads/2023/11/RahwayDec2023.pdf" TargetMode="External"/><Relationship Id="rId564" Type="http://schemas.openxmlformats.org/officeDocument/2006/relationships/hyperlink" Target="https://rennamedia.com/wp-content/uploads/2023/11/RoselleParkDec2023.pdf" TargetMode="External"/><Relationship Id="rId565" Type="http://schemas.openxmlformats.org/officeDocument/2006/relationships/hyperlink" Target="https://rennamedia.com/wp-content/uploads/2023/11/ScotchPlainsDec2023.pdf" TargetMode="External"/><Relationship Id="rId566" Type="http://schemas.openxmlformats.org/officeDocument/2006/relationships/hyperlink" Target="https://rennamedia.com/wp-content/uploads/2023/11/UnionDec2023.pdf" TargetMode="External"/><Relationship Id="rId567" Type="http://schemas.openxmlformats.org/officeDocument/2006/relationships/hyperlink" Target="https://rennamedia.com/wp-content/uploads/2023/11/SummitDec2023.pdf" TargetMode="External"/><Relationship Id="rId568" Type="http://schemas.openxmlformats.org/officeDocument/2006/relationships/hyperlink" Target="https://rennamedia.com/wp-content/uploads/2023/11/WarrenDec2023.pdf" TargetMode="External"/><Relationship Id="rId569" Type="http://schemas.openxmlformats.org/officeDocument/2006/relationships/hyperlink" Target="https://rennamedia.com/wp-content/uploads/2023/11/WatchungDec2023.pdf" TargetMode="External"/><Relationship Id="rId570" Type="http://schemas.openxmlformats.org/officeDocument/2006/relationships/hyperlink" Target="https://rennamedia.com/wp-content/uploads/2023/11/WestfieldDec2023.pdf" TargetMode="External"/><Relationship Id="rId571" Type="http://schemas.openxmlformats.org/officeDocument/2006/relationships/hyperlink" Target="https://rennamedia.com/wp-content/uploads/2023/12/BerkeleyHeightsJan2024.pdf" TargetMode="External"/><Relationship Id="rId572" Type="http://schemas.openxmlformats.org/officeDocument/2006/relationships/hyperlink" Target="https://rennamedia.com/wp-content/uploads/2023/12/ClarkJan2024.pdf" TargetMode="External"/><Relationship Id="rId573" Type="http://schemas.openxmlformats.org/officeDocument/2006/relationships/hyperlink" Target="https://rennamedia.com/wp-content/uploads/2023/12/ChathamsJan2024.pdf" TargetMode="External"/><Relationship Id="rId574" Type="http://schemas.openxmlformats.org/officeDocument/2006/relationships/hyperlink" Target="https://rennamedia.com/wp-content/uploads/2023/12/CranfordJan2024.pdf" TargetMode="External"/><Relationship Id="rId575" Type="http://schemas.openxmlformats.org/officeDocument/2006/relationships/hyperlink" Target="https://rennamedia.com/wp-content/uploads/2023/12/ElmoraHillsMonthlyJan2024.pdf" TargetMode="External"/><Relationship Id="rId576" Type="http://schemas.openxmlformats.org/officeDocument/2006/relationships/hyperlink" Target="https://rennamedia.com/wp-content/uploads/2023/12/FanwoodJan2024.pdf" TargetMode="External"/><Relationship Id="rId577" Type="http://schemas.openxmlformats.org/officeDocument/2006/relationships/hyperlink" Target="https://rennamedia.com/wp-content/uploads/2023/12/FlorhamParkMonthlyJan2024.pdf" TargetMode="External"/><Relationship Id="rId578" Type="http://schemas.openxmlformats.org/officeDocument/2006/relationships/hyperlink" Target="https://rennamedia.com/wp-content/uploads/2023/12/GarwoodJan2024.pdf" TargetMode="External"/><Relationship Id="rId579" Type="http://schemas.openxmlformats.org/officeDocument/2006/relationships/hyperlink" Target="https://rennamedia.com/wp-content/uploads/2023/12/GreenBrookJan2024.pdf" TargetMode="External"/><Relationship Id="rId580" Type="http://schemas.openxmlformats.org/officeDocument/2006/relationships/hyperlink" Target="https://rennamedia.com/wp-content/uploads/2023/12/KenilworthJan2024.pdf" TargetMode="External"/><Relationship Id="rId581" Type="http://schemas.openxmlformats.org/officeDocument/2006/relationships/hyperlink" Target="https://rennamedia.com/wp-content/uploads/2023/12/LindenJan2024.pdf" TargetMode="External"/><Relationship Id="rId582" Type="http://schemas.openxmlformats.org/officeDocument/2006/relationships/hyperlink" Target="https://rennamedia.com/wp-content/uploads/2023/12/LongHillJan2024.pdf" TargetMode="External"/><Relationship Id="rId583" Type="http://schemas.openxmlformats.org/officeDocument/2006/relationships/hyperlink" Target="https://rennamedia.com/wp-content/uploads/2023/12/MadisonJan2024.pdf" TargetMode="External"/><Relationship Id="rId584" Type="http://schemas.openxmlformats.org/officeDocument/2006/relationships/hyperlink" Target="https://rennamedia.com/wp-content/uploads/2023/12/MillburnShortHillsJan2024.pdf" TargetMode="External"/><Relationship Id="rId585" Type="http://schemas.openxmlformats.org/officeDocument/2006/relationships/hyperlink" Target="https://rennamedia.com/wp-content/uploads/2023/12/MountainsideJan2024.pdf" TargetMode="External"/><Relationship Id="rId586" Type="http://schemas.openxmlformats.org/officeDocument/2006/relationships/hyperlink" Target="https://rennamedia.com/wp-content/uploads/2023/12/NewProvidenceJan2024.pdf" TargetMode="External"/><Relationship Id="rId587" Type="http://schemas.openxmlformats.org/officeDocument/2006/relationships/hyperlink" Target="https://rennamedia.com/wp-content/uploads/2023/12/RahwayJan2024.pdf" TargetMode="External"/><Relationship Id="rId588" Type="http://schemas.openxmlformats.org/officeDocument/2006/relationships/hyperlink" Target="https://rennamedia.com/wp-content/uploads/2023/12/RoselleParkJan2024.pdf" TargetMode="External"/><Relationship Id="rId589" Type="http://schemas.openxmlformats.org/officeDocument/2006/relationships/hyperlink" Target="https://rennamedia.com/wp-content/uploads/2023/12/ScotchPlainsJan2024.pdf" TargetMode="External"/><Relationship Id="rId590" Type="http://schemas.openxmlformats.org/officeDocument/2006/relationships/hyperlink" Target="https://rennamedia.com/wp-content/uploads/2023/12/UnionJan2024.pdf" TargetMode="External"/><Relationship Id="rId591" Type="http://schemas.openxmlformats.org/officeDocument/2006/relationships/hyperlink" Target="https://rennamedia.com/wp-content/uploads/2023/12/SummitJan2024.pdf" TargetMode="External"/><Relationship Id="rId592" Type="http://schemas.openxmlformats.org/officeDocument/2006/relationships/hyperlink" Target="https://rennamedia.com/wp-content/uploads/2023/12/WarrenJan2024.pdf" TargetMode="External"/><Relationship Id="rId593" Type="http://schemas.openxmlformats.org/officeDocument/2006/relationships/hyperlink" Target="https://rennamedia.com/wp-content/uploads/2023/12/WatchungJan2024.pdf" TargetMode="External"/><Relationship Id="rId594" Type="http://schemas.openxmlformats.org/officeDocument/2006/relationships/hyperlink" Target="https://rennamedia.com/wp-content/uploads/2023/12/WestfieldJan2024.pdf" TargetMode="External"/><Relationship Id="rId595" Type="http://schemas.openxmlformats.org/officeDocument/2006/relationships/hyperlink" Target="https://rennamedia.com/wp-content/uploads/2024/01/BerkeleyHeightsFeb2024.pdf" TargetMode="External"/><Relationship Id="rId596" Type="http://schemas.openxmlformats.org/officeDocument/2006/relationships/hyperlink" Target="https://rennamedia.com/wp-content/uploads/2024/01/ClarkFeb2024.pdf" TargetMode="External"/><Relationship Id="rId597" Type="http://schemas.openxmlformats.org/officeDocument/2006/relationships/hyperlink" Target="https://rennamedia.com/wp-content/uploads/2024/01/ChathamsFeb2024.pdf" TargetMode="External"/><Relationship Id="rId598" Type="http://schemas.openxmlformats.org/officeDocument/2006/relationships/hyperlink" Target="https://rennamedia.com/wp-content/uploads/2024/01/CranfordFeb2024.pdf" TargetMode="External"/><Relationship Id="rId599" Type="http://schemas.openxmlformats.org/officeDocument/2006/relationships/hyperlink" Target="https://rennamedia.com/wp-content/uploads/2024/01/ElmoraHillsMonthlyFeb2024.pdf" TargetMode="External"/><Relationship Id="rId600" Type="http://schemas.openxmlformats.org/officeDocument/2006/relationships/hyperlink" Target="https://rennamedia.com/wp-content/uploads/2024/01/FanwoodFeb2024.pdf" TargetMode="External"/><Relationship Id="rId601" Type="http://schemas.openxmlformats.org/officeDocument/2006/relationships/hyperlink" Target="https://rennamedia.com/wp-content/uploads/2024/01/FlorhamParkMonthlyFeb2024.pdf" TargetMode="External"/><Relationship Id="rId602" Type="http://schemas.openxmlformats.org/officeDocument/2006/relationships/hyperlink" Target="https://rennamedia.com/wp-content/uploads/2024/01/GarwoodFeb2024.pdf" TargetMode="External"/><Relationship Id="rId603" Type="http://schemas.openxmlformats.org/officeDocument/2006/relationships/hyperlink" Target="https://rennamedia.com/wp-content/uploads/2024/01/GreenBrookFeb2024.pdf" TargetMode="External"/><Relationship Id="rId604" Type="http://schemas.openxmlformats.org/officeDocument/2006/relationships/hyperlink" Target="https://rennamedia.com/wp-content/uploads/2024/01/KenilworthFeb2024proof.pdf" TargetMode="External"/><Relationship Id="rId605" Type="http://schemas.openxmlformats.org/officeDocument/2006/relationships/hyperlink" Target="https://rennamedia.com/wp-content/uploads/2024/01/LindenFeb2024.pdf" TargetMode="External"/><Relationship Id="rId606" Type="http://schemas.openxmlformats.org/officeDocument/2006/relationships/hyperlink" Target="https://rennamedia.com/wp-content/uploads/2024/01/LongHillFeb2024.pdf" TargetMode="External"/><Relationship Id="rId607" Type="http://schemas.openxmlformats.org/officeDocument/2006/relationships/hyperlink" Target="https://rennamedia.com/wp-content/uploads/2024/01/MadisonFeb2024.pdf" TargetMode="External"/><Relationship Id="rId608" Type="http://schemas.openxmlformats.org/officeDocument/2006/relationships/hyperlink" Target="https://rennamedia.com/wp-content/uploads/2024/01/MillburnShortHillsFeb2024.pdf" TargetMode="External"/><Relationship Id="rId609" Type="http://schemas.openxmlformats.org/officeDocument/2006/relationships/hyperlink" Target="https://rennamedia.com/wp-content/uploads/2024/01/MountainsideFeb2024.pdf" TargetMode="External"/><Relationship Id="rId610" Type="http://schemas.openxmlformats.org/officeDocument/2006/relationships/hyperlink" Target="https://rennamedia.com/wp-content/uploads/2024/01/NewProvidenceFeb2024.pdf" TargetMode="External"/><Relationship Id="rId611" Type="http://schemas.openxmlformats.org/officeDocument/2006/relationships/hyperlink" Target="https://rennamedia.com/wp-content/uploads/2024/02/RahwayFeb2024.pdf" TargetMode="External"/><Relationship Id="rId612" Type="http://schemas.openxmlformats.org/officeDocument/2006/relationships/hyperlink" Target="https://rennamedia.com/wp-content/uploads/2024/01/RoselleParkFeb2024.pdf" TargetMode="External"/><Relationship Id="rId613" Type="http://schemas.openxmlformats.org/officeDocument/2006/relationships/hyperlink" Target="https://rennamedia.com/wp-content/uploads/2024/01/ScotchPlainsFeb2024.pdf" TargetMode="External"/><Relationship Id="rId614" Type="http://schemas.openxmlformats.org/officeDocument/2006/relationships/hyperlink" Target="https://rennamedia.com/wp-content/uploads/2024/01/UnionFeb2024.pdf" TargetMode="External"/><Relationship Id="rId615" Type="http://schemas.openxmlformats.org/officeDocument/2006/relationships/hyperlink" Target="https://rennamedia.com/wp-content/uploads/2024/01/SummitFeb2024.pdf" TargetMode="External"/><Relationship Id="rId616" Type="http://schemas.openxmlformats.org/officeDocument/2006/relationships/hyperlink" Target="https://rennamedia.com/wp-content/uploads/2024/01/WarrenFeb2024.pdf" TargetMode="External"/><Relationship Id="rId617" Type="http://schemas.openxmlformats.org/officeDocument/2006/relationships/hyperlink" Target="https://rennamedia.com/wp-content/uploads/2024/01/WatchungFeb2024.pdf" TargetMode="External"/><Relationship Id="rId618" Type="http://schemas.openxmlformats.org/officeDocument/2006/relationships/hyperlink" Target="https://rennamedia.com/wp-content/uploads/2024/01/WestfieldFeb2024.pdf" TargetMode="External"/><Relationship Id="rId619" Type="http://schemas.openxmlformats.org/officeDocument/2006/relationships/hyperlink" Target="https://rennamedia.com/wp-content/uploads/2024/02/BerkeleyHeightsMar2024.pdf" TargetMode="External"/><Relationship Id="rId620" Type="http://schemas.openxmlformats.org/officeDocument/2006/relationships/hyperlink" Target="https://rennamedia.com/wp-content/uploads/2024/02/ClarkMar2024.pdf" TargetMode="External"/><Relationship Id="rId621" Type="http://schemas.openxmlformats.org/officeDocument/2006/relationships/hyperlink" Target="https://rennamedia.com/wp-content/uploads/2024/02/ChathamsMar2024.pdf" TargetMode="External"/><Relationship Id="rId622" Type="http://schemas.openxmlformats.org/officeDocument/2006/relationships/hyperlink" Target="https://rennamedia.com/wp-content/uploads/2024/02/CranfordMar2024.pdf" TargetMode="External"/><Relationship Id="rId623" Type="http://schemas.openxmlformats.org/officeDocument/2006/relationships/hyperlink" Target="https://rennamedia.com/wp-content/uploads/2024/02/ElmoraHillsMonthlyMar2024.pdf" TargetMode="External"/><Relationship Id="rId624" Type="http://schemas.openxmlformats.org/officeDocument/2006/relationships/hyperlink" Target="https://rennamedia.com/wp-content/uploads/2024/02/FanwoodMar2024.pdf" TargetMode="External"/><Relationship Id="rId625" Type="http://schemas.openxmlformats.org/officeDocument/2006/relationships/hyperlink" Target="https://rennamedia.com/wp-content/uploads/2024/02/FlorhamParkMonthlyMar2024.pdf" TargetMode="External"/><Relationship Id="rId626" Type="http://schemas.openxmlformats.org/officeDocument/2006/relationships/hyperlink" Target="https://rennamedia.com/wp-content/uploads/2024/02/GarwoodMar2024.pdf" TargetMode="External"/><Relationship Id="rId627" Type="http://schemas.openxmlformats.org/officeDocument/2006/relationships/hyperlink" Target="https://rennamedia.com/wp-content/uploads/2024/02/GreenBrookMar2024.pdf" TargetMode="External"/><Relationship Id="rId628" Type="http://schemas.openxmlformats.org/officeDocument/2006/relationships/hyperlink" Target="https://rennamedia.com/wp-content/uploads/2024/02/KenilworthMar2024.pdf" TargetMode="External"/><Relationship Id="rId629" Type="http://schemas.openxmlformats.org/officeDocument/2006/relationships/hyperlink" Target="https://rennamedia.com/wp-content/uploads/2024/02/LindenMar2024.pdf" TargetMode="External"/><Relationship Id="rId630" Type="http://schemas.openxmlformats.org/officeDocument/2006/relationships/hyperlink" Target="https://rennamedia.com/wp-content/uploads/2024/02/LongHillMar2024.pdf" TargetMode="External"/><Relationship Id="rId631" Type="http://schemas.openxmlformats.org/officeDocument/2006/relationships/hyperlink" Target="https://rennamedia.com/wp-content/uploads/2024/02/MadisonMar2024.pdf" TargetMode="External"/><Relationship Id="rId632" Type="http://schemas.openxmlformats.org/officeDocument/2006/relationships/hyperlink" Target="https://rennamedia.com/wp-content/uploads/2024/02/MillburnShortHillsMar2024.pdf" TargetMode="External"/><Relationship Id="rId633" Type="http://schemas.openxmlformats.org/officeDocument/2006/relationships/hyperlink" Target="https://rennamedia.com/wp-content/uploads/2024/02/MountainsideMar2024.pdf" TargetMode="External"/><Relationship Id="rId634" Type="http://schemas.openxmlformats.org/officeDocument/2006/relationships/hyperlink" Target="https://rennamedia.com/wp-content/uploads/2024/02/NewProvidenceMar2024.pdf" TargetMode="External"/><Relationship Id="rId635" Type="http://schemas.openxmlformats.org/officeDocument/2006/relationships/hyperlink" Target="https://rennamedia.com/wp-content/uploads/2024/02/RahwayMar2024.pdf" TargetMode="External"/><Relationship Id="rId636" Type="http://schemas.openxmlformats.org/officeDocument/2006/relationships/hyperlink" Target="https://rennamedia.com/wp-content/uploads/2024/02/RoselleParkMar2024.pdf" TargetMode="External"/><Relationship Id="rId637" Type="http://schemas.openxmlformats.org/officeDocument/2006/relationships/hyperlink" Target="https://rennamedia.com/wp-content/uploads/2024/02/ScotchPlainsMar2024.pdf" TargetMode="External"/><Relationship Id="rId638" Type="http://schemas.openxmlformats.org/officeDocument/2006/relationships/hyperlink" Target="https://rennamedia.com/wp-content/uploads/2024/02/UnionMar2024.pdf" TargetMode="External"/><Relationship Id="rId639" Type="http://schemas.openxmlformats.org/officeDocument/2006/relationships/hyperlink" Target="https://rennamedia.com/wp-content/uploads/2024/02/SummitMar2024.pdf" TargetMode="External"/><Relationship Id="rId640" Type="http://schemas.openxmlformats.org/officeDocument/2006/relationships/hyperlink" Target="https://rennamedia.com/wp-content/uploads/2024/02/WarrenMar2024.pdf" TargetMode="External"/><Relationship Id="rId641" Type="http://schemas.openxmlformats.org/officeDocument/2006/relationships/hyperlink" Target="https://rennamedia.com/wp-content/uploads/2024/02/WatchungMar2024.pdf" TargetMode="External"/><Relationship Id="rId642" Type="http://schemas.openxmlformats.org/officeDocument/2006/relationships/hyperlink" Target="https://rennamedia.com/wp-content/uploads/2024/02/WestfieldMar2024.pdf" TargetMode="External"/><Relationship Id="rId643" Type="http://schemas.openxmlformats.org/officeDocument/2006/relationships/hyperlink" Target="https://rennamedia.com/wp-content/uploads/2024/03/BerkeleyHeightsApr2024.pdf" TargetMode="External"/><Relationship Id="rId644" Type="http://schemas.openxmlformats.org/officeDocument/2006/relationships/hyperlink" Target="https://rennamedia.com/wp-content/uploads/2024/03/ClarkApr2024.pdf" TargetMode="External"/><Relationship Id="rId645" Type="http://schemas.openxmlformats.org/officeDocument/2006/relationships/hyperlink" Target="https://rennamedia.com/wp-content/uploads/2024/03/ChathamsApr2024.pdf" TargetMode="External"/><Relationship Id="rId646" Type="http://schemas.openxmlformats.org/officeDocument/2006/relationships/hyperlink" Target="https://rennamedia.com/wp-content/uploads/2024/03/CranfordApr2024.pdf" TargetMode="External"/><Relationship Id="rId647" Type="http://schemas.openxmlformats.org/officeDocument/2006/relationships/hyperlink" Target="https://rennamedia.com/wp-content/uploads/2024/03/ElmoraHillsMonthlyApr2024.pdf" TargetMode="External"/><Relationship Id="rId648" Type="http://schemas.openxmlformats.org/officeDocument/2006/relationships/hyperlink" Target="https://rennamedia.com/wp-content/uploads/2024/03/FanwoodApr2024.pdf" TargetMode="External"/><Relationship Id="rId649" Type="http://schemas.openxmlformats.org/officeDocument/2006/relationships/hyperlink" Target="https://rennamedia.com/wp-content/uploads/2024/03/FlorhamParkMonthlyApr2024.pdf" TargetMode="External"/><Relationship Id="rId650" Type="http://schemas.openxmlformats.org/officeDocument/2006/relationships/hyperlink" Target="https://rennamedia.com/wp-content/uploads/2024/03/GarwoodApr2024.pdf" TargetMode="External"/><Relationship Id="rId651" Type="http://schemas.openxmlformats.org/officeDocument/2006/relationships/hyperlink" Target="https://rennamedia.com/wp-content/uploads/2024/03/GreenBrookApr2024.pdf" TargetMode="External"/><Relationship Id="rId652" Type="http://schemas.openxmlformats.org/officeDocument/2006/relationships/hyperlink" Target="https://rennamedia.com/wp-content/uploads/2024/03/KenilworthApr2024.pdf" TargetMode="External"/><Relationship Id="rId653" Type="http://schemas.openxmlformats.org/officeDocument/2006/relationships/hyperlink" Target="https://rennamedia.com/wp-content/uploads/2024/03/LindenApr2024.pdf" TargetMode="External"/><Relationship Id="rId654" Type="http://schemas.openxmlformats.org/officeDocument/2006/relationships/hyperlink" Target="https://rennamedia.com/wp-content/uploads/2024/03/LongHillApr2024.pdf" TargetMode="External"/><Relationship Id="rId655" Type="http://schemas.openxmlformats.org/officeDocument/2006/relationships/hyperlink" Target="https://rennamedia.com/wp-content/uploads/2024/03/MadisonApr2024.pdf" TargetMode="External"/><Relationship Id="rId656" Type="http://schemas.openxmlformats.org/officeDocument/2006/relationships/hyperlink" Target="https://rennamedia.com/wp-content/uploads/2024/03/MillburnShortHillsApr2024.pdf" TargetMode="External"/><Relationship Id="rId657" Type="http://schemas.openxmlformats.org/officeDocument/2006/relationships/hyperlink" Target="https://rennamedia.com/wp-content/uploads/2024/03/MountainsideApr2024.pdf" TargetMode="External"/><Relationship Id="rId658" Type="http://schemas.openxmlformats.org/officeDocument/2006/relationships/hyperlink" Target="https://rennamedia.com/wp-content/uploads/2024/03/NewProvidenceApr2024.pdf" TargetMode="External"/><Relationship Id="rId659" Type="http://schemas.openxmlformats.org/officeDocument/2006/relationships/hyperlink" Target="https://rennamedia.com/wp-content/uploads/2024/03/RahwayApr2024.pdf" TargetMode="External"/><Relationship Id="rId660" Type="http://schemas.openxmlformats.org/officeDocument/2006/relationships/hyperlink" Target="https://rennamedia.com/wp-content/uploads/2024/03/RoselleParkApr2024.pdf" TargetMode="External"/><Relationship Id="rId661" Type="http://schemas.openxmlformats.org/officeDocument/2006/relationships/hyperlink" Target="https://rennamedia.com/wp-content/uploads/2024/03/ScotchPlainsApr2024.pdf" TargetMode="External"/><Relationship Id="rId662" Type="http://schemas.openxmlformats.org/officeDocument/2006/relationships/hyperlink" Target="https://rennamedia.com/wp-content/uploads/2024/03/UnionApr2024.pdf" TargetMode="External"/><Relationship Id="rId663" Type="http://schemas.openxmlformats.org/officeDocument/2006/relationships/hyperlink" Target="https://rennamedia.com/wp-content/uploads/2024/03/SummitApr2024.pdf" TargetMode="External"/><Relationship Id="rId664" Type="http://schemas.openxmlformats.org/officeDocument/2006/relationships/hyperlink" Target="https://rennamedia.com/wp-content/uploads/2024/03/WarrenApr2024.pdf" TargetMode="External"/><Relationship Id="rId665" Type="http://schemas.openxmlformats.org/officeDocument/2006/relationships/hyperlink" Target="https://rennamedia.com/wp-content/uploads/2024/03/WatchungApr2024.pdf" TargetMode="External"/><Relationship Id="rId666" Type="http://schemas.openxmlformats.org/officeDocument/2006/relationships/hyperlink" Target="https://rennamedia.com/wp-content/uploads/2024/03/WestfieldApr2024.pdf" TargetMode="External"/><Relationship Id="rId667" Type="http://schemas.openxmlformats.org/officeDocument/2006/relationships/hyperlink" Target="https://rennamedia.com/wp-content/uploads/2024/04/BerkeleyHeightsMay2024.pdf" TargetMode="External"/><Relationship Id="rId668" Type="http://schemas.openxmlformats.org/officeDocument/2006/relationships/hyperlink" Target="https://rennamedia.com/wp-content/uploads/2024/04/ClarkMay2024.pdf" TargetMode="External"/><Relationship Id="rId669" Type="http://schemas.openxmlformats.org/officeDocument/2006/relationships/hyperlink" Target="https://rennamedia.com/wp-content/uploads/2024/04/ChathamsMay2024.pdf" TargetMode="External"/><Relationship Id="rId670" Type="http://schemas.openxmlformats.org/officeDocument/2006/relationships/hyperlink" Target="https://rennamedia.com/wp-content/uploads/2024/04/CranfordMay2024.pdf" TargetMode="External"/><Relationship Id="rId671" Type="http://schemas.openxmlformats.org/officeDocument/2006/relationships/hyperlink" Target="https://rennamedia.com/wp-content/uploads/2024/04/ElmoraHillsMonthlyMay2024.pdf" TargetMode="External"/><Relationship Id="rId672" Type="http://schemas.openxmlformats.org/officeDocument/2006/relationships/hyperlink" Target="https://rennamedia.com/wp-content/uploads/2024/04/FanwoodMay2024.pdf" TargetMode="External"/><Relationship Id="rId673" Type="http://schemas.openxmlformats.org/officeDocument/2006/relationships/hyperlink" Target="https://rennamedia.com/wp-content/uploads/2024/04/FlorhamParkMonthlyMay2024.pdf" TargetMode="External"/><Relationship Id="rId674" Type="http://schemas.openxmlformats.org/officeDocument/2006/relationships/hyperlink" Target="https://rennamedia.com/wp-content/uploads/2024/04/GarwoodMay2024.pdf" TargetMode="External"/><Relationship Id="rId675" Type="http://schemas.openxmlformats.org/officeDocument/2006/relationships/hyperlink" Target="https://rennamedia.com/wp-content/uploads/2024/04/GreenBrookMay2024.pdf" TargetMode="External"/><Relationship Id="rId676" Type="http://schemas.openxmlformats.org/officeDocument/2006/relationships/hyperlink" Target="https://rennamedia.com/wp-content/uploads/2024/04/KenilworthMay2024.pdf" TargetMode="External"/><Relationship Id="rId677" Type="http://schemas.openxmlformats.org/officeDocument/2006/relationships/hyperlink" Target="https://rennamedia.com/wp-content/uploads/2024/04/LindenMay2024.pdf" TargetMode="External"/><Relationship Id="rId678" Type="http://schemas.openxmlformats.org/officeDocument/2006/relationships/hyperlink" Target="https://rennamedia.com/wp-content/uploads/2024/04/LongHillMay2024.pdf" TargetMode="External"/><Relationship Id="rId679" Type="http://schemas.openxmlformats.org/officeDocument/2006/relationships/hyperlink" Target="https://rennamedia.com/wp-content/uploads/2024/04/MadisonMay2024.pdf" TargetMode="External"/><Relationship Id="rId680" Type="http://schemas.openxmlformats.org/officeDocument/2006/relationships/hyperlink" Target="https://rennamedia.com/wp-content/uploads/2024/04/MillburnShortHillsMay2024.pdf" TargetMode="External"/><Relationship Id="rId681" Type="http://schemas.openxmlformats.org/officeDocument/2006/relationships/hyperlink" Target="https://rennamedia.com/wp-content/uploads/2024/04/MountainsideMay2024.pdf" TargetMode="External"/><Relationship Id="rId682" Type="http://schemas.openxmlformats.org/officeDocument/2006/relationships/hyperlink" Target="https://rennamedia.com/wp-content/uploads/2024/04/NewProvidenceMay2024.pdf" TargetMode="External"/><Relationship Id="rId683" Type="http://schemas.openxmlformats.org/officeDocument/2006/relationships/hyperlink" Target="https://rennamedia.com/wp-content/uploads/2024/04/RahwayMay2024.pdf" TargetMode="External"/><Relationship Id="rId684" Type="http://schemas.openxmlformats.org/officeDocument/2006/relationships/hyperlink" Target="https://rennamedia.com/wp-content/uploads/2024/04/RoselleParkMay2024.pdf" TargetMode="External"/><Relationship Id="rId685" Type="http://schemas.openxmlformats.org/officeDocument/2006/relationships/hyperlink" Target="https://rennamedia.com/wp-content/uploads/2024/04/ScotchPlainsMay2024.pdf" TargetMode="External"/><Relationship Id="rId686" Type="http://schemas.openxmlformats.org/officeDocument/2006/relationships/hyperlink" Target="https://rennamedia.com/wp-content/uploads/2024/04/UnionMay2024.pdf" TargetMode="External"/><Relationship Id="rId687" Type="http://schemas.openxmlformats.org/officeDocument/2006/relationships/hyperlink" Target="https://rennamedia.com/wp-content/uploads/2024/04/SummitMay2024.pdf" TargetMode="External"/><Relationship Id="rId688" Type="http://schemas.openxmlformats.org/officeDocument/2006/relationships/hyperlink" Target="https://rennamedia.com/wp-content/uploads/2024/04/WarrenMay2024.pdf" TargetMode="External"/><Relationship Id="rId689" Type="http://schemas.openxmlformats.org/officeDocument/2006/relationships/hyperlink" Target="https://rennamedia.com/wp-content/uploads/2024/04/WatchungMay2024.pdf" TargetMode="External"/><Relationship Id="rId690" Type="http://schemas.openxmlformats.org/officeDocument/2006/relationships/hyperlink" Target="https://rennamedia.com/wp-content/uploads/2024/04/WestfieldMay2024.pdf" TargetMode="External"/><Relationship Id="rId691" Type="http://schemas.openxmlformats.org/officeDocument/2006/relationships/hyperlink" Target="https://rennamedia.com/wp-content/uploads/2024/05/BerkeleyHeightsJune2024.pdf" TargetMode="External"/><Relationship Id="rId692" Type="http://schemas.openxmlformats.org/officeDocument/2006/relationships/hyperlink" Target="https://rennamedia.com/wp-content/uploads/2024/05/ClarkJune2024.pdf" TargetMode="External"/><Relationship Id="rId693" Type="http://schemas.openxmlformats.org/officeDocument/2006/relationships/hyperlink" Target="https://rennamedia.com/wp-content/uploads/2024/05/ChathamsJune2024.pdf" TargetMode="External"/><Relationship Id="rId694" Type="http://schemas.openxmlformats.org/officeDocument/2006/relationships/hyperlink" Target="https://rennamedia.com/wp-content/uploads/2024/05/CranfordJune2024.pdf" TargetMode="External"/><Relationship Id="rId695" Type="http://schemas.openxmlformats.org/officeDocument/2006/relationships/hyperlink" Target="https://rennamedia.com/wp-content/uploads/2024/05/ElmoraHillsMonthlyJune2024.pdf" TargetMode="External"/><Relationship Id="rId696" Type="http://schemas.openxmlformats.org/officeDocument/2006/relationships/hyperlink" Target="https://rennamedia.com/wp-content/uploads/2024/05/FanwoodJune2024.pdf" TargetMode="External"/><Relationship Id="rId697" Type="http://schemas.openxmlformats.org/officeDocument/2006/relationships/hyperlink" Target="https://rennamedia.com/wp-content/uploads/2024/05/FlorhamParkMonthlyJune2024.pdf" TargetMode="External"/><Relationship Id="rId698" Type="http://schemas.openxmlformats.org/officeDocument/2006/relationships/hyperlink" Target="https://rennamedia.com/wp-content/uploads/2024/05/GarwoodJune2024.pdf" TargetMode="External"/><Relationship Id="rId699" Type="http://schemas.openxmlformats.org/officeDocument/2006/relationships/hyperlink" Target="https://rennamedia.com/wp-content/uploads/2024/05/GreenBrookJune2024.pdf" TargetMode="External"/><Relationship Id="rId700" Type="http://schemas.openxmlformats.org/officeDocument/2006/relationships/hyperlink" Target="https://rennamedia.com/wp-content/uploads/2024/05/KenilworthJune2024.pdf" TargetMode="External"/><Relationship Id="rId701" Type="http://schemas.openxmlformats.org/officeDocument/2006/relationships/hyperlink" Target="https://rennamedia.com/wp-content/uploads/2024/05/LindenJune2024.pdf" TargetMode="External"/><Relationship Id="rId702" Type="http://schemas.openxmlformats.org/officeDocument/2006/relationships/hyperlink" Target="https://rennamedia.com/wp-content/uploads/2024/05/LongHillJune2024.pdf" TargetMode="External"/><Relationship Id="rId703" Type="http://schemas.openxmlformats.org/officeDocument/2006/relationships/hyperlink" Target="https://rennamedia.com/wp-content/uploads/2024/05/MadisonJune2024.pdf" TargetMode="External"/><Relationship Id="rId704" Type="http://schemas.openxmlformats.org/officeDocument/2006/relationships/hyperlink" Target="https://rennamedia.com/wp-content/uploads/2024/05/MillburnShortHillsJune2024.pdf" TargetMode="External"/><Relationship Id="rId705" Type="http://schemas.openxmlformats.org/officeDocument/2006/relationships/hyperlink" Target="https://rennamedia.com/wp-content/uploads/2024/05/MountainsideJune2024.pdf" TargetMode="External"/><Relationship Id="rId706" Type="http://schemas.openxmlformats.org/officeDocument/2006/relationships/hyperlink" Target="https://rennamedia.com/wp-content/uploads/2024/05/NewProvidenceJune2024.pdf" TargetMode="External"/><Relationship Id="rId707" Type="http://schemas.openxmlformats.org/officeDocument/2006/relationships/hyperlink" Target="https://rennamedia.com/wp-content/uploads/2024/05/RahwayJune2024.pdf" TargetMode="External"/><Relationship Id="rId708" Type="http://schemas.openxmlformats.org/officeDocument/2006/relationships/hyperlink" Target="https://rennamedia.com/wp-content/uploads/2024/05/RoselleParkJune2024.pdf" TargetMode="External"/><Relationship Id="rId709" Type="http://schemas.openxmlformats.org/officeDocument/2006/relationships/hyperlink" Target="https://rennamedia.com/wp-content/uploads/2024/05/ScotchPlainsJune2024.pdf" TargetMode="External"/><Relationship Id="rId710" Type="http://schemas.openxmlformats.org/officeDocument/2006/relationships/hyperlink" Target="https://rennamedia.com/wp-content/uploads/2024/05/UnionJune2024.pdf" TargetMode="External"/><Relationship Id="rId711" Type="http://schemas.openxmlformats.org/officeDocument/2006/relationships/hyperlink" Target="https://rennamedia.com/wp-content/uploads/2024/05/SummitJune2024.pdf" TargetMode="External"/><Relationship Id="rId712" Type="http://schemas.openxmlformats.org/officeDocument/2006/relationships/hyperlink" Target="https://rennamedia.com/wp-content/uploads/2024/05/WarrenJune2024.pdf" TargetMode="External"/><Relationship Id="rId713" Type="http://schemas.openxmlformats.org/officeDocument/2006/relationships/hyperlink" Target="https://rennamedia.com/wp-content/uploads/2024/05/WatchungJune2024.pdf" TargetMode="External"/><Relationship Id="rId714" Type="http://schemas.openxmlformats.org/officeDocument/2006/relationships/hyperlink" Target="https://rennamedia.com/wp-content/uploads/2024/05/WestfieldJune2024.pdf" TargetMode="External"/><Relationship Id="rId715" Type="http://schemas.openxmlformats.org/officeDocument/2006/relationships/hyperlink" Target="https://rennamedia.com/wp-content/uploads/2024/06/BerkeleyHeightsJuly2024.pdf" TargetMode="External"/><Relationship Id="rId716" Type="http://schemas.openxmlformats.org/officeDocument/2006/relationships/hyperlink" Target="https://rennamedia.com/wp-content/uploads/2024/06/ClarkJuly2024.pdf" TargetMode="External"/><Relationship Id="rId717" Type="http://schemas.openxmlformats.org/officeDocument/2006/relationships/hyperlink" Target="https://rennamedia.com/wp-content/uploads/2024/06/ChathamsJuly2024.pdf" TargetMode="External"/><Relationship Id="rId718" Type="http://schemas.openxmlformats.org/officeDocument/2006/relationships/hyperlink" Target="https://rennamedia.com/wp-content/uploads/2024/06/CranfordJuly2024.pdf" TargetMode="External"/><Relationship Id="rId719" Type="http://schemas.openxmlformats.org/officeDocument/2006/relationships/hyperlink" Target="https://rennamedia.com/wp-content/uploads/2024/06/ElmoraHillsMonthlyJuly2024.pdf" TargetMode="External"/><Relationship Id="rId720" Type="http://schemas.openxmlformats.org/officeDocument/2006/relationships/hyperlink" Target="https://rennamedia.com/wp-content/uploads/2024/06/FanwoodJuly2024.pdf" TargetMode="External"/><Relationship Id="rId721" Type="http://schemas.openxmlformats.org/officeDocument/2006/relationships/hyperlink" Target="https://rennamedia.com/wp-content/uploads/2024/06/FlorhamParkMonthlyJuly2024.pdf" TargetMode="External"/><Relationship Id="rId722" Type="http://schemas.openxmlformats.org/officeDocument/2006/relationships/hyperlink" Target="https://rennamedia.com/wp-content/uploads/2024/06/GarwoodJuly2024.pdf" TargetMode="External"/><Relationship Id="rId723" Type="http://schemas.openxmlformats.org/officeDocument/2006/relationships/hyperlink" Target="https://rennamedia.com/wp-content/uploads/2024/06/GreenBrookJuly2024.pdf" TargetMode="External"/><Relationship Id="rId724" Type="http://schemas.openxmlformats.org/officeDocument/2006/relationships/hyperlink" Target="https://rennamedia.com/wp-content/uploads/2024/06/KenilworthJuly2024.pdf" TargetMode="External"/><Relationship Id="rId725" Type="http://schemas.openxmlformats.org/officeDocument/2006/relationships/hyperlink" Target="https://rennamedia.com/wp-content/uploads/2024/06/LindenJuly2024.pdf" TargetMode="External"/><Relationship Id="rId726" Type="http://schemas.openxmlformats.org/officeDocument/2006/relationships/hyperlink" Target="https://rennamedia.com/wp-content/uploads/2024/06/LongHillJuly2024.pdf" TargetMode="External"/><Relationship Id="rId727" Type="http://schemas.openxmlformats.org/officeDocument/2006/relationships/hyperlink" Target="https://rennamedia.com/wp-content/uploads/2024/06/MadisonJuly2024.pdf" TargetMode="External"/><Relationship Id="rId728" Type="http://schemas.openxmlformats.org/officeDocument/2006/relationships/hyperlink" Target="https://rennamedia.com/wp-content/uploads/2024/06/MillburnShortHillsJuly2024.pdf" TargetMode="External"/><Relationship Id="rId729" Type="http://schemas.openxmlformats.org/officeDocument/2006/relationships/hyperlink" Target="https://rennamedia.com/wp-content/uploads/2024/06/MountainsideJuly2024.pdf" TargetMode="External"/><Relationship Id="rId730" Type="http://schemas.openxmlformats.org/officeDocument/2006/relationships/hyperlink" Target="https://rennamedia.com/wp-content/uploads/2024/06/NewProvidenceJuly2024.pdf" TargetMode="External"/><Relationship Id="rId731" Type="http://schemas.openxmlformats.org/officeDocument/2006/relationships/hyperlink" Target="https://rennamedia.com/wp-content/uploads/2024/06/RahwayJuly2024.pdf" TargetMode="External"/><Relationship Id="rId732" Type="http://schemas.openxmlformats.org/officeDocument/2006/relationships/hyperlink" Target="https://rennamedia.com/wp-content/uploads/2024/06/RoselleParkJuly2024.pdf" TargetMode="External"/><Relationship Id="rId733" Type="http://schemas.openxmlformats.org/officeDocument/2006/relationships/hyperlink" Target="https://rennamedia.com/wp-content/uploads/2024/06/ScotchPlainsJuly2024.pdf" TargetMode="External"/><Relationship Id="rId734" Type="http://schemas.openxmlformats.org/officeDocument/2006/relationships/hyperlink" Target="https://rennamedia.com/wp-content/uploads/2024/06/UnionJuly2024.pdf" TargetMode="External"/><Relationship Id="rId735" Type="http://schemas.openxmlformats.org/officeDocument/2006/relationships/hyperlink" Target="https://rennamedia.com/wp-content/uploads/2024/06/SummitJuly2024.pdf" TargetMode="External"/><Relationship Id="rId736" Type="http://schemas.openxmlformats.org/officeDocument/2006/relationships/hyperlink" Target="https://rennamedia.com/wp-content/uploads/2024/06/WarrenJuly2024.pdf" TargetMode="External"/><Relationship Id="rId737" Type="http://schemas.openxmlformats.org/officeDocument/2006/relationships/hyperlink" Target="https://rennamedia.com/wp-content/uploads/2024/06/WatchungJuly2024.pdf" TargetMode="External"/><Relationship Id="rId738" Type="http://schemas.openxmlformats.org/officeDocument/2006/relationships/hyperlink" Target="https://rennamedia.com/wp-content/uploads/2024/06/WestfieldJuly2024.pdf" TargetMode="External"/><Relationship Id="rId739" Type="http://schemas.openxmlformats.org/officeDocument/2006/relationships/hyperlink" Target="https://rennamedia.com/wp-content/uploads/2024/07/BerkeleyHeightsAugust2024.pdf" TargetMode="External"/><Relationship Id="rId740" Type="http://schemas.openxmlformats.org/officeDocument/2006/relationships/hyperlink" Target="https://rennamedia.com/wp-content/uploads/2024/07/ClarkAugust2024.pdf" TargetMode="External"/><Relationship Id="rId741" Type="http://schemas.openxmlformats.org/officeDocument/2006/relationships/hyperlink" Target="https://rennamedia.com/wp-content/uploads/2024/07/ChathamsAugust2024.pdf" TargetMode="External"/><Relationship Id="rId742" Type="http://schemas.openxmlformats.org/officeDocument/2006/relationships/hyperlink" Target="https://rennamedia.com/wp-content/uploads/2024/07/CranfordAugust2024.pdf" TargetMode="External"/><Relationship Id="rId743" Type="http://schemas.openxmlformats.org/officeDocument/2006/relationships/hyperlink" Target="https://rennamedia.com/wp-content/uploads/2024/07/ElmoraHillsMonthlyAugust2024.pdf" TargetMode="External"/><Relationship Id="rId744" Type="http://schemas.openxmlformats.org/officeDocument/2006/relationships/hyperlink" Target="https://rennamedia.com/wp-content/uploads/2024/07/FanwoodAugust2024.pdf" TargetMode="External"/><Relationship Id="rId745" Type="http://schemas.openxmlformats.org/officeDocument/2006/relationships/hyperlink" Target="https://rennamedia.com/wp-content/uploads/2024/07/FlorhamParkMonthlyAugust2024.pdf" TargetMode="External"/><Relationship Id="rId746" Type="http://schemas.openxmlformats.org/officeDocument/2006/relationships/hyperlink" Target="https://rennamedia.com/wp-content/uploads/2024/07/GarwoodAugust2024.pdf" TargetMode="External"/><Relationship Id="rId747" Type="http://schemas.openxmlformats.org/officeDocument/2006/relationships/hyperlink" Target="https://rennamedia.com/wp-content/uploads/2024/07/GreenBrookAugust2024.pdf" TargetMode="External"/><Relationship Id="rId748" Type="http://schemas.openxmlformats.org/officeDocument/2006/relationships/hyperlink" Target="https://rennamedia.com/wp-content/uploads/2024/07/KenilworthAugust2024.pdf" TargetMode="External"/><Relationship Id="rId749" Type="http://schemas.openxmlformats.org/officeDocument/2006/relationships/hyperlink" Target="https://rennamedia.com/wp-content/uploads/2024/07/LindenAugust2024.pdf" TargetMode="External"/><Relationship Id="rId750" Type="http://schemas.openxmlformats.org/officeDocument/2006/relationships/hyperlink" Target="https://rennamedia.com/wp-content/uploads/2024/07/LongHillAugust2024.pdf" TargetMode="External"/><Relationship Id="rId751" Type="http://schemas.openxmlformats.org/officeDocument/2006/relationships/hyperlink" Target="https://rennamedia.com/wp-content/uploads/2024/07/MadisonAugust2024.pdf" TargetMode="External"/><Relationship Id="rId752" Type="http://schemas.openxmlformats.org/officeDocument/2006/relationships/hyperlink" Target="https://rennamedia.com/wp-content/uploads/2024/07/MillburnShortHillsAugust2024.pdf" TargetMode="External"/><Relationship Id="rId753" Type="http://schemas.openxmlformats.org/officeDocument/2006/relationships/hyperlink" Target="https://rennamedia.com/wp-content/uploads/2024/07/MountainsideAugust2024.pdf" TargetMode="External"/><Relationship Id="rId754" Type="http://schemas.openxmlformats.org/officeDocument/2006/relationships/hyperlink" Target="https://rennamedia.com/wp-content/uploads/2024/07/NewProvidenceAugust2024.pdf" TargetMode="External"/><Relationship Id="rId755" Type="http://schemas.openxmlformats.org/officeDocument/2006/relationships/hyperlink" Target="https://rennamedia.com/wp-content/uploads/2024/07/RahwayAugust2024.pdf" TargetMode="External"/><Relationship Id="rId756" Type="http://schemas.openxmlformats.org/officeDocument/2006/relationships/hyperlink" Target="https://rennamedia.com/wp-content/uploads/2024/07/RoselleParkAugust2024.pdf" TargetMode="External"/><Relationship Id="rId757" Type="http://schemas.openxmlformats.org/officeDocument/2006/relationships/hyperlink" Target="https://rennamedia.com/wp-content/uploads/2024/07/ScotchPlainsAugust2024.pdf" TargetMode="External"/><Relationship Id="rId758" Type="http://schemas.openxmlformats.org/officeDocument/2006/relationships/hyperlink" Target="https://rennamedia.com/wp-content/uploads/2024/07/UnionAugust2024.pdf" TargetMode="External"/><Relationship Id="rId759" Type="http://schemas.openxmlformats.org/officeDocument/2006/relationships/hyperlink" Target="https://rennamedia.com/wp-content/uploads/2024/07/SummitAugust2024.pdf" TargetMode="External"/><Relationship Id="rId760" Type="http://schemas.openxmlformats.org/officeDocument/2006/relationships/hyperlink" Target="https://rennamedia.com/wp-content/uploads/2024/07/WarrenAugust2024.pdf" TargetMode="External"/><Relationship Id="rId761" Type="http://schemas.openxmlformats.org/officeDocument/2006/relationships/hyperlink" Target="https://rennamedia.com/wp-content/uploads/2024/07/WatchungAugust2024.pdf" TargetMode="External"/><Relationship Id="rId762" Type="http://schemas.openxmlformats.org/officeDocument/2006/relationships/hyperlink" Target="https://rennamedia.com/wp-content/uploads/2024/07/WestfieldAugust2024.pdf" TargetMode="External"/><Relationship Id="rId763" Type="http://schemas.openxmlformats.org/officeDocument/2006/relationships/hyperlink" Target="https://rennamedia.com/wp-content/uploads/2024/08/BerkeleyHeightsSeptember2024.pdf" TargetMode="External"/><Relationship Id="rId764" Type="http://schemas.openxmlformats.org/officeDocument/2006/relationships/hyperlink" Target="https://rennamedia.com/wp-content/uploads/2024/08/ClarkSeptember2024.pdf" TargetMode="External"/><Relationship Id="rId765" Type="http://schemas.openxmlformats.org/officeDocument/2006/relationships/hyperlink" Target="https://rennamedia.com/wp-content/uploads/2024/08/ChathamsSeptember2024.pdf" TargetMode="External"/><Relationship Id="rId766" Type="http://schemas.openxmlformats.org/officeDocument/2006/relationships/hyperlink" Target="https://rennamedia.com/wp-content/uploads/2024/08/CranfordSeptember2024.pdf" TargetMode="External"/><Relationship Id="rId767" Type="http://schemas.openxmlformats.org/officeDocument/2006/relationships/hyperlink" Target="https://rennamedia.com/wp-content/uploads/2024/08/ElmoraHillsMonthlySeptember2024.pdf" TargetMode="External"/><Relationship Id="rId768" Type="http://schemas.openxmlformats.org/officeDocument/2006/relationships/hyperlink" Target="https://rennamedia.com/wp-content/uploads/2024/08/FanwoodSeptember2024.pdf" TargetMode="External"/><Relationship Id="rId769" Type="http://schemas.openxmlformats.org/officeDocument/2006/relationships/hyperlink" Target="https://rennamedia.com/wp-content/uploads/2024/08/FlorhamParkMonthlySeptember2024.pdf" TargetMode="External"/><Relationship Id="rId770" Type="http://schemas.openxmlformats.org/officeDocument/2006/relationships/hyperlink" Target="https://rennamedia.com/wp-content/uploads/2024/08/GarwoodSeptember2024.pdf" TargetMode="External"/><Relationship Id="rId771" Type="http://schemas.openxmlformats.org/officeDocument/2006/relationships/hyperlink" Target="https://rennamedia.com/wp-content/uploads/2024/08/GreenBrookSeptember2024.pdf" TargetMode="External"/><Relationship Id="rId772" Type="http://schemas.openxmlformats.org/officeDocument/2006/relationships/hyperlink" Target="https://rennamedia.com/wp-content/uploads/2024/08/KenilworthSeptember2024.pdf" TargetMode="External"/><Relationship Id="rId773" Type="http://schemas.openxmlformats.org/officeDocument/2006/relationships/hyperlink" Target="https://rennamedia.com/wp-content/uploads/2024/08/LindenSeptember2024.pdf" TargetMode="External"/><Relationship Id="rId774" Type="http://schemas.openxmlformats.org/officeDocument/2006/relationships/hyperlink" Target="https://rennamedia.com/wp-content/uploads/2024/08/LongHillSeptember2024.pdf" TargetMode="External"/><Relationship Id="rId775" Type="http://schemas.openxmlformats.org/officeDocument/2006/relationships/hyperlink" Target="https://rennamedia.com/wp-content/uploads/2024/08/MadisonSeptember2024.pdf" TargetMode="External"/><Relationship Id="rId776" Type="http://schemas.openxmlformats.org/officeDocument/2006/relationships/hyperlink" Target="https://rennamedia.com/wp-content/uploads/2024/08/MillburnShortHillsSeptember2024.pdf" TargetMode="External"/><Relationship Id="rId777" Type="http://schemas.openxmlformats.org/officeDocument/2006/relationships/hyperlink" Target="https://rennamedia.com/wp-content/uploads/2024/08/MountainsideSeptember2024.pdf" TargetMode="External"/><Relationship Id="rId778" Type="http://schemas.openxmlformats.org/officeDocument/2006/relationships/hyperlink" Target="https://rennamedia.com/wp-content/uploads/2024/08/NewProvidenceSeptember2024.pdf" TargetMode="External"/><Relationship Id="rId779" Type="http://schemas.openxmlformats.org/officeDocument/2006/relationships/hyperlink" Target="https://rennamedia.com/wp-content/uploads/2024/08/RahwaySeptember2024.pdf" TargetMode="External"/><Relationship Id="rId780" Type="http://schemas.openxmlformats.org/officeDocument/2006/relationships/hyperlink" Target="https://rennamedia.com/wp-content/uploads/2024/08/RoselleParkSeptember2024.pdf" TargetMode="External"/><Relationship Id="rId781" Type="http://schemas.openxmlformats.org/officeDocument/2006/relationships/hyperlink" Target="https://rennamedia.com/wp-content/uploads/2024/08/ScotchPlainsSeptember2024.pdf" TargetMode="External"/><Relationship Id="rId782" Type="http://schemas.openxmlformats.org/officeDocument/2006/relationships/hyperlink" Target="https://rennamedia.com/wp-content/uploads/2024/08/UnionSeptember2024.pdf" TargetMode="External"/><Relationship Id="rId783" Type="http://schemas.openxmlformats.org/officeDocument/2006/relationships/hyperlink" Target="https://rennamedia.com/wp-content/uploads/2024/08/SummitSeptember2024.pdf" TargetMode="External"/><Relationship Id="rId784" Type="http://schemas.openxmlformats.org/officeDocument/2006/relationships/hyperlink" Target="https://rennamedia.com/wp-content/uploads/2024/08/WarrenSeptember2024.pdf" TargetMode="External"/><Relationship Id="rId785" Type="http://schemas.openxmlformats.org/officeDocument/2006/relationships/hyperlink" Target="https://rennamedia.com/wp-content/uploads/2024/08/WatchungSeptember2024.pdf" TargetMode="External"/><Relationship Id="rId786" Type="http://schemas.openxmlformats.org/officeDocument/2006/relationships/hyperlink" Target="https://rennamedia.com/wp-content/uploads/2024/08/WestfieldSeptember2024.pdf" TargetMode="External"/><Relationship Id="rId787" Type="http://schemas.openxmlformats.org/officeDocument/2006/relationships/hyperlink" Target="https://rennamedia.com/wp-content/uploads/2024/09/BerkeleyHeightsOctober2024.pdf" TargetMode="External"/><Relationship Id="rId788" Type="http://schemas.openxmlformats.org/officeDocument/2006/relationships/hyperlink" Target="https://rennamedia.com/wp-content/uploads/2024/09/ClarkOctober2024.pdf" TargetMode="External"/><Relationship Id="rId789" Type="http://schemas.openxmlformats.org/officeDocument/2006/relationships/hyperlink" Target="https://rennamedia.com/wp-content/uploads/2024/09/ChathamsOctober2024.pdf" TargetMode="External"/><Relationship Id="rId790" Type="http://schemas.openxmlformats.org/officeDocument/2006/relationships/hyperlink" Target="https://rennamedia.com/wp-content/uploads/2024/09/CranfordOctober2024.pdf" TargetMode="External"/><Relationship Id="rId791" Type="http://schemas.openxmlformats.org/officeDocument/2006/relationships/hyperlink" Target="https://rennamedia.com/wp-content/uploads/2024/09/ElmoraHillsMonthlyOctober2024.pdf" TargetMode="External"/><Relationship Id="rId792" Type="http://schemas.openxmlformats.org/officeDocument/2006/relationships/hyperlink" Target="https://rennamedia.com/wp-content/uploads/2024/10/FanwoodOctober2024x.pdf" TargetMode="External"/><Relationship Id="rId793" Type="http://schemas.openxmlformats.org/officeDocument/2006/relationships/hyperlink" Target="https://rennamedia.com/wp-content/uploads/2024/09/FlorhamParkMonthlyOctober2024.pdf" TargetMode="External"/><Relationship Id="rId794" Type="http://schemas.openxmlformats.org/officeDocument/2006/relationships/hyperlink" Target="https://rennamedia.com/wp-content/uploads/2024/09/GarwoodOctober2024.pdf" TargetMode="External"/><Relationship Id="rId795" Type="http://schemas.openxmlformats.org/officeDocument/2006/relationships/hyperlink" Target="https://rennamedia.com/wp-content/uploads/2024/09/GreenBrookOctober2024.pdf" TargetMode="External"/><Relationship Id="rId796" Type="http://schemas.openxmlformats.org/officeDocument/2006/relationships/hyperlink" Target="https://rennamedia.com/wp-content/uploads/2024/09/KenilworthOctober2024.pdf" TargetMode="External"/><Relationship Id="rId797" Type="http://schemas.openxmlformats.org/officeDocument/2006/relationships/hyperlink" Target="https://rennamedia.com/wp-content/uploads/2024/09/LindenOctober2024.pdf" TargetMode="External"/><Relationship Id="rId798" Type="http://schemas.openxmlformats.org/officeDocument/2006/relationships/hyperlink" Target="https://rennamedia.com/wp-content/uploads/2024/09/LongHillOctober2024.pdf" TargetMode="External"/><Relationship Id="rId799" Type="http://schemas.openxmlformats.org/officeDocument/2006/relationships/hyperlink" Target="https://rennamedia.com/wp-content/uploads/2024/09/MadisonOctober2024.pdf" TargetMode="External"/><Relationship Id="rId800" Type="http://schemas.openxmlformats.org/officeDocument/2006/relationships/hyperlink" Target="https://rennamedia.com/wp-content/uploads/2024/09/MillburnShortHillsOctober2024.pdf" TargetMode="External"/><Relationship Id="rId801" Type="http://schemas.openxmlformats.org/officeDocument/2006/relationships/hyperlink" Target="https://rennamedia.com/wp-content/uploads/2024/09/MountainsideOctober2024.pdf" TargetMode="External"/><Relationship Id="rId802" Type="http://schemas.openxmlformats.org/officeDocument/2006/relationships/hyperlink" Target="https://rennamedia.com/wp-content/uploads/2024/09/NewProvidenceOctober2024.pdf" TargetMode="External"/><Relationship Id="rId803" Type="http://schemas.openxmlformats.org/officeDocument/2006/relationships/hyperlink" Target="https://rennamedia.com/wp-content/uploads/2024/09/RahwayOctober2024.pdf" TargetMode="External"/><Relationship Id="rId804" Type="http://schemas.openxmlformats.org/officeDocument/2006/relationships/hyperlink" Target="https://rennamedia.com/wp-content/uploads/2024/09/RoselleParkOctober2024.pdf" TargetMode="External"/><Relationship Id="rId805" Type="http://schemas.openxmlformats.org/officeDocument/2006/relationships/hyperlink" Target="https://rennamedia.com/wp-content/uploads/2024/10/ScotchPlainsOctober2024x.pdf" TargetMode="External"/><Relationship Id="rId806" Type="http://schemas.openxmlformats.org/officeDocument/2006/relationships/hyperlink" Target="https://rennamedia.com/wp-content/uploads/2024/09/UnionOctober2024.pdf" TargetMode="External"/><Relationship Id="rId807" Type="http://schemas.openxmlformats.org/officeDocument/2006/relationships/hyperlink" Target="https://rennamedia.com/wp-content/uploads/2024/09/SummitOctober2024.pdf" TargetMode="External"/><Relationship Id="rId808" Type="http://schemas.openxmlformats.org/officeDocument/2006/relationships/hyperlink" Target="https://rennamedia.com/wp-content/uploads/2024/09/WarrenOctober2024.pdf" TargetMode="External"/><Relationship Id="rId809" Type="http://schemas.openxmlformats.org/officeDocument/2006/relationships/hyperlink" Target="https://rennamedia.com/wp-content/uploads/2024/09/WatchungOctober2024.pdf" TargetMode="External"/><Relationship Id="rId810" Type="http://schemas.openxmlformats.org/officeDocument/2006/relationships/hyperlink" Target="https://rennamedia.com/wp-content/uploads/2024/10/WestfieldOctober2024x.pdf" TargetMode="External"/><Relationship Id="rId811" Type="http://schemas.openxmlformats.org/officeDocument/2006/relationships/hyperlink" Target="https://rennamedia.com/wp-content/uploads/2024/10/BerkeleyHeightsNovember2024.pdf" TargetMode="External"/><Relationship Id="rId812" Type="http://schemas.openxmlformats.org/officeDocument/2006/relationships/hyperlink" Target="https://rennamedia.com/wp-content/uploads/2024/10/ClarkNovember2024.pdf" TargetMode="External"/><Relationship Id="rId813" Type="http://schemas.openxmlformats.org/officeDocument/2006/relationships/hyperlink" Target="https://rennamedia.com/wp-content/uploads/2024/10/ChathamsNovember2024.pdf" TargetMode="External"/><Relationship Id="rId814" Type="http://schemas.openxmlformats.org/officeDocument/2006/relationships/hyperlink" Target="https://rennamedia.com/wp-content/uploads/2024/10/CranfordNovember2024.pdf" TargetMode="External"/><Relationship Id="rId815" Type="http://schemas.openxmlformats.org/officeDocument/2006/relationships/hyperlink" Target="https://rennamedia.com/wp-content/uploads/2024/10/ElmoraHillsMonthlyNovember2024.pdf" TargetMode="External"/><Relationship Id="rId816" Type="http://schemas.openxmlformats.org/officeDocument/2006/relationships/hyperlink" Target="https://rennamedia.com/wp-content/uploads/2024/10/FanwoodNovember2024.pdf" TargetMode="External"/><Relationship Id="rId817" Type="http://schemas.openxmlformats.org/officeDocument/2006/relationships/hyperlink" Target="https://rennamedia.com/wp-content/uploads/2024/10/FlorhamParkMonthlyNovember2024.pdf" TargetMode="External"/><Relationship Id="rId818" Type="http://schemas.openxmlformats.org/officeDocument/2006/relationships/hyperlink" Target="https://rennamedia.com/wp-content/uploads/2024/10/GarwoodNovember2024.pdf" TargetMode="External"/><Relationship Id="rId819" Type="http://schemas.openxmlformats.org/officeDocument/2006/relationships/hyperlink" Target="https://rennamedia.com/wp-content/uploads/2024/10/GreenBrookNovember2024.pdf" TargetMode="External"/><Relationship Id="rId820" Type="http://schemas.openxmlformats.org/officeDocument/2006/relationships/hyperlink" Target="https://rennamedia.com/wp-content/uploads/2024/10/KenilworthNovember2024.pdf" TargetMode="External"/><Relationship Id="rId821" Type="http://schemas.openxmlformats.org/officeDocument/2006/relationships/hyperlink" Target="https://rennamedia.com/wp-content/uploads/2024/10/LindenNovember2024.pdf" TargetMode="External"/><Relationship Id="rId822" Type="http://schemas.openxmlformats.org/officeDocument/2006/relationships/hyperlink" Target="https://rennamedia.com/wp-content/uploads/2024/10/MadisonNovember2024.pdf" TargetMode="External"/><Relationship Id="rId823" Type="http://schemas.openxmlformats.org/officeDocument/2006/relationships/hyperlink" Target="https://rennamedia.com/wp-content/uploads/2024/10/MillburnShortHillsNovember2024.pdf" TargetMode="External"/><Relationship Id="rId824" Type="http://schemas.openxmlformats.org/officeDocument/2006/relationships/hyperlink" Target="https://rennamedia.com/wp-content/uploads/2024/10/MountainsideNovember2024.pdf" TargetMode="External"/><Relationship Id="rId825" Type="http://schemas.openxmlformats.org/officeDocument/2006/relationships/hyperlink" Target="https://rennamedia.com/wp-content/uploads/2024/10/NewProvidenceNovember2024.pdf" TargetMode="External"/><Relationship Id="rId826" Type="http://schemas.openxmlformats.org/officeDocument/2006/relationships/hyperlink" Target="https://rennamedia.com/wp-content/uploads/2024/10/RahwayNovember2024.pdf" TargetMode="External"/><Relationship Id="rId827" Type="http://schemas.openxmlformats.org/officeDocument/2006/relationships/hyperlink" Target="https://rennamedia.com/wp-content/uploads/2024/10/RoselleParkNovember2024.pdf" TargetMode="External"/><Relationship Id="rId828" Type="http://schemas.openxmlformats.org/officeDocument/2006/relationships/hyperlink" Target="https://rennamedia.com/wp-content/uploads/2024/10/ScotchPlainsNovember2024.pdf" TargetMode="External"/><Relationship Id="rId829" Type="http://schemas.openxmlformats.org/officeDocument/2006/relationships/hyperlink" Target="https://rennamedia.com/wp-content/uploads/2024/10/UnionNovember2024.pdf" TargetMode="External"/><Relationship Id="rId830" Type="http://schemas.openxmlformats.org/officeDocument/2006/relationships/hyperlink" Target="https://rennamedia.com/wp-content/uploads/2024/10/SummitNovember2024.pdf" TargetMode="External"/><Relationship Id="rId831" Type="http://schemas.openxmlformats.org/officeDocument/2006/relationships/hyperlink" Target="https://rennamedia.com/wp-content/uploads/2024/10/WarrenNovember2024.pdf" TargetMode="External"/><Relationship Id="rId832" Type="http://schemas.openxmlformats.org/officeDocument/2006/relationships/hyperlink" Target="https://rennamedia.com/wp-content/uploads/2024/10/WatchungNovember2024.pdf" TargetMode="External"/><Relationship Id="rId833" Type="http://schemas.openxmlformats.org/officeDocument/2006/relationships/hyperlink" Target="https://rennamedia.com/wp-content/uploads/2024/10/WestfieldNovember2024.pdf" TargetMode="External"/><Relationship Id="rId834" Type="http://schemas.openxmlformats.org/officeDocument/2006/relationships/hyperlink" Target="https://rennamedia.com/wp-content/uploads/2024/11/BerkeleyHeightsDecember2024.pdf" TargetMode="External"/><Relationship Id="rId835" Type="http://schemas.openxmlformats.org/officeDocument/2006/relationships/hyperlink" Target="https://rennamedia.com/wp-content/uploads/2024/11/ClarkDecember2024.pdf" TargetMode="External"/><Relationship Id="rId836" Type="http://schemas.openxmlformats.org/officeDocument/2006/relationships/hyperlink" Target="https://rennamedia.com/wp-content/uploads/2024/11/ChathamsDecember2024.pdf" TargetMode="External"/><Relationship Id="rId837" Type="http://schemas.openxmlformats.org/officeDocument/2006/relationships/hyperlink" Target="https://rennamedia.com/wp-content/uploads/2024/11/CranfordDecember2024.pdf" TargetMode="External"/><Relationship Id="rId838" Type="http://schemas.openxmlformats.org/officeDocument/2006/relationships/hyperlink" Target="https://rennamedia.com/wp-content/uploads/2024/11/EastHanoverViewDecember2024.pdf" TargetMode="External"/><Relationship Id="rId839" Type="http://schemas.openxmlformats.org/officeDocument/2006/relationships/hyperlink" Target="https://rennamedia.com/wp-content/uploads/2024/11/ElmoraHillsMonthlyDecember2024.pdf" TargetMode="External"/><Relationship Id="rId840" Type="http://schemas.openxmlformats.org/officeDocument/2006/relationships/hyperlink" Target="https://rennamedia.com/wp-content/uploads/2024/11/FanwoodDecember2024.pdf" TargetMode="External"/><Relationship Id="rId841" Type="http://schemas.openxmlformats.org/officeDocument/2006/relationships/hyperlink" Target="https://rennamedia.com/wp-content/uploads/2024/11/FlorhamParkMonthlyDecember2024.pdf" TargetMode="External"/><Relationship Id="rId842" Type="http://schemas.openxmlformats.org/officeDocument/2006/relationships/hyperlink" Target="https://rennamedia.com/wp-content/uploads/2024/11/GarwoodDecember2024.pdf" TargetMode="External"/><Relationship Id="rId843" Type="http://schemas.openxmlformats.org/officeDocument/2006/relationships/hyperlink" Target="https://rennamedia.com/wp-content/uploads/2024/11/GreenBrookDecember2024.pdf" TargetMode="External"/><Relationship Id="rId844" Type="http://schemas.openxmlformats.org/officeDocument/2006/relationships/hyperlink" Target="https://rennamedia.com/wp-content/uploads/2024/11/HanoverPressDecember2024.pdf" TargetMode="External"/><Relationship Id="rId845" Type="http://schemas.openxmlformats.org/officeDocument/2006/relationships/hyperlink" Target="https://rennamedia.com/wp-content/uploads/2024/11/KenilworthDecember2024.pdf" TargetMode="External"/><Relationship Id="rId846" Type="http://schemas.openxmlformats.org/officeDocument/2006/relationships/hyperlink" Target="https://rennamedia.com/wp-content/uploads/2024/11/LindenDecember2024.pdf" TargetMode="External"/><Relationship Id="rId847" Type="http://schemas.openxmlformats.org/officeDocument/2006/relationships/hyperlink" Target="https://rennamedia.com/wp-content/uploads/2024/11/LivingstonMonthlyDecember2024.pdf" TargetMode="External"/><Relationship Id="rId848" Type="http://schemas.openxmlformats.org/officeDocument/2006/relationships/hyperlink" Target="https://rennamedia.com/wp-content/uploads/2024/11/LongHillDecember2024.pdf" TargetMode="External"/><Relationship Id="rId849" Type="http://schemas.openxmlformats.org/officeDocument/2006/relationships/hyperlink" Target="https://rennamedia.com/wp-content/uploads/2024/11/MadisonDecember2024.pdf" TargetMode="External"/><Relationship Id="rId850" Type="http://schemas.openxmlformats.org/officeDocument/2006/relationships/hyperlink" Target="https://rennamedia.com/wp-content/uploads/2024/11/MillburnShortHillsDecember2024.pdf" TargetMode="External"/><Relationship Id="rId851" Type="http://schemas.openxmlformats.org/officeDocument/2006/relationships/hyperlink" Target="https://rennamedia.com/wp-content/uploads/2024/11/MountainsideDecember2024.pdf" TargetMode="External"/><Relationship Id="rId852" Type="http://schemas.openxmlformats.org/officeDocument/2006/relationships/hyperlink" Target="https://rennamedia.com/wp-content/uploads/2024/11/MorristownMonthlyDecember2024.pdf" TargetMode="External"/><Relationship Id="rId853" Type="http://schemas.openxmlformats.org/officeDocument/2006/relationships/hyperlink" Target="https://rennamedia.com/wp-content/uploads/2024/11/MorrisTownshipTimesDecember2024.pdf" TargetMode="External"/><Relationship Id="rId854" Type="http://schemas.openxmlformats.org/officeDocument/2006/relationships/hyperlink" Target="https://rennamedia.com/wp-content/uploads/2024/11/NewProvidenceDecember2024.pdf" TargetMode="External"/><Relationship Id="rId855" Type="http://schemas.openxmlformats.org/officeDocument/2006/relationships/hyperlink" Target="https://rennamedia.com/wp-content/uploads/2024/11/RahwayDecember2024.pdf" TargetMode="External"/><Relationship Id="rId856" Type="http://schemas.openxmlformats.org/officeDocument/2006/relationships/hyperlink" Target="https://rennamedia.com/wp-content/uploads/2024/11/LifeInRoselandDecember2024.pdf" TargetMode="External"/><Relationship Id="rId857" Type="http://schemas.openxmlformats.org/officeDocument/2006/relationships/hyperlink" Target="https://rennamedia.com/wp-content/uploads/2024/11/RoselleParkDecember2024.pdf" TargetMode="External"/><Relationship Id="rId858" Type="http://schemas.openxmlformats.org/officeDocument/2006/relationships/hyperlink" Target="https://rennamedia.com/wp-content/uploads/2024/11/ScotchPlainsDecember2024.pdf" TargetMode="External"/><Relationship Id="rId859" Type="http://schemas.openxmlformats.org/officeDocument/2006/relationships/hyperlink" Target="https://rennamedia.com/wp-content/uploads/2024/11/UnionDecember2024.pdf" TargetMode="External"/><Relationship Id="rId860" Type="http://schemas.openxmlformats.org/officeDocument/2006/relationships/hyperlink" Target="https://rennamedia.com/wp-content/uploads/2024/11/SummitDecember2024.pdf" TargetMode="External"/><Relationship Id="rId861" Type="http://schemas.openxmlformats.org/officeDocument/2006/relationships/hyperlink" Target="https://rennamedia.com/wp-content/uploads/2024/11/WarrenDecember2024.pdf" TargetMode="External"/><Relationship Id="rId862" Type="http://schemas.openxmlformats.org/officeDocument/2006/relationships/hyperlink" Target="https://rennamedia.com/wp-content/uploads/2024/11/WatchungDecember2024.pdf" TargetMode="External"/><Relationship Id="rId863" Type="http://schemas.openxmlformats.org/officeDocument/2006/relationships/hyperlink" Target="https://rennamedia.com/wp-content/uploads/2024/11/WestfieldDecember2024.pdf" TargetMode="External"/><Relationship Id="rId864" Type="http://schemas.openxmlformats.org/officeDocument/2006/relationships/hyperlink" Target="https://rennamedia.com/wp-content/uploads/2024/12/BerkeleyHeightsJanuary2025.pdf" TargetMode="External"/><Relationship Id="rId865" Type="http://schemas.openxmlformats.org/officeDocument/2006/relationships/hyperlink" Target="https://rennamedia.com/wp-content/uploads/2024/12/ClarkJanuary2025.pdf" TargetMode="External"/><Relationship Id="rId866" Type="http://schemas.openxmlformats.org/officeDocument/2006/relationships/hyperlink" Target="https://rennamedia.com/wp-content/uploads/2024/12/ChathamsJanuary2025.pdf" TargetMode="External"/><Relationship Id="rId867" Type="http://schemas.openxmlformats.org/officeDocument/2006/relationships/hyperlink" Target="https://rennamedia.com/wp-content/uploads/2024/12/CranfordJanuary2025.pdf" TargetMode="External"/><Relationship Id="rId868" Type="http://schemas.openxmlformats.org/officeDocument/2006/relationships/hyperlink" Target="https://rennamedia.com/wp-content/uploads/2024/12/EastHanoverViewJanuary2025.pdf" TargetMode="External"/><Relationship Id="rId869" Type="http://schemas.openxmlformats.org/officeDocument/2006/relationships/hyperlink" Target="https://rennamedia.com/wp-content/uploads/2024/12/ElmoraHillsMonthlyJanuary2025i.pdf" TargetMode="External"/><Relationship Id="rId870" Type="http://schemas.openxmlformats.org/officeDocument/2006/relationships/hyperlink" Target="https://rennamedia.com/wp-content/uploads/2024/12/FanwoodJanuary2025.pdf" TargetMode="External"/><Relationship Id="rId871" Type="http://schemas.openxmlformats.org/officeDocument/2006/relationships/hyperlink" Target="https://rennamedia.com/wp-content/uploads/2024/12/FlorhamParkMonthlyJanuary2025.pdf" TargetMode="External"/><Relationship Id="rId872" Type="http://schemas.openxmlformats.org/officeDocument/2006/relationships/hyperlink" Target="https://rennamedia.com/wp-content/uploads/2024/12/GarwoodJanuary2025.pdf" TargetMode="External"/><Relationship Id="rId873" Type="http://schemas.openxmlformats.org/officeDocument/2006/relationships/hyperlink" Target="https://rennamedia.com/wp-content/uploads/2024/12/GreenBrookJanuary2025.pdf" TargetMode="External"/><Relationship Id="rId874" Type="http://schemas.openxmlformats.org/officeDocument/2006/relationships/hyperlink" Target="https://rennamedia.com/wp-content/uploads/2024/12/HanoverPressJanuary2025.pdf" TargetMode="External"/><Relationship Id="rId875" Type="http://schemas.openxmlformats.org/officeDocument/2006/relationships/hyperlink" Target="https://rennamedia.com/wp-content/uploads/2024/12/KenilworthJanuary2025.pdf" TargetMode="External"/><Relationship Id="rId876" Type="http://schemas.openxmlformats.org/officeDocument/2006/relationships/hyperlink" Target="https://rennamedia.com/wp-content/uploads/2024/12/LindenJanuary2025.pdf" TargetMode="External"/><Relationship Id="rId877" Type="http://schemas.openxmlformats.org/officeDocument/2006/relationships/hyperlink" Target="https://rennamedia.com/wp-content/uploads/2024/12/LivingstonMonthlyJanuary2025.pdf" TargetMode="External"/><Relationship Id="rId878" Type="http://schemas.openxmlformats.org/officeDocument/2006/relationships/hyperlink" Target="https://rennamedia.com/wp-content/uploads/2024/12/LongHillJanuary2025.pdf" TargetMode="External"/><Relationship Id="rId879" Type="http://schemas.openxmlformats.org/officeDocument/2006/relationships/hyperlink" Target="https://rennamedia.com/wp-content/uploads/2024/12/MadisonJanuary2025.pdf" TargetMode="External"/><Relationship Id="rId880" Type="http://schemas.openxmlformats.org/officeDocument/2006/relationships/hyperlink" Target="https://rennamedia.com/wp-content/uploads/2024/12/MillburnShortHillsJanuary2025.pdf" TargetMode="External"/><Relationship Id="rId881" Type="http://schemas.openxmlformats.org/officeDocument/2006/relationships/hyperlink" Target="https://rennamedia.com/wp-content/uploads/2025/01/MountainsideJanuary2025.pdf" TargetMode="External"/><Relationship Id="rId882" Type="http://schemas.openxmlformats.org/officeDocument/2006/relationships/hyperlink" Target="https://rennamedia.com/wp-content/uploads/2024/12/MorristownMonthlyJanuary2025.pdf" TargetMode="External"/><Relationship Id="rId883" Type="http://schemas.openxmlformats.org/officeDocument/2006/relationships/hyperlink" Target="https://rennamedia.com/wp-content/uploads/2024/12/MorrisTownshipTimesJanuary2025.pdf" TargetMode="External"/><Relationship Id="rId884" Type="http://schemas.openxmlformats.org/officeDocument/2006/relationships/hyperlink" Target="https://rennamedia.com/wp-content/uploads/2024/12/NewProvidenceJanuary2025.pdf" TargetMode="External"/><Relationship Id="rId885" Type="http://schemas.openxmlformats.org/officeDocument/2006/relationships/hyperlink" Target="https://rennamedia.com/wp-content/uploads/2024/12/RahwayJanuary2025.pdf" TargetMode="External"/><Relationship Id="rId886" Type="http://schemas.openxmlformats.org/officeDocument/2006/relationships/hyperlink" Target="https://rennamedia.com/wp-content/uploads/2024/12/LifeInRoselandJanuary2025.pdf" TargetMode="External"/><Relationship Id="rId887" Type="http://schemas.openxmlformats.org/officeDocument/2006/relationships/hyperlink" Target="https://rennamedia.com/wp-content/uploads/2024/12/RoselleParkJanuary2025.pdf" TargetMode="External"/><Relationship Id="rId888" Type="http://schemas.openxmlformats.org/officeDocument/2006/relationships/hyperlink" Target="https://rennamedia.com/wp-content/uploads/2024/12/ScotchPlainsJanuary2025.pdf" TargetMode="External"/><Relationship Id="rId889" Type="http://schemas.openxmlformats.org/officeDocument/2006/relationships/hyperlink" Target="https://rennamedia.com/wp-content/uploads/2024/12/UnionJanuary2025.pdf" TargetMode="External"/><Relationship Id="rId890" Type="http://schemas.openxmlformats.org/officeDocument/2006/relationships/hyperlink" Target="https://rennamedia.com/wp-content/uploads/2024/12/SummitJanuary2025.pdf" TargetMode="External"/><Relationship Id="rId891" Type="http://schemas.openxmlformats.org/officeDocument/2006/relationships/hyperlink" Target="https://rennamedia.com/wp-content/uploads/2024/12/WarrenJanuary2025.pdf" TargetMode="External"/><Relationship Id="rId892" Type="http://schemas.openxmlformats.org/officeDocument/2006/relationships/hyperlink" Target="https://rennamedia.com/wp-content/uploads/2024/12/WatchungJanuary2025.pdf" TargetMode="External"/><Relationship Id="rId893" Type="http://schemas.openxmlformats.org/officeDocument/2006/relationships/hyperlink" Target="https://rennamedia.com/wp-content/uploads/2024/12/WestfieldJanuary2025.pdf" TargetMode="External"/><Relationship Id="rId894" Type="http://schemas.openxmlformats.org/officeDocument/2006/relationships/hyperlink" Target="https://rennamedia.com/wp-content/uploads/2025/02/BerkeleyHeightsFebruary2025.pdf" TargetMode="External"/><Relationship Id="rId895" Type="http://schemas.openxmlformats.org/officeDocument/2006/relationships/hyperlink" Target="https://rennamedia.com/wp-content/uploads/2025/02/ClarkFebruary2025.pdf" TargetMode="External"/><Relationship Id="rId896" Type="http://schemas.openxmlformats.org/officeDocument/2006/relationships/hyperlink" Target="https://rennamedia.com/wp-content/uploads/2025/02/ChathamsFebruary2025.pdf" TargetMode="External"/><Relationship Id="rId897" Type="http://schemas.openxmlformats.org/officeDocument/2006/relationships/hyperlink" Target="https://rennamedia.com/wp-content/uploads/2025/02/CranfordFebruary2025.pdf" TargetMode="External"/><Relationship Id="rId898" Type="http://schemas.openxmlformats.org/officeDocument/2006/relationships/hyperlink" Target="https://rennamedia.com/wp-content/uploads/2025/02/EastHanoverViewFebruary2025.pdf" TargetMode="External"/><Relationship Id="rId899" Type="http://schemas.openxmlformats.org/officeDocument/2006/relationships/hyperlink" Target="https://rennamedia.com/wp-content/uploads/2025/02/ElmoraHillsMonthlyFebruary2025.pdf" TargetMode="External"/><Relationship Id="rId900" Type="http://schemas.openxmlformats.org/officeDocument/2006/relationships/hyperlink" Target="https://rennamedia.com/wp-content/uploads/2025/02/FanwoodFebruary2025.pdf" TargetMode="External"/><Relationship Id="rId901" Type="http://schemas.openxmlformats.org/officeDocument/2006/relationships/hyperlink" Target="https://rennamedia.com/wp-content/uploads/2025/02/FlorhamParkMonthlyFebruary2025.pdf" TargetMode="External"/><Relationship Id="rId902" Type="http://schemas.openxmlformats.org/officeDocument/2006/relationships/hyperlink" Target="https://rennamedia.com/wp-content/uploads/2025/02/GarwoodFebruary2025.pdf" TargetMode="External"/><Relationship Id="rId903" Type="http://schemas.openxmlformats.org/officeDocument/2006/relationships/hyperlink" Target="https://rennamedia.com/wp-content/uploads/2025/02/GreenBrookFebruary2025.pdf" TargetMode="External"/><Relationship Id="rId904" Type="http://schemas.openxmlformats.org/officeDocument/2006/relationships/hyperlink" Target="https://rennamedia.com/wp-content/uploads/2025/02/HanoverPressFebruary2025.pdf" TargetMode="External"/><Relationship Id="rId905" Type="http://schemas.openxmlformats.org/officeDocument/2006/relationships/hyperlink" Target="https://rennamedia.com/wp-content/uploads/2025/02/KenilworthFebruary2025.pdf" TargetMode="External"/><Relationship Id="rId906" Type="http://schemas.openxmlformats.org/officeDocument/2006/relationships/hyperlink" Target="https://rennamedia.com/wp-content/uploads/2025/02/LindenFebruary2025.pdf" TargetMode="External"/><Relationship Id="rId907" Type="http://schemas.openxmlformats.org/officeDocument/2006/relationships/hyperlink" Target="https://rennamedia.com/wp-content/uploads/2025/02/LindenFebruary2025.pdf" TargetMode="External"/><Relationship Id="rId908" Type="http://schemas.openxmlformats.org/officeDocument/2006/relationships/hyperlink" Target="https://rennamedia.com/wp-content/uploads/2025/02/LongHillFebruary2025.pdf" TargetMode="External"/><Relationship Id="rId909" Type="http://schemas.openxmlformats.org/officeDocument/2006/relationships/hyperlink" Target="https://rennamedia.com/wp-content/uploads/2025/02/MadisonFebruary2025.pdf" TargetMode="External"/><Relationship Id="rId910" Type="http://schemas.openxmlformats.org/officeDocument/2006/relationships/hyperlink" Target="https://rennamedia.com/wp-content/uploads/2025/02/MillburnShortHillsFebruary2025.pdf" TargetMode="External"/><Relationship Id="rId911" Type="http://schemas.openxmlformats.org/officeDocument/2006/relationships/hyperlink" Target="https://rennamedia.com/wp-content/uploads/2025/02/MountainsideFebruary2025.pdf" TargetMode="External"/><Relationship Id="rId912" Type="http://schemas.openxmlformats.org/officeDocument/2006/relationships/hyperlink" Target="https://rennamedia.com/wp-content/uploads/2025/02/MorristownMonthlyFebruary2025.pdf" TargetMode="External"/><Relationship Id="rId913" Type="http://schemas.openxmlformats.org/officeDocument/2006/relationships/hyperlink" Target="https://rennamedia.com/wp-content/uploads/2025/02/MorrisTownshipTimesFebruary2025.pdf" TargetMode="External"/><Relationship Id="rId914" Type="http://schemas.openxmlformats.org/officeDocument/2006/relationships/hyperlink" Target="https://rennamedia.com/wp-content/uploads/2025/02/NewProvidenceFebruary2025.pdf" TargetMode="External"/><Relationship Id="rId915" Type="http://schemas.openxmlformats.org/officeDocument/2006/relationships/hyperlink" Target="https://rennamedia.com/wp-content/uploads/2025/02/RahwayFebruary2025.pdf" TargetMode="External"/><Relationship Id="rId916" Type="http://schemas.openxmlformats.org/officeDocument/2006/relationships/hyperlink" Target="https://rennamedia.com/wp-content/uploads/2025/02/LifeInRoselandFebruary2025.pdf" TargetMode="External"/><Relationship Id="rId917" Type="http://schemas.openxmlformats.org/officeDocument/2006/relationships/hyperlink" Target="https://rennamedia.com/wp-content/uploads/2025/02/RoselleParkFebruary2025.pdf" TargetMode="External"/><Relationship Id="rId918" Type="http://schemas.openxmlformats.org/officeDocument/2006/relationships/hyperlink" Target="https://rennamedia.com/wp-content/uploads/2025/02/ScotchPlainsFebruary2025.pdf" TargetMode="External"/><Relationship Id="rId919" Type="http://schemas.openxmlformats.org/officeDocument/2006/relationships/hyperlink" Target="https://rennamedia.com/wp-content/uploads/2025/02/UnionFebruary2025.pdf" TargetMode="External"/><Relationship Id="rId920" Type="http://schemas.openxmlformats.org/officeDocument/2006/relationships/hyperlink" Target="https://rennamedia.com/wp-content/uploads/2025/02/SummitFebruary2025.pdf" TargetMode="External"/><Relationship Id="rId921" Type="http://schemas.openxmlformats.org/officeDocument/2006/relationships/hyperlink" Target="https://rennamedia.com/wp-content/uploads/2025/02/WarrenFebruary2025.pdf" TargetMode="External"/><Relationship Id="rId922" Type="http://schemas.openxmlformats.org/officeDocument/2006/relationships/hyperlink" Target="https://rennamedia.com/wp-content/uploads/2025/02/WatchungFebruary2025.pdf" TargetMode="External"/><Relationship Id="rId923" Type="http://schemas.openxmlformats.org/officeDocument/2006/relationships/hyperlink" Target="https://rennamedia.com/wp-content/uploads/2025/02/WestfieldFebruary2025.pdf" TargetMode="External"/><Relationship Id="rId924" Type="http://schemas.openxmlformats.org/officeDocument/2006/relationships/hyperlink" Target="https://rennamedia.com/wp-content/uploads/2025/02/BerkeleyHeightsMarch2025.pdf" TargetMode="External"/><Relationship Id="rId925" Type="http://schemas.openxmlformats.org/officeDocument/2006/relationships/hyperlink" Target="https://rennamedia.com/wp-content/uploads/2025/02/ClarkMarch2025.pdf" TargetMode="External"/><Relationship Id="rId926" Type="http://schemas.openxmlformats.org/officeDocument/2006/relationships/hyperlink" Target="https://rennamedia.com/wp-content/uploads/2025/02/ChathamsMarch2025.pdf" TargetMode="External"/><Relationship Id="rId927" Type="http://schemas.openxmlformats.org/officeDocument/2006/relationships/hyperlink" Target="https://rennamedia.com/wp-content/uploads/2025/02/CranfordMarch2025.pdf" TargetMode="External"/><Relationship Id="rId928" Type="http://schemas.openxmlformats.org/officeDocument/2006/relationships/hyperlink" Target="https://rennamedia.com/wp-content/uploads/2025/02/EastHanoverViewMarch2025.pdf" TargetMode="External"/><Relationship Id="rId929" Type="http://schemas.openxmlformats.org/officeDocument/2006/relationships/hyperlink" Target="https://rennamedia.com/wp-content/uploads/2025/02/ElmoraHillsMonthlyMarch2025.pdf" TargetMode="External"/><Relationship Id="rId930" Type="http://schemas.openxmlformats.org/officeDocument/2006/relationships/hyperlink" Target="https://rennamedia.com/wp-content/uploads/2025/02/FanwoodMarch2025.pdf" TargetMode="External"/><Relationship Id="rId931" Type="http://schemas.openxmlformats.org/officeDocument/2006/relationships/hyperlink" Target="https://rennamedia.com/wp-content/uploads/2025/02/FlorhamParkMonthlyMarch2025.pdf" TargetMode="External"/><Relationship Id="rId932" Type="http://schemas.openxmlformats.org/officeDocument/2006/relationships/hyperlink" Target="https://rennamedia.com/wp-content/uploads/2025/02/GarwoodMarch2025.pdf" TargetMode="External"/><Relationship Id="rId933" Type="http://schemas.openxmlformats.org/officeDocument/2006/relationships/hyperlink" Target="https://rennamedia.com/wp-content/uploads/2025/02/GreenBrookMarch2025.pdf" TargetMode="External"/><Relationship Id="rId934" Type="http://schemas.openxmlformats.org/officeDocument/2006/relationships/hyperlink" Target="https://rennamedia.com/wp-content/uploads/2025/02/HanoverPressMarch2025.pdf" TargetMode="External"/><Relationship Id="rId935" Type="http://schemas.openxmlformats.org/officeDocument/2006/relationships/hyperlink" Target="https://rennamedia.com/wp-content/uploads/2025/02/KenilworthMarch2025.pdf" TargetMode="External"/><Relationship Id="rId936" Type="http://schemas.openxmlformats.org/officeDocument/2006/relationships/hyperlink" Target="https://rennamedia.com/wp-content/uploads/2025/02/LindenMarch2025.pdf" TargetMode="External"/><Relationship Id="rId937" Type="http://schemas.openxmlformats.org/officeDocument/2006/relationships/hyperlink" Target="https://rennamedia.com/wp-content/uploads/2025/02/LivingstonMonthlyMarch2025.pdf" TargetMode="External"/><Relationship Id="rId938" Type="http://schemas.openxmlformats.org/officeDocument/2006/relationships/hyperlink" Target="https://rennamedia.com/wp-content/uploads/2025/02/LongHillMarch2025.pdf" TargetMode="External"/><Relationship Id="rId939" Type="http://schemas.openxmlformats.org/officeDocument/2006/relationships/hyperlink" Target="https://rennamedia.com/wp-content/uploads/2025/02/MadisonMarch2025.pdf" TargetMode="External"/><Relationship Id="rId940" Type="http://schemas.openxmlformats.org/officeDocument/2006/relationships/hyperlink" Target="https://rennamedia.com/wp-content/uploads/2025/02/MillburnShortHillsMarch2025.pdf" TargetMode="External"/><Relationship Id="rId941" Type="http://schemas.openxmlformats.org/officeDocument/2006/relationships/hyperlink" Target="https://rennamedia.com/wp-content/uploads/2025/02/MountainsideMarch2025.pdf" TargetMode="External"/><Relationship Id="rId942" Type="http://schemas.openxmlformats.org/officeDocument/2006/relationships/hyperlink" Target="https://rennamedia.com/wp-content/uploads/2025/02/MorristownMonthlyMarch2025.pdf" TargetMode="External"/><Relationship Id="rId943" Type="http://schemas.openxmlformats.org/officeDocument/2006/relationships/hyperlink" Target="https://rennamedia.com/wp-content/uploads/2025/02/MorrisTownshipTimesMarch2025.pdf" TargetMode="External"/><Relationship Id="rId944" Type="http://schemas.openxmlformats.org/officeDocument/2006/relationships/hyperlink" Target="https://rennamedia.com/wp-content/uploads/2025/02/NewProvidenceMarch2025.pdf" TargetMode="External"/><Relationship Id="rId945" Type="http://schemas.openxmlformats.org/officeDocument/2006/relationships/hyperlink" Target="https://rennamedia.com/wp-content/uploads/2025/02/RahwayMarch2025.pdf" TargetMode="External"/><Relationship Id="rId946" Type="http://schemas.openxmlformats.org/officeDocument/2006/relationships/hyperlink" Target="https://rennamedia.com/wp-content/uploads/2025/02/LifeInRoselandMarch2025.pdf" TargetMode="External"/><Relationship Id="rId947" Type="http://schemas.openxmlformats.org/officeDocument/2006/relationships/hyperlink" Target="https://rennamedia.com/wp-content/uploads/2025/02/RoselleParkMarch2025.pdf" TargetMode="External"/><Relationship Id="rId948" Type="http://schemas.openxmlformats.org/officeDocument/2006/relationships/hyperlink" Target="https://rennamedia.com/wp-content/uploads/2025/02/ScotchPlainsMarch2025.pdf" TargetMode="External"/><Relationship Id="rId949" Type="http://schemas.openxmlformats.org/officeDocument/2006/relationships/hyperlink" Target="https://rennamedia.com/wp-content/uploads/2025/02/UnionMarch2025.pdf" TargetMode="External"/><Relationship Id="rId950" Type="http://schemas.openxmlformats.org/officeDocument/2006/relationships/hyperlink" Target="https://rennamedia.com/wp-content/uploads/2025/02/SummitMarch2025.pdf" TargetMode="External"/><Relationship Id="rId951" Type="http://schemas.openxmlformats.org/officeDocument/2006/relationships/hyperlink" Target="https://rennamedia.com/wp-content/uploads/2025/02/WarrenMarch2025.pdf" TargetMode="External"/><Relationship Id="rId952" Type="http://schemas.openxmlformats.org/officeDocument/2006/relationships/hyperlink" Target="https://rennamedia.com/wp-content/uploads/2025/02/WatchungMarch2025.pdf" TargetMode="External"/><Relationship Id="rId953" Type="http://schemas.openxmlformats.org/officeDocument/2006/relationships/hyperlink" Target="https://rennamedia.com/wp-content/uploads/2025/02/WestfieldMarch2025.pdf" TargetMode="External"/><Relationship Id="rId954" Type="http://schemas.openxmlformats.org/officeDocument/2006/relationships/hyperlink" Target="https://rennamedia.com/wp-content/uploads/2025/03/BerkeleyHeightsApril2025.pdf" TargetMode="External"/><Relationship Id="rId955" Type="http://schemas.openxmlformats.org/officeDocument/2006/relationships/hyperlink" Target="https://rennamedia.com/wp-content/uploads/2025/03/ClarkApril2025.pdf" TargetMode="External"/><Relationship Id="rId956" Type="http://schemas.openxmlformats.org/officeDocument/2006/relationships/hyperlink" Target="https://rennamedia.com/wp-content/uploads/2025/03/ChathamsApril2025.pdf" TargetMode="External"/><Relationship Id="rId957" Type="http://schemas.openxmlformats.org/officeDocument/2006/relationships/hyperlink" Target="https://rennamedia.com/wp-content/uploads/2025/03/CranfordApril2025.pdf" TargetMode="External"/><Relationship Id="rId958" Type="http://schemas.openxmlformats.org/officeDocument/2006/relationships/hyperlink" Target="https://rennamedia.com/wp-content/uploads/2025/03/EastHanoverViewApril2025.pdf" TargetMode="External"/><Relationship Id="rId959" Type="http://schemas.openxmlformats.org/officeDocument/2006/relationships/hyperlink" Target="https://rennamedia.com/wp-content/uploads/2025/03/ElmoraHillsMonthlyApril2025.pdf" TargetMode="External"/><Relationship Id="rId960" Type="http://schemas.openxmlformats.org/officeDocument/2006/relationships/hyperlink" Target="https://rennamedia.com/wp-content/uploads/2025/03/FanwoodApril2025.pdf" TargetMode="External"/><Relationship Id="rId961" Type="http://schemas.openxmlformats.org/officeDocument/2006/relationships/hyperlink" Target="https://rennamedia.com/wp-content/uploads/2025/03/FlorhamParkMonthlyApril2025.pdf" TargetMode="External"/><Relationship Id="rId962" Type="http://schemas.openxmlformats.org/officeDocument/2006/relationships/hyperlink" Target="https://rennamedia.com/wp-content/uploads/2025/03/GarwoodApril2025i.pdf" TargetMode="External"/><Relationship Id="rId963" Type="http://schemas.openxmlformats.org/officeDocument/2006/relationships/hyperlink" Target="https://rennamedia.com/wp-content/uploads/2025/03/GreenBrookApril2025.pdf" TargetMode="External"/><Relationship Id="rId964" Type="http://schemas.openxmlformats.org/officeDocument/2006/relationships/hyperlink" Target="https://rennamedia.com/wp-content/uploads/2025/03/HanoverPressApril2025.pdf" TargetMode="External"/><Relationship Id="rId965" Type="http://schemas.openxmlformats.org/officeDocument/2006/relationships/hyperlink" Target="https://rennamedia.com/wp-content/uploads/2025/03/KenilworthApril2025.pdf" TargetMode="External"/><Relationship Id="rId966" Type="http://schemas.openxmlformats.org/officeDocument/2006/relationships/hyperlink" Target="https://rennamedia.com/wp-content/uploads/2025/03/LindenApril2025.pdf" TargetMode="External"/><Relationship Id="rId967" Type="http://schemas.openxmlformats.org/officeDocument/2006/relationships/hyperlink" Target="https://rennamedia.com/wp-content/uploads/2025/03/LivingstonMonthlyApril2025.pdf" TargetMode="External"/><Relationship Id="rId968" Type="http://schemas.openxmlformats.org/officeDocument/2006/relationships/hyperlink" Target="https://rennamedia.com/wp-content/uploads/2025/03/LongHillApril2025.pdf" TargetMode="External"/><Relationship Id="rId969" Type="http://schemas.openxmlformats.org/officeDocument/2006/relationships/hyperlink" Target="https://rennamedia.com/wp-content/uploads/2025/03/MadisonApril2025.pdf" TargetMode="External"/><Relationship Id="rId970" Type="http://schemas.openxmlformats.org/officeDocument/2006/relationships/hyperlink" Target="https://rennamedia.com/wp-content/uploads/2025/03/MillburnShortHillsApril2025.pdf" TargetMode="External"/><Relationship Id="rId971" Type="http://schemas.openxmlformats.org/officeDocument/2006/relationships/hyperlink" Target="https://rennamedia.com/wp-content/uploads/2025/03/MountainsideApril2025.pdf" TargetMode="External"/><Relationship Id="rId972" Type="http://schemas.openxmlformats.org/officeDocument/2006/relationships/hyperlink" Target="https://rennamedia.com/wp-content/uploads/2025/03/MorristownMonthlyApril2025.pdf" TargetMode="External"/><Relationship Id="rId973" Type="http://schemas.openxmlformats.org/officeDocument/2006/relationships/hyperlink" Target="https://rennamedia.com/wp-content/uploads/2025/03/MorrisTownshipTimesApril2025.pdf" TargetMode="External"/><Relationship Id="rId974" Type="http://schemas.openxmlformats.org/officeDocument/2006/relationships/hyperlink" Target="https://rennamedia.com/wp-content/uploads/2025/03/NewProvidenceApril2025.pdf" TargetMode="External"/><Relationship Id="rId975" Type="http://schemas.openxmlformats.org/officeDocument/2006/relationships/hyperlink" Target="https://rennamedia.com/wp-content/uploads/2025/03/RahwayApril202.pdf" TargetMode="External"/><Relationship Id="rId976" Type="http://schemas.openxmlformats.org/officeDocument/2006/relationships/hyperlink" Target="https://rennamedia.com/wp-content/uploads/2025/03/LifeInRoselandApril2025.pdf" TargetMode="External"/><Relationship Id="rId977" Type="http://schemas.openxmlformats.org/officeDocument/2006/relationships/hyperlink" Target="https://rennamedia.com/wp-content/uploads/2025/03/RoselleParkApril2025.pdf" TargetMode="External"/><Relationship Id="rId978" Type="http://schemas.openxmlformats.org/officeDocument/2006/relationships/hyperlink" Target="https://rennamedia.com/wp-content/uploads/2025/03/ScotchPlainsApril2025.pdf" TargetMode="External"/><Relationship Id="rId979" Type="http://schemas.openxmlformats.org/officeDocument/2006/relationships/hyperlink" Target="https://rennamedia.com/wp-content/uploads/2025/03/UnionApril2025.pdf" TargetMode="External"/><Relationship Id="rId980" Type="http://schemas.openxmlformats.org/officeDocument/2006/relationships/hyperlink" Target="https://rennamedia.com/wp-content/uploads/2025/02/SummitMarch2025.pdf" TargetMode="External"/><Relationship Id="rId981" Type="http://schemas.openxmlformats.org/officeDocument/2006/relationships/hyperlink" Target="https://rennamedia.com/wp-content/uploads/2025/03/WarrenApril2025.pdf" TargetMode="External"/><Relationship Id="rId982" Type="http://schemas.openxmlformats.org/officeDocument/2006/relationships/hyperlink" Target="https://rennamedia.com/wp-content/uploads/2025/03/WatchungApril2025.pdf" TargetMode="External"/><Relationship Id="rId983" Type="http://schemas.openxmlformats.org/officeDocument/2006/relationships/hyperlink" Target="https://rennamedia.com/wp-content/uploads/2025/03/WestfieldApril2025.pdf" TargetMode="External"/><Relationship Id="rId984" Type="http://schemas.openxmlformats.org/officeDocument/2006/relationships/hyperlink" Target="https://rennamedia.com/wp-content/uploads/2025/04/BerkeleyHeightsMay2025.pdf" TargetMode="External"/><Relationship Id="rId985" Type="http://schemas.openxmlformats.org/officeDocument/2006/relationships/hyperlink" Target="https://rennamedia.com/wp-content/uploads/2025/04/ClarkMay2025.pdf" TargetMode="External"/><Relationship Id="rId986" Type="http://schemas.openxmlformats.org/officeDocument/2006/relationships/hyperlink" Target="https://rennamedia.com/wp-content/uploads/2025/04/ChathamsMay2025.pdf" TargetMode="External"/><Relationship Id="rId987" Type="http://schemas.openxmlformats.org/officeDocument/2006/relationships/hyperlink" Target="https://rennamedia.com/wp-content/uploads/2025/04/CranfordMay2025.pdf" TargetMode="External"/><Relationship Id="rId988" Type="http://schemas.openxmlformats.org/officeDocument/2006/relationships/hyperlink" Target="https://rennamedia.com/wp-content/uploads/2025/04/EastHanoverViewMay2025.pdf" TargetMode="External"/><Relationship Id="rId989" Type="http://schemas.openxmlformats.org/officeDocument/2006/relationships/hyperlink" Target="https://rennamedia.com/wp-content/uploads/2025/04/ElmoraHillsMonthlyMay2025.pdf" TargetMode="External"/><Relationship Id="rId990" Type="http://schemas.openxmlformats.org/officeDocument/2006/relationships/hyperlink" Target="https://rennamedia.com/wp-content/uploads/2025/04/FanwoodMay2025.pdf" TargetMode="External"/><Relationship Id="rId991" Type="http://schemas.openxmlformats.org/officeDocument/2006/relationships/hyperlink" Target="https://rennamedia.com/wp-content/uploads/2025/04/FlorhamParkMonthlyMay2025.pdf" TargetMode="External"/><Relationship Id="rId992" Type="http://schemas.openxmlformats.org/officeDocument/2006/relationships/hyperlink" Target="https://rennamedia.com/wp-content/uploads/2025/04/GarwoodMay2025.pdf" TargetMode="External"/><Relationship Id="rId993" Type="http://schemas.openxmlformats.org/officeDocument/2006/relationships/hyperlink" Target="https://rennamedia.com/wp-content/uploads/2025/04/GreenBrookMay2025.pdf" TargetMode="External"/><Relationship Id="rId994" Type="http://schemas.openxmlformats.org/officeDocument/2006/relationships/hyperlink" Target="https://rennamedia.com/wp-content/uploads/2025/04/HanoverPressMay2025.pdf" TargetMode="External"/><Relationship Id="rId995" Type="http://schemas.openxmlformats.org/officeDocument/2006/relationships/hyperlink" Target="https://rennamedia.com/wp-content/uploads/2025/04/KenilworthMay2025.pdf" TargetMode="External"/><Relationship Id="rId996" Type="http://schemas.openxmlformats.org/officeDocument/2006/relationships/hyperlink" Target="https://rennamedia.com/wp-content/uploads/2025/04/LindenMay2025.pdf" TargetMode="External"/><Relationship Id="rId997" Type="http://schemas.openxmlformats.org/officeDocument/2006/relationships/hyperlink" Target="https://rennamedia.com/wp-content/uploads/2025/04/LivingstonMonthlyMay2025.pdf" TargetMode="External"/><Relationship Id="rId998" Type="http://schemas.openxmlformats.org/officeDocument/2006/relationships/hyperlink" Target="https://rennamedia.com/wp-content/uploads/2025/04/LongHillMay2025.pdf" TargetMode="External"/><Relationship Id="rId999" Type="http://schemas.openxmlformats.org/officeDocument/2006/relationships/hyperlink" Target="https://rennamedia.com/wp-content/uploads/2025/04/MadisonMay2025.pdf" TargetMode="External"/><Relationship Id="rId1000" Type="http://schemas.openxmlformats.org/officeDocument/2006/relationships/hyperlink" Target="https://rennamedia.com/wp-content/uploads/2025/04/MillburnShortHillsMay2025.pdf" TargetMode="External"/><Relationship Id="rId1001" Type="http://schemas.openxmlformats.org/officeDocument/2006/relationships/hyperlink" Target="https://rennamedia.com/wp-content/uploads/2025/04/MountainsideMay2025.pdf" TargetMode="External"/><Relationship Id="rId1002" Type="http://schemas.openxmlformats.org/officeDocument/2006/relationships/hyperlink" Target="https://rennamedia.com/wp-content/uploads/2025/04/MorristownMonthlyMay2025.pdf" TargetMode="External"/><Relationship Id="rId1003" Type="http://schemas.openxmlformats.org/officeDocument/2006/relationships/hyperlink" Target="https://rennamedia.com/wp-content/uploads/2025/04/MorrisTownshipTimesMay2025.pdf" TargetMode="External"/><Relationship Id="rId1004" Type="http://schemas.openxmlformats.org/officeDocument/2006/relationships/hyperlink" Target="https://rennamedia.com/wp-content/uploads/2025/04/NewProvidenceMay2025.pdf" TargetMode="External"/><Relationship Id="rId1005" Type="http://schemas.openxmlformats.org/officeDocument/2006/relationships/hyperlink" Target="https://rennamedia.com/wp-content/uploads/2025/04/RahwayMay2025.pdf" TargetMode="External"/><Relationship Id="rId1006" Type="http://schemas.openxmlformats.org/officeDocument/2006/relationships/hyperlink" Target="https://rennamedia.com/wp-content/uploads/2025/04/LifeInRoselandMay2025.pdf" TargetMode="External"/><Relationship Id="rId1007" Type="http://schemas.openxmlformats.org/officeDocument/2006/relationships/hyperlink" Target="https://rennamedia.com/wp-content/uploads/2025/04/RoselleParkMay2025.pdf" TargetMode="External"/><Relationship Id="rId1008" Type="http://schemas.openxmlformats.org/officeDocument/2006/relationships/hyperlink" Target="https://rennamedia.com/wp-content/uploads/2025/04/ScotchPlainsMay2025.pdf" TargetMode="External"/><Relationship Id="rId1009" Type="http://schemas.openxmlformats.org/officeDocument/2006/relationships/hyperlink" Target="https://rennamedia.com/wp-content/uploads/2025/04/UnionMay2025.pdf" TargetMode="External"/><Relationship Id="rId1010" Type="http://schemas.openxmlformats.org/officeDocument/2006/relationships/hyperlink" Target="https://rennamedia.com/wp-content/uploads/2025/04/SummitMay2025.pdf" TargetMode="External"/><Relationship Id="rId1011" Type="http://schemas.openxmlformats.org/officeDocument/2006/relationships/hyperlink" Target="https://rennamedia.com/wp-content/uploads/2025/04/WarrenMay2025.pdf" TargetMode="External"/><Relationship Id="rId1012" Type="http://schemas.openxmlformats.org/officeDocument/2006/relationships/hyperlink" Target="https://rennamedia.com/wp-content/uploads/2025/04/WatchungMay2025.pdf" TargetMode="External"/><Relationship Id="rId1013" Type="http://schemas.openxmlformats.org/officeDocument/2006/relationships/hyperlink" Target="https://rennamedia.com/wp-content/uploads/2025/04/WestfieldMay2025.pdf" TargetMode="External"/><Relationship Id="rId1014" Type="http://schemas.openxmlformats.org/officeDocument/2006/relationships/hyperlink" Target="https://rennamedia.com/wp-content/uploads/2025/05/BerkeleyHeightsJune2025.pdf" TargetMode="External"/><Relationship Id="rId1015" Type="http://schemas.openxmlformats.org/officeDocument/2006/relationships/hyperlink" Target="https://rennamedia.com/wp-content/uploads/2025/05/ClarkJune2025.pdf" TargetMode="External"/><Relationship Id="rId1016" Type="http://schemas.openxmlformats.org/officeDocument/2006/relationships/hyperlink" Target="https://rennamedia.com/wp-content/uploads/2025/05/ChathamsJune2025.pdf" TargetMode="External"/><Relationship Id="rId1017" Type="http://schemas.openxmlformats.org/officeDocument/2006/relationships/hyperlink" Target="https://rennamedia.com/wp-content/uploads/2025/05/CranfordJune2025.pdf" TargetMode="External"/><Relationship Id="rId1018" Type="http://schemas.openxmlformats.org/officeDocument/2006/relationships/hyperlink" Target="https://rennamedia.com/wp-content/uploads/2025/05/EastHanoverViewJune2025.pdf" TargetMode="External"/><Relationship Id="rId1019" Type="http://schemas.openxmlformats.org/officeDocument/2006/relationships/hyperlink" Target="https://rennamedia.com/wp-content/uploads/2025/05/ElmoraHillsMonthlyJune2025.pdf" TargetMode="External"/><Relationship Id="rId1020" Type="http://schemas.openxmlformats.org/officeDocument/2006/relationships/hyperlink" Target="https://rennamedia.com/wp-content/uploads/2025/05/FanwoodJune2025.pdf" TargetMode="External"/><Relationship Id="rId1021" Type="http://schemas.openxmlformats.org/officeDocument/2006/relationships/hyperlink" Target="https://rennamedia.com/wp-content/uploads/2025/05/FlorhamParkMonthlyJune2025.pdf" TargetMode="External"/><Relationship Id="rId1022" Type="http://schemas.openxmlformats.org/officeDocument/2006/relationships/hyperlink" Target="https://rennamedia.com/wp-content/uploads/2025/05/GarwoodJune2025.pdf" TargetMode="External"/><Relationship Id="rId1023" Type="http://schemas.openxmlformats.org/officeDocument/2006/relationships/hyperlink" Target="https://rennamedia.com/wp-content/uploads/2025/05/GreenBrookJune2025.pdf" TargetMode="External"/><Relationship Id="rId1024" Type="http://schemas.openxmlformats.org/officeDocument/2006/relationships/hyperlink" Target="https://rennamedia.com/wp-content/uploads/2025/05/HanoverPressJune2025.pdf" TargetMode="External"/><Relationship Id="rId1025" Type="http://schemas.openxmlformats.org/officeDocument/2006/relationships/hyperlink" Target="https://rennamedia.com/wp-content/uploads/2025/05/KenilworthJune2025.pdf" TargetMode="External"/><Relationship Id="rId1026" Type="http://schemas.openxmlformats.org/officeDocument/2006/relationships/hyperlink" Target="https://rennamedia.com/wp-content/uploads/2025/05/LindenJune2025.pdf" TargetMode="External"/><Relationship Id="rId1027" Type="http://schemas.openxmlformats.org/officeDocument/2006/relationships/hyperlink" Target="https://rennamedia.com/wp-content/uploads/2025/05/LivingstonMonthlyJune2025.pdf" TargetMode="External"/><Relationship Id="rId1028" Type="http://schemas.openxmlformats.org/officeDocument/2006/relationships/hyperlink" Target="https://rennamedia.com/wp-content/uploads/2025/05/LongHillJune2025.pdf" TargetMode="External"/><Relationship Id="rId1029" Type="http://schemas.openxmlformats.org/officeDocument/2006/relationships/hyperlink" Target="https://rennamedia.com/wp-content/uploads/2025/05/MadisonJune2025.pdf" TargetMode="External"/><Relationship Id="rId1030" Type="http://schemas.openxmlformats.org/officeDocument/2006/relationships/hyperlink" Target="https://rennamedia.com/wp-content/uploads/2025/05/MillburnShortHillsJune2025.pdf" TargetMode="External"/><Relationship Id="rId1031" Type="http://schemas.openxmlformats.org/officeDocument/2006/relationships/hyperlink" Target="https://rennamedia.com/wp-content/uploads/2025/05/MountainsideJune2025.pdf" TargetMode="External"/><Relationship Id="rId1032" Type="http://schemas.openxmlformats.org/officeDocument/2006/relationships/hyperlink" Target="https://rennamedia.com/wp-content/uploads/2025/05/MorristownMonthlyJune2025.pdf" TargetMode="External"/><Relationship Id="rId1033" Type="http://schemas.openxmlformats.org/officeDocument/2006/relationships/hyperlink" Target="https://rennamedia.com/wp-content/uploads/2025/05/MorrisTownshipTimesJune2025.pdf" TargetMode="External"/><Relationship Id="rId1034" Type="http://schemas.openxmlformats.org/officeDocument/2006/relationships/hyperlink" Target="https://rennamedia.com/wp-content/uploads/2025/05/NewProvidenceJune2025.pdf" TargetMode="External"/><Relationship Id="rId1035" Type="http://schemas.openxmlformats.org/officeDocument/2006/relationships/hyperlink" Target="https://rennamedia.com/wp-content/uploads/2025/05/RahwayJune2025.pdf" TargetMode="External"/><Relationship Id="rId1036" Type="http://schemas.openxmlformats.org/officeDocument/2006/relationships/hyperlink" Target="https://rennamedia.com/wp-content/uploads/2025/05/LifeInRoselandJune2025.pdf" TargetMode="External"/><Relationship Id="rId1037" Type="http://schemas.openxmlformats.org/officeDocument/2006/relationships/hyperlink" Target="https://rennamedia.com/wp-content/uploads/2025/05/RoselleParkJune2025.pdf" TargetMode="External"/><Relationship Id="rId1038" Type="http://schemas.openxmlformats.org/officeDocument/2006/relationships/hyperlink" Target="https://rennamedia.com/wp-content/uploads/2025/05/ScotchPlainsJune2025.pdf" TargetMode="External"/><Relationship Id="rId1039" Type="http://schemas.openxmlformats.org/officeDocument/2006/relationships/hyperlink" Target="https://rennamedia.com/wp-content/uploads/2025/05/UnionJune2025.pdf" TargetMode="External"/><Relationship Id="rId1040" Type="http://schemas.openxmlformats.org/officeDocument/2006/relationships/hyperlink" Target="https://rennamedia.com/wp-content/uploads/2025/05/SummitJune2025.pdf" TargetMode="External"/><Relationship Id="rId1041" Type="http://schemas.openxmlformats.org/officeDocument/2006/relationships/hyperlink" Target="https://rennamedia.com/wp-content/uploads/2025/05/WarrenJune2025.pdf" TargetMode="External"/><Relationship Id="rId1042" Type="http://schemas.openxmlformats.org/officeDocument/2006/relationships/hyperlink" Target="https://rennamedia.com/wp-content/uploads/2025/05/WatchungJune2025.pdf" TargetMode="External"/><Relationship Id="rId1043" Type="http://schemas.openxmlformats.org/officeDocument/2006/relationships/hyperlink" Target="https://rennamedia.com/wp-content/uploads/2025/05/WestfieldJune2025.pdf" TargetMode="External"/><Relationship Id="rId1044" Type="http://schemas.openxmlformats.org/officeDocument/2006/relationships/hyperlink" Target="https://rennamedia.com/wp-content/uploads/2025/06/BerkeleyHeightsJuly2025.pdf" TargetMode="External"/><Relationship Id="rId1045" Type="http://schemas.openxmlformats.org/officeDocument/2006/relationships/hyperlink" Target="https://rennamedia.com/wp-content/uploads/2025/06/ClarkJuly2025.pdf" TargetMode="External"/><Relationship Id="rId1046" Type="http://schemas.openxmlformats.org/officeDocument/2006/relationships/hyperlink" Target="https://rennamedia.com/wp-content/uploads/2025/06/ChathamsJuly2025.pdf" TargetMode="External"/><Relationship Id="rId1047" Type="http://schemas.openxmlformats.org/officeDocument/2006/relationships/hyperlink" Target="https://rennamedia.com/wp-content/uploads/2025/06/CranfordJuly2025.pdf" TargetMode="External"/><Relationship Id="rId1048" Type="http://schemas.openxmlformats.org/officeDocument/2006/relationships/hyperlink" Target="https://rennamedia.com/wp-content/uploads/2025/06/EastHanoverViewJuly2025.pdf" TargetMode="External"/><Relationship Id="rId1049" Type="http://schemas.openxmlformats.org/officeDocument/2006/relationships/hyperlink" Target="https://rennamedia.com/wp-content/uploads/2025/06/ElmoraHillsMonthlyJuly2025.pdf" TargetMode="External"/><Relationship Id="rId1050" Type="http://schemas.openxmlformats.org/officeDocument/2006/relationships/hyperlink" Target="https://rennamedia.com/wp-content/uploads/2025/06/FanwoodJuly2025.pdf" TargetMode="External"/><Relationship Id="rId1051" Type="http://schemas.openxmlformats.org/officeDocument/2006/relationships/hyperlink" Target="https://rennamedia.com/wp-content/uploads/2025/06/FlorhamParkMonthlyJuly2025.pdf" TargetMode="External"/><Relationship Id="rId1052" Type="http://schemas.openxmlformats.org/officeDocument/2006/relationships/hyperlink" Target="https://rennamedia.com/wp-content/uploads/2025/06/GarwoodJuly2025.pdf" TargetMode="External"/><Relationship Id="rId1053" Type="http://schemas.openxmlformats.org/officeDocument/2006/relationships/hyperlink" Target="https://rennamedia.com/wp-content/uploads/2025/06/GreenBrookJuly2025.pdf" TargetMode="External"/><Relationship Id="rId1054" Type="http://schemas.openxmlformats.org/officeDocument/2006/relationships/hyperlink" Target="https://rennamedia.com/wp-content/uploads/2025/06/HanoverPressJuly2025.pdf" TargetMode="External"/><Relationship Id="rId1055" Type="http://schemas.openxmlformats.org/officeDocument/2006/relationships/hyperlink" Target="https://rennamedia.com/wp-content/uploads/2025/06/KenilworthJuly2025.pdf" TargetMode="External"/><Relationship Id="rId1056" Type="http://schemas.openxmlformats.org/officeDocument/2006/relationships/hyperlink" Target="https://rennamedia.com/wp-content/uploads/2025/06/LindenJuly2025.pdf" TargetMode="External"/><Relationship Id="rId1057" Type="http://schemas.openxmlformats.org/officeDocument/2006/relationships/hyperlink" Target="https://rennamedia.com/wp-content/uploads/2025/06/LivingstonMonthlyJuly2025.pdf" TargetMode="External"/><Relationship Id="rId1058" Type="http://schemas.openxmlformats.org/officeDocument/2006/relationships/hyperlink" Target="https://rennamedia.com/wp-content/uploads/2025/06/LongHillJuly2025.pdf" TargetMode="External"/><Relationship Id="rId1059" Type="http://schemas.openxmlformats.org/officeDocument/2006/relationships/hyperlink" Target="https://rennamedia.com/wp-content/uploads/2025/06/MadisonJuly2025.pdf" TargetMode="External"/><Relationship Id="rId1060" Type="http://schemas.openxmlformats.org/officeDocument/2006/relationships/hyperlink" Target="https://rennamedia.com/wp-content/uploads/2025/06/MillburnShortHillsJuly2025.pdf" TargetMode="External"/><Relationship Id="rId1061" Type="http://schemas.openxmlformats.org/officeDocument/2006/relationships/hyperlink" Target="https://rennamedia.com/wp-content/uploads/2025/06/MountainsideJuly2025.pdf" TargetMode="External"/><Relationship Id="rId1062" Type="http://schemas.openxmlformats.org/officeDocument/2006/relationships/hyperlink" Target="https://rennamedia.com/wp-content/uploads/2025/06/MorristownMonthlyJuly2025b.pdf" TargetMode="External"/><Relationship Id="rId1063" Type="http://schemas.openxmlformats.org/officeDocument/2006/relationships/hyperlink" Target="https://rennamedia.com/wp-content/uploads/2025/06/MorrisTownshipTimesJuly2025b.pdf" TargetMode="External"/><Relationship Id="rId1064" Type="http://schemas.openxmlformats.org/officeDocument/2006/relationships/hyperlink" Target="https://rennamedia.com/wp-content/uploads/2025/06/NewProvidenceJuly2025.pdf" TargetMode="External"/><Relationship Id="rId1065" Type="http://schemas.openxmlformats.org/officeDocument/2006/relationships/hyperlink" Target="https://rennamedia.com/wp-content/uploads/2025/06/RahwayJuly2025.pdf" TargetMode="External"/><Relationship Id="rId1066" Type="http://schemas.openxmlformats.org/officeDocument/2006/relationships/hyperlink" Target="https://rennamedia.com/wp-content/uploads/2025/06/LifeInRoselandJuly2025.pdf" TargetMode="External"/><Relationship Id="rId1067" Type="http://schemas.openxmlformats.org/officeDocument/2006/relationships/hyperlink" Target="https://rennamedia.com/wp-content/uploads/2025/06/RoselleParkJuly2025.pdf" TargetMode="External"/><Relationship Id="rId1068" Type="http://schemas.openxmlformats.org/officeDocument/2006/relationships/hyperlink" Target="https://rennamedia.com/wp-content/uploads/2025/06/ScotchPlainsJuly2025.pdf" TargetMode="External"/><Relationship Id="rId1069" Type="http://schemas.openxmlformats.org/officeDocument/2006/relationships/hyperlink" Target="https://rennamedia.com/wp-content/uploads/2025/06/UnionJuly2025.pdf" TargetMode="External"/><Relationship Id="rId1070" Type="http://schemas.openxmlformats.org/officeDocument/2006/relationships/hyperlink" Target="https://rennamedia.com/wp-content/uploads/2025/06/SummitJuly2025.pdf" TargetMode="External"/><Relationship Id="rId1071" Type="http://schemas.openxmlformats.org/officeDocument/2006/relationships/hyperlink" Target="https://rennamedia.com/wp-content/uploads/2025/06/WarrenJuly2025.pdf" TargetMode="External"/><Relationship Id="rId1072" Type="http://schemas.openxmlformats.org/officeDocument/2006/relationships/hyperlink" Target="https://rennamedia.com/wp-content/uploads/2025/06/WatchungJuly2025.pdf" TargetMode="External"/><Relationship Id="rId1073" Type="http://schemas.openxmlformats.org/officeDocument/2006/relationships/hyperlink" Target="https://rennamedia.com/wp-content/uploads/2025/06/WestfieldJuly2025.pdf" TargetMode="External"/><Relationship Id="rId1074" Type="http://schemas.openxmlformats.org/officeDocument/2006/relationships/hyperlink" Target="https://rennamedia.com/wp-content/uploads/2025/07/BerkeleyHeightsAugust2025.pdf" TargetMode="External"/><Relationship Id="rId1075" Type="http://schemas.openxmlformats.org/officeDocument/2006/relationships/hyperlink" Target="https://rennamedia.com/wp-content/uploads/2025/07/ClarkAugust2025.pdf" TargetMode="External"/><Relationship Id="rId1076" Type="http://schemas.openxmlformats.org/officeDocument/2006/relationships/hyperlink" Target="https://rennamedia.com/wp-content/uploads/2025/07/ChathamsAugust2025.pdf" TargetMode="External"/><Relationship Id="rId1077" Type="http://schemas.openxmlformats.org/officeDocument/2006/relationships/hyperlink" Target="https://rennamedia.com/wp-content/uploads/2025/07/CranfordJAugust2025.pdf" TargetMode="External"/><Relationship Id="rId1078" Type="http://schemas.openxmlformats.org/officeDocument/2006/relationships/hyperlink" Target="https://rennamedia.com/wp-content/uploads/2025/07/EastHanoverViewAugust2025.pdf" TargetMode="External"/><Relationship Id="rId1079" Type="http://schemas.openxmlformats.org/officeDocument/2006/relationships/hyperlink" Target="https://rennamedia.com/wp-content/uploads/2025/07/ElmoraHillsMonthlyAugust2025.pdf" TargetMode="External"/><Relationship Id="rId1080" Type="http://schemas.openxmlformats.org/officeDocument/2006/relationships/hyperlink" Target="https://rennamedia.com/wp-content/uploads/2025/07/FanwoodAugust2025.pdf" TargetMode="External"/><Relationship Id="rId1081" Type="http://schemas.openxmlformats.org/officeDocument/2006/relationships/hyperlink" Target="https://rennamedia.com/wp-content/uploads/2025/07/FlorhamParkMonthlyAugust2025.pdf" TargetMode="External"/><Relationship Id="rId1082" Type="http://schemas.openxmlformats.org/officeDocument/2006/relationships/hyperlink" Target="https://rennamedia.com/wp-content/uploads/2025/07/GarwoodAugust2025.pdf" TargetMode="External"/><Relationship Id="rId1083" Type="http://schemas.openxmlformats.org/officeDocument/2006/relationships/hyperlink" Target="https://rennamedia.com/wp-content/uploads/2025/07/GreenBrookAugust2025.pdf" TargetMode="External"/><Relationship Id="rId1084" Type="http://schemas.openxmlformats.org/officeDocument/2006/relationships/hyperlink" Target="https://rennamedia.com/wp-content/uploads/2025/07/HanoverPressAugust2025.pdf" TargetMode="External"/><Relationship Id="rId1085" Type="http://schemas.openxmlformats.org/officeDocument/2006/relationships/hyperlink" Target="https://rennamedia.com/wp-content/uploads/2025/07/KenilworthAugust2025.pdf" TargetMode="External"/><Relationship Id="rId1086" Type="http://schemas.openxmlformats.org/officeDocument/2006/relationships/hyperlink" Target="https://rennamedia.com/wp-content/uploads/2025/07/LindenAugust2025.pdf" TargetMode="External"/><Relationship Id="rId1087" Type="http://schemas.openxmlformats.org/officeDocument/2006/relationships/hyperlink" Target="https://rennamedia.com/wp-content/uploads/2025/07/LivingstonMonthlyAugust2025.pdf" TargetMode="External"/><Relationship Id="rId1088" Type="http://schemas.openxmlformats.org/officeDocument/2006/relationships/hyperlink" Target="https://rennamedia.com/wp-content/uploads/2025/07/LongHillAugust2025.pdf" TargetMode="External"/><Relationship Id="rId1089" Type="http://schemas.openxmlformats.org/officeDocument/2006/relationships/hyperlink" Target="https://rennamedia.com/wp-content/uploads/2025/07/MadisonAugust2025.pdf" TargetMode="External"/><Relationship Id="rId1090" Type="http://schemas.openxmlformats.org/officeDocument/2006/relationships/hyperlink" Target="https://rennamedia.com/wp-content/uploads/2025/07/MillburnShortHillsAugust2025.pdf" TargetMode="External"/><Relationship Id="rId1091" Type="http://schemas.openxmlformats.org/officeDocument/2006/relationships/hyperlink" Target="https://rennamedia.com/wp-content/uploads/2025/07/MountainsideAugust2025.pdf" TargetMode="External"/><Relationship Id="rId1092" Type="http://schemas.openxmlformats.org/officeDocument/2006/relationships/hyperlink" Target="https://rennamedia.com/wp-content/uploads/2025/07/MorristownMonthlyAugust2025.pdf" TargetMode="External"/><Relationship Id="rId1093" Type="http://schemas.openxmlformats.org/officeDocument/2006/relationships/hyperlink" Target="https://rennamedia.com/wp-content/uploads/2025/07/MorrisTownshipTimesAugust2025.pdf" TargetMode="External"/><Relationship Id="rId1094" Type="http://schemas.openxmlformats.org/officeDocument/2006/relationships/hyperlink" Target="https://rennamedia.com/wp-content/uploads/2025/07/NewProvidenceAugust2025.pdf" TargetMode="External"/><Relationship Id="rId1095" Type="http://schemas.openxmlformats.org/officeDocument/2006/relationships/hyperlink" Target="https://rennamedia.com/wp-content/uploads/2025/07/RahwayAugust2025.pdf" TargetMode="External"/><Relationship Id="rId1096" Type="http://schemas.openxmlformats.org/officeDocument/2006/relationships/hyperlink" Target="https://rennamedia.com/wp-content/uploads/2025/07/LifeInRoselandAugust2025.pdf" TargetMode="External"/><Relationship Id="rId1097" Type="http://schemas.openxmlformats.org/officeDocument/2006/relationships/hyperlink" Target="https://rennamedia.com/wp-content/uploads/2025/07/RoselleParkAugust2025.pdf" TargetMode="External"/><Relationship Id="rId1098" Type="http://schemas.openxmlformats.org/officeDocument/2006/relationships/hyperlink" Target="https://rennamedia.com/wp-content/uploads/2025/07/ScotchPlainsAugust2025.pdf" TargetMode="External"/><Relationship Id="rId1099" Type="http://schemas.openxmlformats.org/officeDocument/2006/relationships/hyperlink" Target="https://rennamedia.com/wp-content/uploads/2025/07/UnionAugust2025.pdf" TargetMode="External"/><Relationship Id="rId1100" Type="http://schemas.openxmlformats.org/officeDocument/2006/relationships/hyperlink" Target="https://rennamedia.com/wp-content/uploads/2025/07/SummitAugust2025.pdf" TargetMode="External"/><Relationship Id="rId1101" Type="http://schemas.openxmlformats.org/officeDocument/2006/relationships/hyperlink" Target="https://rennamedia.com/wp-content/uploads/2025/07/WarrenAugust2025.pdf" TargetMode="External"/><Relationship Id="rId1102" Type="http://schemas.openxmlformats.org/officeDocument/2006/relationships/hyperlink" Target="https://rennamedia.com/wp-content/uploads/2025/07/WatchungAugust2025.pdf" TargetMode="External"/><Relationship Id="rId1103" Type="http://schemas.openxmlformats.org/officeDocument/2006/relationships/hyperlink" Target="https://rennamedia.com/wp-content/uploads/2025/07/WestfieldAugust2025.pdf" TargetMode="External"/><Relationship Id="rId1104" Type="http://schemas.openxmlformats.org/officeDocument/2006/relationships/hyperlink" Target="https://rennamedia.com/wp-content/uploads/2025/08/BerkeleyHeightsSeptember2025.pdf" TargetMode="External"/><Relationship Id="rId1105" Type="http://schemas.openxmlformats.org/officeDocument/2006/relationships/hyperlink" Target="https://rennamedia.com/wp-content/uploads/2025/08/ClarkSeptember2025.pdf" TargetMode="External"/><Relationship Id="rId1106" Type="http://schemas.openxmlformats.org/officeDocument/2006/relationships/hyperlink" Target="https://rennamedia.com/wp-content/uploads/2025/08/ChathamsSeptember2025.pdf" TargetMode="External"/><Relationship Id="rId1107" Type="http://schemas.openxmlformats.org/officeDocument/2006/relationships/hyperlink" Target="https://rennamedia.com/wp-content/uploads/2025/08/CranfordSeptember2025.pdf" TargetMode="External"/><Relationship Id="rId1108" Type="http://schemas.openxmlformats.org/officeDocument/2006/relationships/hyperlink" Target="https://rennamedia.com/wp-content/uploads/2025/08/EastHanoverViewSeptember2025.pdf" TargetMode="External"/><Relationship Id="rId1109" Type="http://schemas.openxmlformats.org/officeDocument/2006/relationships/hyperlink" Target="https://rennamedia.com/wp-content/uploads/2025/08/ElmoraHillsMonthlySeptember2025.pdf" TargetMode="External"/><Relationship Id="rId1110" Type="http://schemas.openxmlformats.org/officeDocument/2006/relationships/hyperlink" Target="https://rennamedia.com/wp-content/uploads/2025/08/FanwoodSeptember2025.pdf" TargetMode="External"/><Relationship Id="rId1111" Type="http://schemas.openxmlformats.org/officeDocument/2006/relationships/hyperlink" Target="https://rennamedia.com/wp-content/uploads/2025/08/GarwoodSeptember2025.pdf" TargetMode="External"/><Relationship Id="rId1112" Type="http://schemas.openxmlformats.org/officeDocument/2006/relationships/hyperlink" Target="https://rennamedia.com/wp-content/uploads/2025/08/GreenBrookSeptember2025.pdf" TargetMode="External"/><Relationship Id="rId1113" Type="http://schemas.openxmlformats.org/officeDocument/2006/relationships/hyperlink" Target="https://rennamedia.com/wp-content/uploads/2025/08/HanoverPressSeptember2025.pdf" TargetMode="External"/><Relationship Id="rId1114" Type="http://schemas.openxmlformats.org/officeDocument/2006/relationships/hyperlink" Target="https://rennamedia.com/wp-content/uploads/2025/08/KenilworthSeptember2025.pdf" TargetMode="External"/><Relationship Id="rId1115" Type="http://schemas.openxmlformats.org/officeDocument/2006/relationships/hyperlink" Target="https://rennamedia.com/wp-content/uploads/2025/08/LindenSeptember2025.pdf" TargetMode="External"/><Relationship Id="rId1116" Type="http://schemas.openxmlformats.org/officeDocument/2006/relationships/hyperlink" Target="https://rennamedia.com/wp-content/uploads/2025/08/LivingstonMonthlySeptember2025.pdf" TargetMode="External"/><Relationship Id="rId1117" Type="http://schemas.openxmlformats.org/officeDocument/2006/relationships/hyperlink" Target="https://rennamedia.com/wp-content/uploads/2025/08/LongHillSeptember2025.pdf" TargetMode="External"/><Relationship Id="rId1118" Type="http://schemas.openxmlformats.org/officeDocument/2006/relationships/hyperlink" Target="https://rennamedia.com/wp-content/uploads/2025/08/MadisonSeptember2025.pdf" TargetMode="External"/><Relationship Id="rId1119" Type="http://schemas.openxmlformats.org/officeDocument/2006/relationships/hyperlink" Target="https://rennamedia.com/wp-content/uploads/2025/08/MillburnShortHillsSeptember2025.pdf" TargetMode="External"/><Relationship Id="rId1120" Type="http://schemas.openxmlformats.org/officeDocument/2006/relationships/hyperlink" Target="https://rennamedia.com/wp-content/uploads/2025/08/MountainsideSeptember2025.pdf" TargetMode="External"/><Relationship Id="rId1121" Type="http://schemas.openxmlformats.org/officeDocument/2006/relationships/hyperlink" Target="https://rennamedia.com/wp-content/uploads/2025/08/MorristownMonthlySeptember2025.pdf" TargetMode="External"/><Relationship Id="rId1122" Type="http://schemas.openxmlformats.org/officeDocument/2006/relationships/hyperlink" Target="https://rennamedia.com/wp-content/uploads/2025/08/MorrisTownshipTimesSeptember2025.pdf" TargetMode="External"/><Relationship Id="rId1123" Type="http://schemas.openxmlformats.org/officeDocument/2006/relationships/hyperlink" Target="https://rennamedia.com/wp-content/uploads/2025/08/NewProvidenceSeptember2025.pdf" TargetMode="External"/><Relationship Id="rId1124" Type="http://schemas.openxmlformats.org/officeDocument/2006/relationships/hyperlink" Target="https://rennamedia.com/wp-content/uploads/2025/08/RahwaySeptember2025.pdf" TargetMode="External"/><Relationship Id="rId1125" Type="http://schemas.openxmlformats.org/officeDocument/2006/relationships/hyperlink" Target="https://rennamedia.com/wp-content/uploads/2025/08/LifeInRoselandSeptember2025.pdf" TargetMode="External"/><Relationship Id="rId1126" Type="http://schemas.openxmlformats.org/officeDocument/2006/relationships/hyperlink" Target="https://rennamedia.com/wp-content/uploads/2025/08/RoselleParkSeptember2025.pdf" TargetMode="External"/><Relationship Id="rId1127" Type="http://schemas.openxmlformats.org/officeDocument/2006/relationships/hyperlink" Target="https://rennamedia.com/wp-content/uploads/2025/08/ScotchPlainsSeptember2025.pdf" TargetMode="External"/><Relationship Id="rId1128" Type="http://schemas.openxmlformats.org/officeDocument/2006/relationships/hyperlink" Target="https://rennamedia.com/wp-content/uploads/2025/08/UnionSeptember202.pdf" TargetMode="External"/><Relationship Id="rId1129" Type="http://schemas.openxmlformats.org/officeDocument/2006/relationships/hyperlink" Target="https://rennamedia.com/wp-content/uploads/2025/08/SummitSeptember2025.pdf" TargetMode="External"/><Relationship Id="rId1130" Type="http://schemas.openxmlformats.org/officeDocument/2006/relationships/hyperlink" Target="https://rennamedia.com/wp-content/uploads/2025/08/WarrenSeptember2025.pdf" TargetMode="External"/><Relationship Id="rId1131" Type="http://schemas.openxmlformats.org/officeDocument/2006/relationships/hyperlink" Target="https://rennamedia.com/wp-content/uploads/2025/08/WatchungSeptember2025.pdf" TargetMode="External"/><Relationship Id="rId1132" Type="http://schemas.openxmlformats.org/officeDocument/2006/relationships/hyperlink" Target="https://rennamedia.com/wp-content/uploads/2025/08/WestfieldSeptember2025.pdf" TargetMode="External"/><Relationship Id="rId1133" Type="http://schemas.openxmlformats.org/officeDocument/2006/relationships/hyperlink" Target="https://rennamedia.com/wp-content/uploads/2025/09/BerkeleyHeightsOctober2025.pdf" TargetMode="External"/><Relationship Id="rId1134" Type="http://schemas.openxmlformats.org/officeDocument/2006/relationships/hyperlink" Target="https://rennamedia.com/wp-content/uploads/2025/09/ClarkOctober2025.pdf" TargetMode="External"/><Relationship Id="rId1135" Type="http://schemas.openxmlformats.org/officeDocument/2006/relationships/hyperlink" Target="https://rennamedia.com/wp-content/uploads/2025/09/ChathamsOctober2025.pdf" TargetMode="External"/><Relationship Id="rId1136" Type="http://schemas.openxmlformats.org/officeDocument/2006/relationships/hyperlink" Target="https://rennamedia.com/wp-content/uploads/2025/09/CranfordOctober2025.pdf" TargetMode="External"/><Relationship Id="rId1137" Type="http://schemas.openxmlformats.org/officeDocument/2006/relationships/hyperlink" Target="https://rennamedia.com/wp-content/uploads/2025/09/EastHanoverViewOctober2025.pdf" TargetMode="External"/><Relationship Id="rId1138" Type="http://schemas.openxmlformats.org/officeDocument/2006/relationships/hyperlink" Target="https://rennamedia.com/wp-content/uploads/2025/09/ElmoraHillsMonthlyOctober2025.pdf" TargetMode="External"/><Relationship Id="rId1139" Type="http://schemas.openxmlformats.org/officeDocument/2006/relationships/hyperlink" Target="https://rennamedia.com/wp-content/uploads/2025/09/FanwoodOctober2025.pdf" TargetMode="External"/><Relationship Id="rId1140" Type="http://schemas.openxmlformats.org/officeDocument/2006/relationships/hyperlink" Target="https://rennamedia.com/wp-content/uploads/2025/09/FlorhamParkMonthlyOctober2025.pdf" TargetMode="External"/><Relationship Id="rId1141" Type="http://schemas.openxmlformats.org/officeDocument/2006/relationships/hyperlink" Target="https://rennamedia.com/wp-content/uploads/2025/09/GarwoodOctober2025.pdf" TargetMode="External"/><Relationship Id="rId1142" Type="http://schemas.openxmlformats.org/officeDocument/2006/relationships/hyperlink" Target="https://rennamedia.com/wp-content/uploads/2025/09/GreenBrookOctober2025.pdf" TargetMode="External"/><Relationship Id="rId1143" Type="http://schemas.openxmlformats.org/officeDocument/2006/relationships/hyperlink" Target="https://rennamedia.com/wp-content/uploads/2025/09/HanoverPressOctober2025.pdf" TargetMode="External"/><Relationship Id="rId1144" Type="http://schemas.openxmlformats.org/officeDocument/2006/relationships/hyperlink" Target="https://rennamedia.com/wp-content/uploads/2025/09/KenilworthOctober2025.pdf" TargetMode="External"/><Relationship Id="rId1145" Type="http://schemas.openxmlformats.org/officeDocument/2006/relationships/hyperlink" Target="https://rennamedia.com/wp-content/uploads/2025/09/LindenOctober2025.pdf" TargetMode="External"/><Relationship Id="rId1146" Type="http://schemas.openxmlformats.org/officeDocument/2006/relationships/hyperlink" Target="https://rennamedia.com/wp-content/uploads/2025/09/LivingstonMonthlyOctober2025.pdf" TargetMode="External"/><Relationship Id="rId1147" Type="http://schemas.openxmlformats.org/officeDocument/2006/relationships/hyperlink" Target="https://rennamedia.com/wp-content/uploads/2025/09/LongHillOctober2025.pdf" TargetMode="External"/><Relationship Id="rId1148" Type="http://schemas.openxmlformats.org/officeDocument/2006/relationships/hyperlink" Target="https://rennamedia.com/wp-content/uploads/2025/09/MadisonOctober2025.pdf" TargetMode="External"/><Relationship Id="rId1149" Type="http://schemas.openxmlformats.org/officeDocument/2006/relationships/hyperlink" Target="https://rennamedia.com/wp-content/uploads/2025/09/MillburnShortHillsOctober2025.pdf" TargetMode="External"/><Relationship Id="rId1150" Type="http://schemas.openxmlformats.org/officeDocument/2006/relationships/hyperlink" Target="https://rennamedia.com/wp-content/uploads/2025/09/MountainsideOctober2025.pdf" TargetMode="External"/><Relationship Id="rId1151" Type="http://schemas.openxmlformats.org/officeDocument/2006/relationships/hyperlink" Target="https://rennamedia.com/wp-content/uploads/2025/09/MorristownMonthlyOctober2025.pdf" TargetMode="External"/><Relationship Id="rId1152" Type="http://schemas.openxmlformats.org/officeDocument/2006/relationships/hyperlink" Target="https://rennamedia.com/wp-content/uploads/2025/09/MorrisTownshipTimesOctober2025.pdf" TargetMode="External"/><Relationship Id="rId1153" Type="http://schemas.openxmlformats.org/officeDocument/2006/relationships/hyperlink" Target="https://rennamedia.com/wp-content/uploads/2025/09/NewProvidenceOctober2025.pdf" TargetMode="External"/><Relationship Id="rId1154" Type="http://schemas.openxmlformats.org/officeDocument/2006/relationships/hyperlink" Target="https://rennamedia.com/wp-content/uploads/2025/09/RahwayOctober2025.pdf" TargetMode="External"/><Relationship Id="rId1155" Type="http://schemas.openxmlformats.org/officeDocument/2006/relationships/hyperlink" Target="https://rennamedia.com/wp-content/uploads/2025/09/LifeInRoselandOctober2025.pdf" TargetMode="External"/><Relationship Id="rId1156" Type="http://schemas.openxmlformats.org/officeDocument/2006/relationships/hyperlink" Target="https://rennamedia.com/wp-content/uploads/2025/09/RoselleParkOctober2025.pdf" TargetMode="External"/><Relationship Id="rId1157" Type="http://schemas.openxmlformats.org/officeDocument/2006/relationships/hyperlink" Target="https://rennamedia.com/wp-content/uploads/2025/09/ScotchPlainsOctober2025.pdf" TargetMode="External"/><Relationship Id="rId1158" Type="http://schemas.openxmlformats.org/officeDocument/2006/relationships/hyperlink" Target="https://rennamedia.com/wp-content/uploads/2025/09/UnionOctober2025.pdf" TargetMode="External"/><Relationship Id="rId1159" Type="http://schemas.openxmlformats.org/officeDocument/2006/relationships/hyperlink" Target="https://rennamedia.com/wp-content/uploads/2025/09/SummitOctober2025.pdf" TargetMode="External"/><Relationship Id="rId1160" Type="http://schemas.openxmlformats.org/officeDocument/2006/relationships/hyperlink" Target="https://rennamedia.com/wp-content/uploads/2025/09/WarrenOctober2025.pdf" TargetMode="External"/><Relationship Id="rId1161" Type="http://schemas.openxmlformats.org/officeDocument/2006/relationships/hyperlink" Target="https://rennamedia.com/wp-content/uploads/2025/09/WatchungOctober2025.pdf" TargetMode="External"/><Relationship Id="rId1162" Type="http://schemas.openxmlformats.org/officeDocument/2006/relationships/hyperlink" Target="https://rennamedia.com/wp-content/uploads/2025/09/WestfieldOctober2025.pdf" TargetMode="External"/><Relationship Id="rId1163" Type="http://schemas.openxmlformats.org/officeDocument/2006/relationships/hyperlink" Target="https://rennamedia.com/wp-content/uploads/2025/10/BerkeleyHeightsNovember2025.pdf" TargetMode="External"/><Relationship Id="rId1164" Type="http://schemas.openxmlformats.org/officeDocument/2006/relationships/hyperlink" Target="https://rennamedia.com/wp-content/uploads/2025/10/ClarkNovember2025.pdf" TargetMode="External"/><Relationship Id="rId1165" Type="http://schemas.openxmlformats.org/officeDocument/2006/relationships/hyperlink" Target="https://rennamedia.com/wp-content/uploads/2025/10/ChathamsNovember2025.pdf" TargetMode="External"/><Relationship Id="rId1166" Type="http://schemas.openxmlformats.org/officeDocument/2006/relationships/hyperlink" Target="https://rennamedia.com/wp-content/uploads/2025/10/CranfordNovember2025.pdf" TargetMode="External"/><Relationship Id="rId1167" Type="http://schemas.openxmlformats.org/officeDocument/2006/relationships/hyperlink" Target="https://rennamedia.com/wp-content/uploads/2025/10/EastHanoverViewNovember2025.pdf" TargetMode="External"/><Relationship Id="rId1168" Type="http://schemas.openxmlformats.org/officeDocument/2006/relationships/hyperlink" Target="https://rennamedia.com/wp-content/uploads/2025/10/ElmoraHillsMonthlyNovember2025.pdf" TargetMode="External"/><Relationship Id="rId1169" Type="http://schemas.openxmlformats.org/officeDocument/2006/relationships/hyperlink" Target="https://rennamedia.com/wp-content/uploads/2025/10/FanwoodNovember2025.pdf" TargetMode="External"/><Relationship Id="rId1170" Type="http://schemas.openxmlformats.org/officeDocument/2006/relationships/hyperlink" Target="https://rennamedia.com/wp-content/uploads/2025/10/FlorhamParkMonthlyNovember2025.pdf" TargetMode="External"/><Relationship Id="rId1171" Type="http://schemas.openxmlformats.org/officeDocument/2006/relationships/hyperlink" Target="https://rennamedia.com/wp-content/uploads/2025/10/GarwoodNovember2025.pdf" TargetMode="External"/><Relationship Id="rId1172" Type="http://schemas.openxmlformats.org/officeDocument/2006/relationships/hyperlink" Target="https://rennamedia.com/wp-content/uploads/2025/10/GreenBrookNovember2025.pdf" TargetMode="External"/><Relationship Id="rId1173" Type="http://schemas.openxmlformats.org/officeDocument/2006/relationships/hyperlink" Target="https://rennamedia.com/wp-content/uploads/2025/10/HanoverPressNovember2025.pdf" TargetMode="External"/><Relationship Id="rId1174" Type="http://schemas.openxmlformats.org/officeDocument/2006/relationships/hyperlink" Target="https://rennamedia.com/wp-content/uploads/2025/10/KenilworthNovember2025.pdf" TargetMode="External"/><Relationship Id="rId1175" Type="http://schemas.openxmlformats.org/officeDocument/2006/relationships/hyperlink" Target="https://rennamedia.com/wp-content/uploads/2025/10/LindenNovember2025.pdf" TargetMode="External"/><Relationship Id="rId1176" Type="http://schemas.openxmlformats.org/officeDocument/2006/relationships/hyperlink" Target="https://rennamedia.com/wp-content/uploads/2025/10/LivingstonMonthlyNovember2025.pdf" TargetMode="External"/><Relationship Id="rId1177" Type="http://schemas.openxmlformats.org/officeDocument/2006/relationships/hyperlink" Target="https://rennamedia.com/wp-content/uploads/2025/10/LongHillNovember2025.pdf" TargetMode="External"/><Relationship Id="rId1178" Type="http://schemas.openxmlformats.org/officeDocument/2006/relationships/hyperlink" Target="https://rennamedia.com/wp-content/uploads/2025/10/MadisonNovember2025.pdf" TargetMode="External"/><Relationship Id="rId1179" Type="http://schemas.openxmlformats.org/officeDocument/2006/relationships/hyperlink" Target="https://rennamedia.com/wp-content/uploads/2025/10/MillburnShortHillsNovember2025.pdf" TargetMode="External"/><Relationship Id="rId1180" Type="http://schemas.openxmlformats.org/officeDocument/2006/relationships/hyperlink" Target="https://rennamedia.com/wp-content/uploads/2025/10/MountainsideNovember2025.pdf" TargetMode="External"/><Relationship Id="rId1181" Type="http://schemas.openxmlformats.org/officeDocument/2006/relationships/hyperlink" Target="https://rennamedia.com/wp-content/uploads/2025/10/MorristownMonthlyNovember2025.pdf" TargetMode="External"/><Relationship Id="rId1182" Type="http://schemas.openxmlformats.org/officeDocument/2006/relationships/hyperlink" Target="https://rennamedia.com/wp-content/uploads/2025/10/MorrisTownshipTimesNovember2025.pdf" TargetMode="External"/><Relationship Id="rId1183" Type="http://schemas.openxmlformats.org/officeDocument/2006/relationships/hyperlink" Target="https://rennamedia.com/wp-content/uploads/2025/10/NewProvidenceNovember2025.pdf" TargetMode="External"/><Relationship Id="rId1184" Type="http://schemas.openxmlformats.org/officeDocument/2006/relationships/hyperlink" Target="https://rennamedia.com/wp-content/uploads/2025/10/RahwayNovember2025.pdf" TargetMode="External"/><Relationship Id="rId1185" Type="http://schemas.openxmlformats.org/officeDocument/2006/relationships/hyperlink" Target="https://rennamedia.com/wp-content/uploads/2025/10/LifeInRoselandNovember2025.pdf" TargetMode="External"/><Relationship Id="rId1186" Type="http://schemas.openxmlformats.org/officeDocument/2006/relationships/hyperlink" Target="https://rennamedia.com/wp-content/uploads/2025/10/RoselleParkNovember2025.pdf" TargetMode="External"/><Relationship Id="rId1187" Type="http://schemas.openxmlformats.org/officeDocument/2006/relationships/hyperlink" Target="https://rennamedia.com/wp-content/uploads/2025/10/ScotchPlainsNovember2025.pdf" TargetMode="External"/><Relationship Id="rId1188" Type="http://schemas.openxmlformats.org/officeDocument/2006/relationships/hyperlink" Target="https://rennamedia.com/wp-content/uploads/2025/10/UnionNovember2025.pdf" TargetMode="External"/><Relationship Id="rId1189" Type="http://schemas.openxmlformats.org/officeDocument/2006/relationships/hyperlink" Target="https://rennamedia.com/wp-content/uploads/2025/10/SummitNovember2025.pdf" TargetMode="External"/><Relationship Id="rId1190" Type="http://schemas.openxmlformats.org/officeDocument/2006/relationships/hyperlink" Target="https://rennamedia.com/wp-content/uploads/2025/10/WarrenNovember2025.pdf" TargetMode="External"/><Relationship Id="rId1191" Type="http://schemas.openxmlformats.org/officeDocument/2006/relationships/hyperlink" Target="https://rennamedia.com/wp-content/uploads/2025/10/WatchungNovember2025.pdf" TargetMode="External"/><Relationship Id="rId1192" Type="http://schemas.openxmlformats.org/officeDocument/2006/relationships/hyperlink" Target="https://rennamedia.com/wp-content/uploads/2025/10/WestfieldNovember2025.pdf" TargetMode="External"/><Relationship Id="rId1193" Type="http://schemas.openxmlformats.org/officeDocument/2006/relationships/hyperlink" Target="https://rennamedia.com/wp-content/uploads/2025/11/BerkeleyHeightsDecember2025.pdf" TargetMode="External"/><Relationship Id="rId1194" Type="http://schemas.openxmlformats.org/officeDocument/2006/relationships/hyperlink" Target="https://rennamedia.com/wp-content/uploads/2025/11/ClarkDecember2025.pdf" TargetMode="External"/><Relationship Id="rId1195" Type="http://schemas.openxmlformats.org/officeDocument/2006/relationships/hyperlink" Target="https://rennamedia.com/wp-content/uploads/2025/11/ChathamsDecember2025.pdf" TargetMode="External"/><Relationship Id="rId1196" Type="http://schemas.openxmlformats.org/officeDocument/2006/relationships/hyperlink" Target="https://rennamedia.com/wp-content/uploads/2025/11/CranfordDecember2025.pdf" TargetMode="External"/><Relationship Id="rId1197" Type="http://schemas.openxmlformats.org/officeDocument/2006/relationships/hyperlink" Target="https://rennamedia.com/wp-content/uploads/2025/11/EastHanoverViewDecember2025.pdf" TargetMode="External"/><Relationship Id="rId1198" Type="http://schemas.openxmlformats.org/officeDocument/2006/relationships/hyperlink" Target="https://rennamedia.com/wp-content/uploads/2025/11/ElmoraHillsMonthlyDecember2025.pdf" TargetMode="External"/><Relationship Id="rId1199" Type="http://schemas.openxmlformats.org/officeDocument/2006/relationships/hyperlink" Target="https://rennamedia.com/wp-content/uploads/2025/11/FanwoodDecember2025.pdf" TargetMode="External"/><Relationship Id="rId1200" Type="http://schemas.openxmlformats.org/officeDocument/2006/relationships/hyperlink" Target="https://rennamedia.com/wp-content/uploads/2025/11/FlorhamParkMonthlyDecember2025.pdf" TargetMode="External"/><Relationship Id="rId1201" Type="http://schemas.openxmlformats.org/officeDocument/2006/relationships/hyperlink" Target="https://rennamedia.com/wp-content/uploads/2025/11/GarwoodDecember2025.pdf" TargetMode="External"/><Relationship Id="rId1202" Type="http://schemas.openxmlformats.org/officeDocument/2006/relationships/hyperlink" Target="https://rennamedia.com/wp-content/uploads/2025/11/GreenBrookDecember2025.pdf" TargetMode="External"/><Relationship Id="rId1203" Type="http://schemas.openxmlformats.org/officeDocument/2006/relationships/hyperlink" Target="https://rennamedia.com/wp-content/uploads/2025/11/HanoverPressDecember2025.pdf" TargetMode="External"/><Relationship Id="rId1204" Type="http://schemas.openxmlformats.org/officeDocument/2006/relationships/hyperlink" Target="https://rennamedia.com/wp-content/uploads/2025/11/KenilworthDecember2025.pdf" TargetMode="External"/><Relationship Id="rId1205" Type="http://schemas.openxmlformats.org/officeDocument/2006/relationships/hyperlink" Target="https://rennamedia.com/wp-content/uploads/2025/11/LindenDecember2025.pdf" TargetMode="External"/><Relationship Id="rId1206" Type="http://schemas.openxmlformats.org/officeDocument/2006/relationships/hyperlink" Target="https://rennamedia.com/wp-content/uploads/2025/11/LivingstonMonthlyDecember2025.pdf" TargetMode="External"/><Relationship Id="rId1207" Type="http://schemas.openxmlformats.org/officeDocument/2006/relationships/hyperlink" Target="https://rennamedia.com/wp-content/uploads/2025/11/LongHillDecember2025.pdf" TargetMode="External"/><Relationship Id="rId1208" Type="http://schemas.openxmlformats.org/officeDocument/2006/relationships/hyperlink" Target="https://rennamedia.com/wp-content/uploads/2025/11/MadisonDecember2025.pdf" TargetMode="External"/><Relationship Id="rId1209" Type="http://schemas.openxmlformats.org/officeDocument/2006/relationships/hyperlink" Target="https://rennamedia.com/wp-content/uploads/2025/11/MillburnShortHillsDecember2025.pdf" TargetMode="External"/><Relationship Id="rId1210" Type="http://schemas.openxmlformats.org/officeDocument/2006/relationships/hyperlink" Target="https://rennamedia.com/wp-content/uploads/2025/11/MountainsideDecember2025.pdf" TargetMode="External"/><Relationship Id="rId1211" Type="http://schemas.openxmlformats.org/officeDocument/2006/relationships/hyperlink" Target="https://rennamedia.com/wp-content/uploads/2025/11/MorristownMonthlyDecember2025.pdf" TargetMode="External"/><Relationship Id="rId1212" Type="http://schemas.openxmlformats.org/officeDocument/2006/relationships/hyperlink" Target="https://rennamedia.com/wp-content/uploads/2025/11/MorrisTownshipTimesDecember2025.pdf" TargetMode="External"/><Relationship Id="rId1213" Type="http://schemas.openxmlformats.org/officeDocument/2006/relationships/hyperlink" Target="https://rennamedia.com/wp-content/uploads/2025/11/NewProvidenceDecember2025.pdf" TargetMode="External"/><Relationship Id="rId1214" Type="http://schemas.openxmlformats.org/officeDocument/2006/relationships/hyperlink" Target="https://rennamedia.com/wp-content/uploads/2025/11/RahwayDecember2025.pdf" TargetMode="External"/><Relationship Id="rId1215" Type="http://schemas.openxmlformats.org/officeDocument/2006/relationships/hyperlink" Target="https://rennamedia.com/wp-content/uploads/2025/11/LifeInRoselandDecember2025.pdf" TargetMode="External"/><Relationship Id="rId1216" Type="http://schemas.openxmlformats.org/officeDocument/2006/relationships/hyperlink" Target="https://rennamedia.com/wp-content/uploads/2025/11/RoselleParkDecember2025.pdf" TargetMode="External"/><Relationship Id="rId1217" Type="http://schemas.openxmlformats.org/officeDocument/2006/relationships/hyperlink" Target="https://rennamedia.com/wp-content/uploads/2025/11/ScotchPlainsDecember2025.pdf" TargetMode="External"/><Relationship Id="rId1218" Type="http://schemas.openxmlformats.org/officeDocument/2006/relationships/hyperlink" Target="https://rennamedia.com/wp-content/uploads/2025/11/UnionNDecember2025.pdf" TargetMode="External"/><Relationship Id="rId1219" Type="http://schemas.openxmlformats.org/officeDocument/2006/relationships/hyperlink" Target="https://rennamedia.com/wp-content/uploads/2025/11/SummitDecember2025.pdf" TargetMode="External"/><Relationship Id="rId1220" Type="http://schemas.openxmlformats.org/officeDocument/2006/relationships/hyperlink" Target="https://rennamedia.com/wp-content/uploads/2025/11/WarrenDecember2025.pdf" TargetMode="External"/><Relationship Id="rId1221" Type="http://schemas.openxmlformats.org/officeDocument/2006/relationships/hyperlink" Target="https://rennamedia.com/wp-content/uploads/2025/11/WatchungDecember2025.pdf" TargetMode="External"/><Relationship Id="rId1222" Type="http://schemas.openxmlformats.org/officeDocument/2006/relationships/hyperlink" Target="https://rennamedia.com/wp-content/uploads/2025/11/WestfieldDecember2025.pdf" TargetMode="External"/><Relationship Id="rId1223" Type="http://schemas.openxmlformats.org/officeDocument/2006/relationships/hyperlink" Target="https://rennamedia.com/wp-content/uploads/2025/12/BerkeleyHeightsJanuary2026.pdf" TargetMode="External"/><Relationship Id="rId1224" Type="http://schemas.openxmlformats.org/officeDocument/2006/relationships/hyperlink" Target="https://rennamedia.com/wp-content/uploads/2025/12/ClarkJanuary2026.pdf" TargetMode="External"/><Relationship Id="rId1225" Type="http://schemas.openxmlformats.org/officeDocument/2006/relationships/hyperlink" Target="https://rennamedia.com/wp-content/uploads/2025/12/ChathamsJanuary2026.pdf" TargetMode="External"/><Relationship Id="rId1226" Type="http://schemas.openxmlformats.org/officeDocument/2006/relationships/hyperlink" Target="https://rennamedia.com/wp-content/uploads/2025/12/CranfordJanuary2026.pdf" TargetMode="External"/><Relationship Id="rId1227" Type="http://schemas.openxmlformats.org/officeDocument/2006/relationships/hyperlink" Target="https://rennamedia.com/wp-content/uploads/2025/12/EastHanoverViewJanuary2026.pdf" TargetMode="External"/><Relationship Id="rId1228" Type="http://schemas.openxmlformats.org/officeDocument/2006/relationships/hyperlink" Target="https://rennamedia.com/wp-content/uploads/2025/12/ElmoraHillsMonthlyJanuary2026.pdf" TargetMode="External"/><Relationship Id="rId1229" Type="http://schemas.openxmlformats.org/officeDocument/2006/relationships/hyperlink" Target="https://rennamedia.com/wp-content/uploads/2025/12/FanwoodJanuary2026.pdf" TargetMode="External"/><Relationship Id="rId1230" Type="http://schemas.openxmlformats.org/officeDocument/2006/relationships/hyperlink" Target="https://rennamedia.com/wp-content/uploads/2025/12/FlorhamParkMonthlyJanuary2026.pdf" TargetMode="External"/><Relationship Id="rId1231" Type="http://schemas.openxmlformats.org/officeDocument/2006/relationships/hyperlink" Target="https://rennamedia.com/wp-content/uploads/2025/12/GarwoodJanuary2026.pdf" TargetMode="External"/><Relationship Id="rId1232" Type="http://schemas.openxmlformats.org/officeDocument/2006/relationships/hyperlink" Target="https://rennamedia.com/wp-content/uploads/2025/12/GreenBrookJanuary2026.pdf" TargetMode="External"/><Relationship Id="rId1233" Type="http://schemas.openxmlformats.org/officeDocument/2006/relationships/hyperlink" Target="https://rennamedia.com/wp-content/uploads/2025/12/HanoverPressJanuary2026.pdf" TargetMode="External"/><Relationship Id="rId1234" Type="http://schemas.openxmlformats.org/officeDocument/2006/relationships/hyperlink" Target="https://rennamedia.com/wp-content/uploads/2025/12/KenilworthJanuary2026.pdf" TargetMode="External"/><Relationship Id="rId1235" Type="http://schemas.openxmlformats.org/officeDocument/2006/relationships/hyperlink" Target="https://rennamedia.com/wp-content/uploads/2025/12/LindenJanuary2026.pdf" TargetMode="External"/><Relationship Id="rId1236" Type="http://schemas.openxmlformats.org/officeDocument/2006/relationships/hyperlink" Target="https://rennamedia.com/wp-content/uploads/2025/12/LivingstonMonthlyJanuary2026.pdf" TargetMode="External"/><Relationship Id="rId1237" Type="http://schemas.openxmlformats.org/officeDocument/2006/relationships/hyperlink" Target="https://rennamedia.com/wp-content/uploads/2025/12/LongHillJanuary2026.pdf" TargetMode="External"/><Relationship Id="rId1238" Type="http://schemas.openxmlformats.org/officeDocument/2006/relationships/hyperlink" Target="https://rennamedia.com/wp-content/uploads/2025/12/MadisonJanuary2026.pdf" TargetMode="External"/><Relationship Id="rId1239" Type="http://schemas.openxmlformats.org/officeDocument/2006/relationships/hyperlink" Target="https://rennamedia.com/wp-content/uploads/2025/12/MillburnShortHillsJanuary2026.pdf" TargetMode="External"/><Relationship Id="rId1240" Type="http://schemas.openxmlformats.org/officeDocument/2006/relationships/hyperlink" Target="https://rennamedia.com/wp-content/uploads/2025/12/MountainsideJanuary2026.pdf" TargetMode="External"/><Relationship Id="rId1241" Type="http://schemas.openxmlformats.org/officeDocument/2006/relationships/hyperlink" Target="https://rennamedia.com/wp-content/uploads/2025/12/MorristownMonthlyJanuary2026.pdf" TargetMode="External"/><Relationship Id="rId1242" Type="http://schemas.openxmlformats.org/officeDocument/2006/relationships/hyperlink" Target="https://rennamedia.com/wp-content/uploads/2025/12/MorrisTownshipTimesJanuary2026.pdf" TargetMode="External"/><Relationship Id="rId1243" Type="http://schemas.openxmlformats.org/officeDocument/2006/relationships/hyperlink" Target="https://rennamedia.com/wp-content/uploads/2025/12/NewProvidenceJanuary2026.pdf" TargetMode="External"/><Relationship Id="rId1244" Type="http://schemas.openxmlformats.org/officeDocument/2006/relationships/hyperlink" Target="https://rennamedia.com/wp-content/uploads/2025/12/RahwayJanuary2026.pdf" TargetMode="External"/><Relationship Id="rId1245" Type="http://schemas.openxmlformats.org/officeDocument/2006/relationships/hyperlink" Target="https://rennamedia.com/wp-content/uploads/2025/12/LifeInRoselandJanuary2026.pdf" TargetMode="External"/><Relationship Id="rId1246" Type="http://schemas.openxmlformats.org/officeDocument/2006/relationships/hyperlink" Target="https://rennamedia.com/wp-content/uploads/2025/12/RoselleParkJanuary2026.pdf" TargetMode="External"/><Relationship Id="rId1247" Type="http://schemas.openxmlformats.org/officeDocument/2006/relationships/hyperlink" Target="https://rennamedia.com/wp-content/uploads/2025/12/ScotchPlainsJanuary2026.pdf" TargetMode="External"/><Relationship Id="rId1248" Type="http://schemas.openxmlformats.org/officeDocument/2006/relationships/hyperlink" Target="https://rennamedia.com/wp-content/uploads/2025/12/UnionJanuary2026.pdf" TargetMode="External"/><Relationship Id="rId1249" Type="http://schemas.openxmlformats.org/officeDocument/2006/relationships/hyperlink" Target="https://rennamedia.com/wp-content/uploads/2025/12/SummitJanuary2026.pdf" TargetMode="External"/><Relationship Id="rId1250" Type="http://schemas.openxmlformats.org/officeDocument/2006/relationships/hyperlink" Target="https://rennamedia.com/wp-content/uploads/2025/12/WarrenJanuary2026.pdf" TargetMode="External"/><Relationship Id="rId1251" Type="http://schemas.openxmlformats.org/officeDocument/2006/relationships/hyperlink" Target="https://rennamedia.com/wp-content/uploads/2025/12/WatchungJanuary2026.pdf" TargetMode="External"/><Relationship Id="rId1252" Type="http://schemas.openxmlformats.org/officeDocument/2006/relationships/hyperlink" Target="https://rennamedia.com/wp-content/uploads/2025/12/WestfieldJanuary2026.pdf" TargetMode="External"/><Relationship Id="rId1253" Type="http://schemas.openxmlformats.org/officeDocument/2006/relationships/hyperlink" Target="https://rennamedia.com/wp-content/uploads/2026/01/BerkeleyHeightsFebruary2026.pdf" TargetMode="External"/><Relationship Id="rId1254" Type="http://schemas.openxmlformats.org/officeDocument/2006/relationships/hyperlink" Target="https://rennamedia.com/wp-content/uploads/2026/01/ClarkFebruary2026.pdf" TargetMode="External"/><Relationship Id="rId1255" Type="http://schemas.openxmlformats.org/officeDocument/2006/relationships/hyperlink" Target="https://rennamedia.com/wp-content/uploads/2026/01/ChathamsFebruary2026.pdf" TargetMode="External"/><Relationship Id="rId1256" Type="http://schemas.openxmlformats.org/officeDocument/2006/relationships/hyperlink" Target="https://rennamedia.com/wp-content/uploads/2026/01/CranfordFebruary2026.pdf" TargetMode="External"/><Relationship Id="rId1257" Type="http://schemas.openxmlformats.org/officeDocument/2006/relationships/hyperlink" Target="https://rennamedia.com/wp-content/uploads/2026/01/EastHanoverViewFebruary2026.pdf" TargetMode="External"/><Relationship Id="rId1258" Type="http://schemas.openxmlformats.org/officeDocument/2006/relationships/hyperlink" Target="https://rennamedia.com/wp-content/uploads/2026/01/ElmoraHillsMonthlyFebruary2026.pdf" TargetMode="External"/><Relationship Id="rId1259" Type="http://schemas.openxmlformats.org/officeDocument/2006/relationships/hyperlink" Target="https://rennamedia.com/wp-content/uploads/2026/01/FanwoodFebruary2026.pdf" TargetMode="External"/><Relationship Id="rId1260" Type="http://schemas.openxmlformats.org/officeDocument/2006/relationships/hyperlink" Target="https://rennamedia.com/wp-content/uploads/2026/01/FlorhamParkMonthlyFebruary2026.pdf" TargetMode="External"/><Relationship Id="rId1261" Type="http://schemas.openxmlformats.org/officeDocument/2006/relationships/hyperlink" Target="https://rennamedia.com/wp-content/uploads/2026/01/GarwoodFebruary2026.pdf" TargetMode="External"/><Relationship Id="rId1262" Type="http://schemas.openxmlformats.org/officeDocument/2006/relationships/hyperlink" Target="https://rennamedia.com/wp-content/uploads/2026/02/GreenBrookFebruary2026.pdf" TargetMode="External"/><Relationship Id="rId1263" Type="http://schemas.openxmlformats.org/officeDocument/2006/relationships/hyperlink" Target="https://rennamedia.com/wp-content/uploads/2026/01/HanoverPressFebruary2026.pdf" TargetMode="External"/><Relationship Id="rId1264" Type="http://schemas.openxmlformats.org/officeDocument/2006/relationships/hyperlink" Target="https://rennamedia.com/wp-content/uploads/2026/01/KenilworthFebruary2026.pdf" TargetMode="External"/><Relationship Id="rId1265" Type="http://schemas.openxmlformats.org/officeDocument/2006/relationships/hyperlink" Target="https://rennamedia.com/wp-content/uploads/2026/01/LindenFebruary2026.pdf" TargetMode="External"/><Relationship Id="rId1266" Type="http://schemas.openxmlformats.org/officeDocument/2006/relationships/hyperlink" Target="https://rennamedia.com/wp-content/uploads/2026/01/LivingstonMonthlyFebruary2026.pdf" TargetMode="External"/><Relationship Id="rId1267" Type="http://schemas.openxmlformats.org/officeDocument/2006/relationships/hyperlink" Target="https://rennamedia.com/wp-content/uploads/2026/01/LongHillFebruary2026.pdf" TargetMode="External"/><Relationship Id="rId1268" Type="http://schemas.openxmlformats.org/officeDocument/2006/relationships/hyperlink" Target="https://rennamedia.com/wp-content/uploads/2026/01/MadisonFebruary2026.pdf" TargetMode="External"/><Relationship Id="rId1269" Type="http://schemas.openxmlformats.org/officeDocument/2006/relationships/hyperlink" Target="https://rennamedia.com/wp-content/uploads/2026/01/MillburnShortHillsFebruary2026.pdf" TargetMode="External"/><Relationship Id="rId1270" Type="http://schemas.openxmlformats.org/officeDocument/2006/relationships/hyperlink" Target="https://rennamedia.com/wp-content/uploads/2026/01/MountainsideFebruary2026.pdf" TargetMode="External"/><Relationship Id="rId1271" Type="http://schemas.openxmlformats.org/officeDocument/2006/relationships/hyperlink" Target="https://rennamedia.com/wp-content/uploads/2026/01/MorristownMonthlyFebruary2026.pdf" TargetMode="External"/><Relationship Id="rId1272" Type="http://schemas.openxmlformats.org/officeDocument/2006/relationships/hyperlink" Target="https://rennamedia.com/wp-content/uploads/2026/01/MorrisTownshipTimesFebruary2026.pdf" TargetMode="External"/><Relationship Id="rId1273" Type="http://schemas.openxmlformats.org/officeDocument/2006/relationships/hyperlink" Target="https://rennamedia.com/wp-content/uploads/2026/01/NewProvidenceFebruary2026.pdf" TargetMode="External"/><Relationship Id="rId1274" Type="http://schemas.openxmlformats.org/officeDocument/2006/relationships/hyperlink" Target="https://rennamedia.com/wp-content/uploads/2026/01/RahwayFebruary2026.pdf" TargetMode="External"/><Relationship Id="rId1275" Type="http://schemas.openxmlformats.org/officeDocument/2006/relationships/hyperlink" Target="https://rennamedia.com/wp-content/uploads/2026/01/LifeInRoselandFebruary2026.pdf" TargetMode="External"/><Relationship Id="rId1276" Type="http://schemas.openxmlformats.org/officeDocument/2006/relationships/hyperlink" Target="https://rennamedia.com/wp-content/uploads/2026/01/RoselleParkFebruary2026.pdf" TargetMode="External"/><Relationship Id="rId1277" Type="http://schemas.openxmlformats.org/officeDocument/2006/relationships/hyperlink" Target="https://rennamedia.com/wp-content/uploads/2026/01/ScotchPlainsFebruary2026.pdf" TargetMode="External"/><Relationship Id="rId1278" Type="http://schemas.openxmlformats.org/officeDocument/2006/relationships/hyperlink" Target="https://rennamedia.com/wp-content/uploads/2026/01/UnionFebruary2026.pdf" TargetMode="External"/><Relationship Id="rId1279" Type="http://schemas.openxmlformats.org/officeDocument/2006/relationships/hyperlink" Target="https://rennamedia.com/wp-content/uploads/2026/02/SummitFebruary2026.pdf" TargetMode="External"/><Relationship Id="rId1280" Type="http://schemas.openxmlformats.org/officeDocument/2006/relationships/hyperlink" Target="https://rennamedia.com/wp-content/uploads/2026/01/WarrenFebruary2026.pdf" TargetMode="External"/><Relationship Id="rId1281" Type="http://schemas.openxmlformats.org/officeDocument/2006/relationships/hyperlink" Target="https://rennamedia.com/wp-content/uploads/2026/01/WatchungFebruary2026.pdf" TargetMode="External"/><Relationship Id="rId1282" Type="http://schemas.openxmlformats.org/officeDocument/2006/relationships/hyperlink" Target="https://rennamedia.com/wp-content/uploads/2026/01/WestfieldFebruary2026.pdf" TargetMode="External"/><Relationship Id="rId1283" Type="http://schemas.openxmlformats.org/officeDocument/2006/relationships/hyperlink" Target="https://rennamedia.com/wp-content/uploads/2026/02/BerkeleyHeightsMarch2026.pdf" TargetMode="External"/><Relationship Id="rId1284" Type="http://schemas.openxmlformats.org/officeDocument/2006/relationships/hyperlink" Target="https://rennamedia.com/wp-content/uploads/2026/02/ClarkMarch2026.pdf" TargetMode="External"/><Relationship Id="rId1285" Type="http://schemas.openxmlformats.org/officeDocument/2006/relationships/hyperlink" Target="https://rennamedia.com/wp-content/uploads/2026/02/ChathamsMarch2026proof.pdf" TargetMode="External"/><Relationship Id="rId1286" Type="http://schemas.openxmlformats.org/officeDocument/2006/relationships/hyperlink" Target="https://rennamedia.com/wp-content/uploads/2026/02/CranfordMarch2026.pdf" TargetMode="External"/><Relationship Id="rId1287" Type="http://schemas.openxmlformats.org/officeDocument/2006/relationships/hyperlink" Target="https://rennamedia.com/wp-content/uploads/2026/02/EastHanoverViewMarch2026.pdf" TargetMode="External"/><Relationship Id="rId1288" Type="http://schemas.openxmlformats.org/officeDocument/2006/relationships/hyperlink" Target="https://rennamedia.com/wp-content/uploads/2026/02/ElmoraHillsMonthlyMarch2026.pdf" TargetMode="External"/><Relationship Id="rId1289" Type="http://schemas.openxmlformats.org/officeDocument/2006/relationships/hyperlink" Target="https://rennamedia.com/wp-content/uploads/2026/02/FanwoodMarch2026.pdf" TargetMode="External"/><Relationship Id="rId1290" Type="http://schemas.openxmlformats.org/officeDocument/2006/relationships/hyperlink" Target="https://rennamedia.com/wp-content/uploads/2026/02/FlorhamParkMonthlyMarch2026.pdf" TargetMode="External"/><Relationship Id="rId1291" Type="http://schemas.openxmlformats.org/officeDocument/2006/relationships/hyperlink" Target="https://rennamedia.com/wp-content/uploads/2026/02/GarwoodMarch2026.pdf" TargetMode="External"/><Relationship Id="rId1292" Type="http://schemas.openxmlformats.org/officeDocument/2006/relationships/hyperlink" Target="https://rennamedia.com/wp-content/uploads/2026/02/GreenBrookMarch2026.pdf" TargetMode="External"/><Relationship Id="rId1293" Type="http://schemas.openxmlformats.org/officeDocument/2006/relationships/hyperlink" Target="https://rennamedia.com/wp-content/uploads/2026/02/HanoverPressMarch2026.pdf" TargetMode="External"/><Relationship Id="rId1294" Type="http://schemas.openxmlformats.org/officeDocument/2006/relationships/hyperlink" Target="https://rennamedia.com/wp-content/uploads/2026/02/KenilworthMarch2026.pdf" TargetMode="External"/><Relationship Id="rId1295" Type="http://schemas.openxmlformats.org/officeDocument/2006/relationships/hyperlink" Target="https://rennamedia.com/wp-content/uploads/2026/02/LindenMarch2026.pdf" TargetMode="External"/><Relationship Id="rId1296" Type="http://schemas.openxmlformats.org/officeDocument/2006/relationships/hyperlink" Target="https://rennamedia.com/wp-content/uploads/2026/02/LivingstonMonthlyMarch2026.pdf" TargetMode="External"/><Relationship Id="rId1297" Type="http://schemas.openxmlformats.org/officeDocument/2006/relationships/hyperlink" Target="https://rennamedia.com/wp-content/uploads/2026/02/LongHillMarch2026.pdf" TargetMode="External"/><Relationship Id="rId1298" Type="http://schemas.openxmlformats.org/officeDocument/2006/relationships/hyperlink" Target="https://rennamedia.com/wp-content/uploads/2026/02/MadisonMarch2026.pdf" TargetMode="External"/><Relationship Id="rId1299" Type="http://schemas.openxmlformats.org/officeDocument/2006/relationships/hyperlink" Target="https://rennamedia.com/wp-content/uploads/2026/02/MillburnShortHillsMarch2026.pdf" TargetMode="External"/><Relationship Id="rId1300" Type="http://schemas.openxmlformats.org/officeDocument/2006/relationships/hyperlink" Target="https://rennamedia.com/wp-content/uploads/2026/02/MountainsideMarch2026.pdf" TargetMode="External"/><Relationship Id="rId1301" Type="http://schemas.openxmlformats.org/officeDocument/2006/relationships/hyperlink" Target="https://rennamedia.com/wp-content/uploads/2026/02/MorristownMonthlyMarch2026.pdf" TargetMode="External"/><Relationship Id="rId1302" Type="http://schemas.openxmlformats.org/officeDocument/2006/relationships/hyperlink" Target="https://rennamedia.com/wp-content/uploads/2026/02/MorrisTownshipTimesMarch2026.pdf" TargetMode="External"/><Relationship Id="rId1303" Type="http://schemas.openxmlformats.org/officeDocument/2006/relationships/hyperlink" Target="https://rennamedia.com/wp-content/uploads/2026/02/NewProvidenceMarch2026.pdf" TargetMode="External"/><Relationship Id="rId1304" Type="http://schemas.openxmlformats.org/officeDocument/2006/relationships/hyperlink" Target="https://rennamedia.com/wp-content/uploads/2026/02/RahwayMarch2026.pdf" TargetMode="External"/><Relationship Id="rId1305" Type="http://schemas.openxmlformats.org/officeDocument/2006/relationships/hyperlink" Target="https://rennamedia.com/wp-content/uploads/2026/02/LifeInRoselandMarch2026.pdf" TargetMode="External"/><Relationship Id="rId1306" Type="http://schemas.openxmlformats.org/officeDocument/2006/relationships/hyperlink" Target="https://rennamedia.com/wp-content/uploads/2026/02/RoselleParkMarch2026.pdf" TargetMode="External"/><Relationship Id="rId1307" Type="http://schemas.openxmlformats.org/officeDocument/2006/relationships/hyperlink" Target="https://rennamedia.com/wp-content/uploads/2026/02/ScotchPlainsMarch2026.pdf" TargetMode="External"/><Relationship Id="rId1308" Type="http://schemas.openxmlformats.org/officeDocument/2006/relationships/hyperlink" Target="https://rennamedia.com/wp-content/uploads/2026/02/UnionMarch2026.pdf" TargetMode="External"/><Relationship Id="rId1309" Type="http://schemas.openxmlformats.org/officeDocument/2006/relationships/hyperlink" Target="https://rennamedia.com/wp-content/uploads/2026/02/SummitMarch2026.pdf" TargetMode="External"/><Relationship Id="rId1310" Type="http://schemas.openxmlformats.org/officeDocument/2006/relationships/hyperlink" Target="https://rennamedia.com/wp-content/uploads/2026/02/WarrenMarch2026.pdf" TargetMode="External"/><Relationship Id="rId1311" Type="http://schemas.openxmlformats.org/officeDocument/2006/relationships/hyperlink" Target="https://rennamedia.com/wp-content/uploads/2026/02/WatchungMarch2026.pdf" TargetMode="External"/><Relationship Id="rId1312" Type="http://schemas.openxmlformats.org/officeDocument/2006/relationships/hyperlink" Target="https://rennamedia.com/wp-content/uploads/2026/02/WestfieldMarch2026.pdf" TargetMode="External"/><Relationship Id="rId1313" Type="http://schemas.openxmlformats.org/officeDocument/2006/relationships/hyperlink" Target="https://rennamedia.com/wp-content/uploads/2026/03/BerkeleyHeightsApril2026.pdf" TargetMode="External"/><Relationship Id="rId1314" Type="http://schemas.openxmlformats.org/officeDocument/2006/relationships/hyperlink" Target="https://rennamedia.com/wp-content/uploads/2026/03/ClarkApril2026.pdf" TargetMode="External"/><Relationship Id="rId1315" Type="http://schemas.openxmlformats.org/officeDocument/2006/relationships/hyperlink" Target="https://rennamedia.com/wp-content/uploads/2026/03/ChathamsApril2026.pdf" TargetMode="External"/><Relationship Id="rId1316" Type="http://schemas.openxmlformats.org/officeDocument/2006/relationships/hyperlink" Target="https://rennamedia.com/wp-content/uploads/2026/03/CranfordApril2026.pdf" TargetMode="External"/><Relationship Id="rId1317" Type="http://schemas.openxmlformats.org/officeDocument/2006/relationships/hyperlink" Target="https://rennamedia.com/wp-content/uploads/2026/03/EastHanoverViewApril2026.pdf" TargetMode="External"/><Relationship Id="rId1318" Type="http://schemas.openxmlformats.org/officeDocument/2006/relationships/hyperlink" Target="https://rennamedia.com/wp-content/uploads/2026/03/ElmoraHillsMonthlyApril2026.pdf" TargetMode="External"/><Relationship Id="rId1319" Type="http://schemas.openxmlformats.org/officeDocument/2006/relationships/hyperlink" Target="https://rennamedia.com/wp-content/uploads/2026/03/FanwoodApril2026.pdf" TargetMode="External"/><Relationship Id="rId1320" Type="http://schemas.openxmlformats.org/officeDocument/2006/relationships/hyperlink" Target="https://rennamedia.com/wp-content/uploads/2026/03/FlorhamParkMonthlyApril2026.pdf" TargetMode="External"/><Relationship Id="rId1321" Type="http://schemas.openxmlformats.org/officeDocument/2006/relationships/hyperlink" Target="https://rennamedia.com/wp-content/uploads/2026/03/GarwoodApril2026.pdf" TargetMode="External"/><Relationship Id="rId1322" Type="http://schemas.openxmlformats.org/officeDocument/2006/relationships/hyperlink" Target="https://rennamedia.com/wp-content/uploads/2026/03/GreenBrookApril2026.pdf" TargetMode="External"/><Relationship Id="rId1323" Type="http://schemas.openxmlformats.org/officeDocument/2006/relationships/hyperlink" Target="https://rennamedia.com/wp-content/uploads/2026/03/HanoverPressApril2026.pdf" TargetMode="External"/><Relationship Id="rId1324" Type="http://schemas.openxmlformats.org/officeDocument/2006/relationships/hyperlink" Target="https://rennamedia.com/wp-content/uploads/2026/03/KenilworthApril2026.pdf" TargetMode="External"/><Relationship Id="rId1325" Type="http://schemas.openxmlformats.org/officeDocument/2006/relationships/hyperlink" Target="https://rennamedia.com/wp-content/uploads/2026/03/LindenApril2026.pdf" TargetMode="External"/><Relationship Id="rId1326" Type="http://schemas.openxmlformats.org/officeDocument/2006/relationships/hyperlink" Target="https://rennamedia.com/wp-content/uploads/2026/03/LivingstonMonthlyApril2026.pdf" TargetMode="External"/><Relationship Id="rId1327" Type="http://schemas.openxmlformats.org/officeDocument/2006/relationships/hyperlink" Target="https://rennamedia.com/wp-content/uploads/2026/03/LongHillApril2026.pdf" TargetMode="External"/><Relationship Id="rId1328" Type="http://schemas.openxmlformats.org/officeDocument/2006/relationships/hyperlink" Target="https://rennamedia.com/wp-content/uploads/2026/03/MadisonApril2026.pdf" TargetMode="External"/><Relationship Id="rId1329" Type="http://schemas.openxmlformats.org/officeDocument/2006/relationships/hyperlink" Target="https://rennamedia.com/wp-content/uploads/2026/03/MillburnShortHillsApril2026.pdf" TargetMode="External"/><Relationship Id="rId1330" Type="http://schemas.openxmlformats.org/officeDocument/2006/relationships/hyperlink" Target="https://rennamedia.com/wp-content/uploads/2026/03/MountainsideApril2026.pdf" TargetMode="External"/><Relationship Id="rId1331" Type="http://schemas.openxmlformats.org/officeDocument/2006/relationships/hyperlink" Target="https://rennamedia.com/wp-content/uploads/2026/03/MorristownMonthlyApril2026.pdf" TargetMode="External"/><Relationship Id="rId1332" Type="http://schemas.openxmlformats.org/officeDocument/2006/relationships/hyperlink" Target="https://rennamedia.com/wp-content/uploads/2026/03/MorrisTownshipTimesApril2026.pdf" TargetMode="External"/><Relationship Id="rId1333" Type="http://schemas.openxmlformats.org/officeDocument/2006/relationships/hyperlink" Target="https://rennamedia.com/wp-content/uploads/2026/03/NewProvidenceApril2026.pdf" TargetMode="External"/><Relationship Id="rId1334" Type="http://schemas.openxmlformats.org/officeDocument/2006/relationships/hyperlink" Target="https://rennamedia.com/wp-content/uploads/2026/03/RahwayApril2026.pdf" TargetMode="External"/><Relationship Id="rId1335" Type="http://schemas.openxmlformats.org/officeDocument/2006/relationships/hyperlink" Target="https://rennamedia.com/wp-content/uploads/2026/03/LifeInRoselandApril2026.pdf" TargetMode="External"/><Relationship Id="rId1336" Type="http://schemas.openxmlformats.org/officeDocument/2006/relationships/hyperlink" Target="https://rennamedia.com/wp-content/uploads/2026/03/RoselleParkApril2026.pdf" TargetMode="External"/><Relationship Id="rId1337" Type="http://schemas.openxmlformats.org/officeDocument/2006/relationships/hyperlink" Target="https://rennamedia.com/wp-content/uploads/2026/03/ScotchPlainsApril2026.pdf" TargetMode="External"/><Relationship Id="rId1338" Type="http://schemas.openxmlformats.org/officeDocument/2006/relationships/hyperlink" Target="https://rennamedia.com/wp-content/uploads/2026/04/UnionMay2026.pdf" TargetMode="External"/><Relationship Id="rId1339" Type="http://schemas.openxmlformats.org/officeDocument/2006/relationships/hyperlink" Target="https://rennamedia.com/wp-content/uploads/2026/03/SummitApril2026.pdf" TargetMode="External"/><Relationship Id="rId1340" Type="http://schemas.openxmlformats.org/officeDocument/2006/relationships/hyperlink" Target="https://rennamedia.com/wp-content/uploads/2026/03/WarrenApril2026.pdf" TargetMode="External"/><Relationship Id="rId1341" Type="http://schemas.openxmlformats.org/officeDocument/2006/relationships/hyperlink" Target="https://rennamedia.com/wp-content/uploads/2026/03/WatchungApril2026.pdf" TargetMode="External"/><Relationship Id="rId1342" Type="http://schemas.openxmlformats.org/officeDocument/2006/relationships/hyperlink" Target="https://rennamedia.com/wp-content/uploads/2026/03/WestfieldApril2026.pdf" TargetMode="External"/><Relationship Id="rId1343" Type="http://schemas.openxmlformats.org/officeDocument/2006/relationships/hyperlink" Target="https://rennamedia.com/wp-content/uploads/2026/04/BerkeleyHeightsMay2026.pdf" TargetMode="External"/><Relationship Id="rId1344" Type="http://schemas.openxmlformats.org/officeDocument/2006/relationships/hyperlink" Target="https://rennamedia.com/wp-content/uploads/2026/04/ClarkMay2026.pdf" TargetMode="External"/><Relationship Id="rId1345" Type="http://schemas.openxmlformats.org/officeDocument/2006/relationships/hyperlink" Target="https://rennamedia.com/wp-content/uploads/2026/04/ChathamsMay2026.pdf" TargetMode="External"/><Relationship Id="rId1346" Type="http://schemas.openxmlformats.org/officeDocument/2006/relationships/hyperlink" Target="https://rennamedia.com/wp-content/uploads/2026/04/CranfordMay2026.pdf" TargetMode="External"/><Relationship Id="rId1347" Type="http://schemas.openxmlformats.org/officeDocument/2006/relationships/hyperlink" Target="https://rennamedia.com/wp-content/uploads/2026/04/EastHanoverViewMay2026.pdf" TargetMode="External"/><Relationship Id="rId1348" Type="http://schemas.openxmlformats.org/officeDocument/2006/relationships/hyperlink" Target="https://rennamedia.com/wp-content/uploads/2026/04/ElmoraHillsMonthlymay2026.pdf" TargetMode="External"/><Relationship Id="rId1349" Type="http://schemas.openxmlformats.org/officeDocument/2006/relationships/hyperlink" Target="https://rennamedia.com/wp-content/uploads/2026/04/FanwoodMay2026.pdf" TargetMode="External"/><Relationship Id="rId1350" Type="http://schemas.openxmlformats.org/officeDocument/2006/relationships/hyperlink" Target="https://rennamedia.com/wp-content/uploads/2026/04/FlorhamParkMonthlyMay2026.pdf" TargetMode="External"/><Relationship Id="rId1351" Type="http://schemas.openxmlformats.org/officeDocument/2006/relationships/hyperlink" Target="https://rennamedia.com/wp-content/uploads/2026/04/GarwoodMay2026.pdf" TargetMode="External"/><Relationship Id="rId1352" Type="http://schemas.openxmlformats.org/officeDocument/2006/relationships/hyperlink" Target="https://rennamedia.com/wp-content/uploads/2026/04/GreenBrookMay2026.pdf" TargetMode="External"/><Relationship Id="rId1353" Type="http://schemas.openxmlformats.org/officeDocument/2006/relationships/hyperlink" Target="https://rennamedia.com/wp-content/uploads/2026/04/HanoverPressMay2026.pdf" TargetMode="External"/><Relationship Id="rId1354" Type="http://schemas.openxmlformats.org/officeDocument/2006/relationships/hyperlink" Target="https://rennamedia.com/wp-content/uploads/2026/04/KenilworthMay2026.pdf" TargetMode="External"/><Relationship Id="rId1355" Type="http://schemas.openxmlformats.org/officeDocument/2006/relationships/hyperlink" Target="https://rennamedia.com/wp-content/uploads/2026/04/LindenMay2026.pdf" TargetMode="External"/><Relationship Id="rId1356" Type="http://schemas.openxmlformats.org/officeDocument/2006/relationships/hyperlink" Target="https://rennamedia.com/wp-content/uploads/2026/04/LivingstonMonthlyMay2026.pdf" TargetMode="External"/><Relationship Id="rId1357" Type="http://schemas.openxmlformats.org/officeDocument/2006/relationships/hyperlink" Target="https://rennamedia.com/wp-content/uploads/2026/04/LongHillMay2026.pdf" TargetMode="External"/><Relationship Id="rId1358" Type="http://schemas.openxmlformats.org/officeDocument/2006/relationships/hyperlink" Target="https://rennamedia.com/wp-content/uploads/2026/04/MadisonMay2026.pdf" TargetMode="External"/><Relationship Id="rId1359" Type="http://schemas.openxmlformats.org/officeDocument/2006/relationships/hyperlink" Target="https://rennamedia.com/wp-content/uploads/2026/04/MillburnShortHillsMay2026.pdf" TargetMode="External"/><Relationship Id="rId1360" Type="http://schemas.openxmlformats.org/officeDocument/2006/relationships/hyperlink" Target="https://rennamedia.com/wp-content/uploads/2026/04/MountainsideMay2026.pdf" TargetMode="External"/><Relationship Id="rId1361" Type="http://schemas.openxmlformats.org/officeDocument/2006/relationships/hyperlink" Target="https://rennamedia.com/wp-content/uploads/2026/04/MorristownMonthlyMay2026.pdf" TargetMode="External"/><Relationship Id="rId1362" Type="http://schemas.openxmlformats.org/officeDocument/2006/relationships/hyperlink" Target="https://rennamedia.com/wp-content/uploads/2026/04/MorrisTownshipTimesMay2026.pdf" TargetMode="External"/><Relationship Id="rId1363" Type="http://schemas.openxmlformats.org/officeDocument/2006/relationships/hyperlink" Target="https://rennamedia.com/wp-content/uploads/2026/04/NewProvidenceMay2026.pdf" TargetMode="External"/><Relationship Id="rId1364" Type="http://schemas.openxmlformats.org/officeDocument/2006/relationships/hyperlink" Target="https://rennamedia.com/wp-content/uploads/2026/04/RahwayMay2026.pdf" TargetMode="External"/><Relationship Id="rId1365" Type="http://schemas.openxmlformats.org/officeDocument/2006/relationships/hyperlink" Target="https://rennamedia.com/wp-content/uploads/2026/04/LifeInRoselandMay2026.pdf" TargetMode="External"/><Relationship Id="rId1366" Type="http://schemas.openxmlformats.org/officeDocument/2006/relationships/hyperlink" Target="https://rennamedia.com/wp-content/uploads/2026/04/RoselleParkMay2026.pdf" TargetMode="External"/><Relationship Id="rId1367" Type="http://schemas.openxmlformats.org/officeDocument/2006/relationships/hyperlink" Target="https://rennamedia.com/wp-content/uploads/2026/04/ScotchPlainsMay2026.pdf" TargetMode="External"/><Relationship Id="rId1368" Type="http://schemas.openxmlformats.org/officeDocument/2006/relationships/hyperlink" Target="https://rennamedia.com/wp-content/uploads/2026/04/SummitMay2026.pdf" TargetMode="External"/><Relationship Id="rId1369" Type="http://schemas.openxmlformats.org/officeDocument/2006/relationships/hyperlink" Target="https://rennamedia.com/wp-content/uploads/2026/04/WarrenMay2026.pdf" TargetMode="External"/><Relationship Id="rId1370" Type="http://schemas.openxmlformats.org/officeDocument/2006/relationships/hyperlink" Target="https://rennamedia.com/wp-content/uploads/2026/04/WatchungMay2026.pdf" TargetMode="External"/><Relationship Id="rId1371" Type="http://schemas.openxmlformats.org/officeDocument/2006/relationships/hyperlink" Target="https://rennamedia.com/wp-content/uploads/2026/04/WestfieldMay2026.pdf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rennamedia.com/wp-content/uploads/2021/12/BerkeleyHeightsJanuary2022.pdf" TargetMode="External"/><Relationship Id="rId2" Type="http://schemas.openxmlformats.org/officeDocument/2006/relationships/hyperlink" Target="https://rennamedia.com/wp-content/uploads/2022/01/BerkeleyHeightsFebruary2022.pdf" TargetMode="External"/><Relationship Id="rId3" Type="http://schemas.openxmlformats.org/officeDocument/2006/relationships/hyperlink" Target="https://rennamedia.com/wp-content/uploads/2022/02/BerkeleyHeightsMarch2022.pdf" TargetMode="External"/><Relationship Id="rId4" Type="http://schemas.openxmlformats.org/officeDocument/2006/relationships/hyperlink" Target="https://rennamedia.com/wp-content/uploads/2022/03/BerkeleyHeightsApril2022.pdf" TargetMode="External"/><Relationship Id="rId5" Type="http://schemas.openxmlformats.org/officeDocument/2006/relationships/hyperlink" Target="https://rennamedia.com/wp-content/uploads/2022/04/BerkeleyHeightsMay2022.pdf" TargetMode="External"/><Relationship Id="rId6" Type="http://schemas.openxmlformats.org/officeDocument/2006/relationships/hyperlink" Target="https://rennamedia.com/wp-content/uploads/2022/05/BerkeleyHeightsJune2022.pdf" TargetMode="External"/><Relationship Id="rId7" Type="http://schemas.openxmlformats.org/officeDocument/2006/relationships/hyperlink" Target="https://rennamedia.com/wp-content/uploads/2022/06/BerkeleyHeightsJuly2022.pdf" TargetMode="External"/><Relationship Id="rId8" Type="http://schemas.openxmlformats.org/officeDocument/2006/relationships/hyperlink" Target="https://rennamedia.com/wp-content/uploads/2022/07/BerkeleyHeightsAugust2022.pdf" TargetMode="External"/><Relationship Id="rId9" Type="http://schemas.openxmlformats.org/officeDocument/2006/relationships/hyperlink" Target="https://rennamedia.com/wp-content/uploads/2022/09/BerkeleyHeightsSeptember2022.pdf" TargetMode="External"/><Relationship Id="rId10" Type="http://schemas.openxmlformats.org/officeDocument/2006/relationships/hyperlink" Target="https://rennamedia.com/wp-content/uploads/2022/10/BerkeleyHeightsOctober2022.pdf" TargetMode="External"/><Relationship Id="rId11" Type="http://schemas.openxmlformats.org/officeDocument/2006/relationships/hyperlink" Target="https://rennamedia.com/wp-content/uploads/2022/11/BerkeleyHeightsNovember2022.pdf" TargetMode="External"/><Relationship Id="rId12" Type="http://schemas.openxmlformats.org/officeDocument/2006/relationships/hyperlink" Target="https://rennamedia.com/wp-content/uploads/2022/11/BerkeleyHeightsDecember2022.pdf" TargetMode="External"/><Relationship Id="rId13" Type="http://schemas.openxmlformats.org/officeDocument/2006/relationships/hyperlink" Target="https://rennamedia.com/wp-content/uploads/2022/12/BerkeleyHeightsJanuary2023.pdf" TargetMode="External"/><Relationship Id="rId14" Type="http://schemas.openxmlformats.org/officeDocument/2006/relationships/hyperlink" Target="https://rennamedia.com/wp-content/uploads/2023/01/BerkeleyHeightsFebruary2023.pdf" TargetMode="External"/><Relationship Id="rId15" Type="http://schemas.openxmlformats.org/officeDocument/2006/relationships/hyperlink" Target="https://rennamedia.com/wp-content/uploads/2023/02/BerkeleyHeightsMarch2023.pdf" TargetMode="External"/><Relationship Id="rId16" Type="http://schemas.openxmlformats.org/officeDocument/2006/relationships/hyperlink" Target="https://rennamedia.com/wp-content/uploads/2023/03/BerkeleyHeightsApril2023.pdf" TargetMode="External"/><Relationship Id="rId17" Type="http://schemas.openxmlformats.org/officeDocument/2006/relationships/hyperlink" Target="https://rennamedia.com/wp-content/uploads/2023/04/BerkeleyHeightsMay2023.pdf" TargetMode="External"/><Relationship Id="rId18" Type="http://schemas.openxmlformats.org/officeDocument/2006/relationships/hyperlink" Target="https://rennamedia.com/wp-content/uploads/2023/05/BerkeleyHeightsJune2023.pdf" TargetMode="External"/><Relationship Id="rId19" Type="http://schemas.openxmlformats.org/officeDocument/2006/relationships/hyperlink" Target="https://rennamedia.com/wp-content/uploads/2023/06/BerkeleyHeightsJuly2023.pdf" TargetMode="External"/><Relationship Id="rId20" Type="http://schemas.openxmlformats.org/officeDocument/2006/relationships/hyperlink" Target="https://rennamedia.com/wp-content/uploads/2023/07/BerkeleyHeightsAug2023.pdf" TargetMode="External"/><Relationship Id="rId21" Type="http://schemas.openxmlformats.org/officeDocument/2006/relationships/hyperlink" Target="https://rennamedia.com/wp-content/uploads/2023/08/BerkeleyHeightsSep2023.pdf" TargetMode="External"/><Relationship Id="rId22" Type="http://schemas.openxmlformats.org/officeDocument/2006/relationships/hyperlink" Target="https://rennamedia.com/wp-content/uploads/2023/10/BerkeleyHeightsOct2023.pdf" TargetMode="External"/><Relationship Id="rId23" Type="http://schemas.openxmlformats.org/officeDocument/2006/relationships/hyperlink" Target="https://rennamedia.com/wp-content/uploads/2023/10/BerkeleyHeightsNov2023.pdf" TargetMode="External"/><Relationship Id="rId24" Type="http://schemas.openxmlformats.org/officeDocument/2006/relationships/hyperlink" Target="https://rennamedia.com/wp-content/uploads/2023/11/BerkeleyHeightsDec2023.pdf" TargetMode="External"/><Relationship Id="rId25" Type="http://schemas.openxmlformats.org/officeDocument/2006/relationships/hyperlink" Target="https://rennamedia.com/wp-content/uploads/2023/12/BerkeleyHeightsJan2024.pdf" TargetMode="External"/><Relationship Id="rId26" Type="http://schemas.openxmlformats.org/officeDocument/2006/relationships/hyperlink" Target="https://rennamedia.com/wp-content/uploads/2024/01/BerkeleyHeightsFeb2024.pdf" TargetMode="External"/><Relationship Id="rId27" Type="http://schemas.openxmlformats.org/officeDocument/2006/relationships/hyperlink" Target="https://rennamedia.com/wp-content/uploads/2024/02/BerkeleyHeightsMar2024.pdf" TargetMode="External"/><Relationship Id="rId28" Type="http://schemas.openxmlformats.org/officeDocument/2006/relationships/hyperlink" Target="https://rennamedia.com/wp-content/uploads/2024/03/BerkeleyHeightsApr2024.pdf" TargetMode="External"/><Relationship Id="rId29" Type="http://schemas.openxmlformats.org/officeDocument/2006/relationships/hyperlink" Target="https://rennamedia.com/wp-content/uploads/2024/04/BerkeleyHeightsMay2024.pdf" TargetMode="External"/><Relationship Id="rId30" Type="http://schemas.openxmlformats.org/officeDocument/2006/relationships/hyperlink" Target="https://rennamedia.com/wp-content/uploads/2024/05/BerkeleyHeightsJune2024.pdf" TargetMode="External"/><Relationship Id="rId31" Type="http://schemas.openxmlformats.org/officeDocument/2006/relationships/hyperlink" Target="https://rennamedia.com/wp-content/uploads/2024/06/BerkeleyHeightsJuly2024.pdf" TargetMode="External"/><Relationship Id="rId32" Type="http://schemas.openxmlformats.org/officeDocument/2006/relationships/hyperlink" Target="https://rennamedia.com/wp-content/uploads/2024/07/BerkeleyHeightsAugust2024.pdf" TargetMode="External"/><Relationship Id="rId33" Type="http://schemas.openxmlformats.org/officeDocument/2006/relationships/hyperlink" Target="https://rennamedia.com/wp-content/uploads/2024/08/BerkeleyHeightsSeptember2024.pdf" TargetMode="External"/><Relationship Id="rId34" Type="http://schemas.openxmlformats.org/officeDocument/2006/relationships/hyperlink" Target="https://rennamedia.com/wp-content/uploads/2024/09/BerkeleyHeightsOctober2024.pdf" TargetMode="External"/><Relationship Id="rId35" Type="http://schemas.openxmlformats.org/officeDocument/2006/relationships/hyperlink" Target="https://rennamedia.com/wp-content/uploads/2024/10/BerkeleyHeightsNovember2024.pdf" TargetMode="External"/><Relationship Id="rId36" Type="http://schemas.openxmlformats.org/officeDocument/2006/relationships/hyperlink" Target="https://rennamedia.com/wp-content/uploads/2024/11/BerkeleyHeightsDecember2024.pdf" TargetMode="External"/><Relationship Id="rId37" Type="http://schemas.openxmlformats.org/officeDocument/2006/relationships/hyperlink" Target="https://rennamedia.com/wp-content/uploads/2024/12/BerkeleyHeightsJanuary2025.pdf" TargetMode="External"/><Relationship Id="rId38" Type="http://schemas.openxmlformats.org/officeDocument/2006/relationships/hyperlink" Target="https://rennamedia.com/wp-content/uploads/2025/02/BerkeleyHeightsFebruary2025.pdf" TargetMode="External"/><Relationship Id="rId39" Type="http://schemas.openxmlformats.org/officeDocument/2006/relationships/hyperlink" Target="https://rennamedia.com/wp-content/uploads/2025/02/BerkeleyHeightsMarch2025.pdf" TargetMode="External"/><Relationship Id="rId40" Type="http://schemas.openxmlformats.org/officeDocument/2006/relationships/hyperlink" Target="https://rennamedia.com/wp-content/uploads/2025/03/BerkeleyHeightsApril2025.pdf" TargetMode="External"/><Relationship Id="rId41" Type="http://schemas.openxmlformats.org/officeDocument/2006/relationships/hyperlink" Target="https://rennamedia.com/wp-content/uploads/2025/04/BerkeleyHeightsMay2025.pdf" TargetMode="External"/><Relationship Id="rId42" Type="http://schemas.openxmlformats.org/officeDocument/2006/relationships/hyperlink" Target="https://rennamedia.com/wp-content/uploads/2025/05/BerkeleyHeightsJune2025.pdf" TargetMode="External"/><Relationship Id="rId43" Type="http://schemas.openxmlformats.org/officeDocument/2006/relationships/hyperlink" Target="https://rennamedia.com/wp-content/uploads/2025/06/BerkeleyHeightsJuly2025.pdf" TargetMode="External"/><Relationship Id="rId44" Type="http://schemas.openxmlformats.org/officeDocument/2006/relationships/hyperlink" Target="https://rennamedia.com/wp-content/uploads/2025/07/BerkeleyHeightsAugust2025.pdf" TargetMode="External"/><Relationship Id="rId45" Type="http://schemas.openxmlformats.org/officeDocument/2006/relationships/hyperlink" Target="https://rennamedia.com/wp-content/uploads/2025/08/BerkeleyHeightsSeptember2025.pdf" TargetMode="External"/><Relationship Id="rId46" Type="http://schemas.openxmlformats.org/officeDocument/2006/relationships/hyperlink" Target="https://rennamedia.com/wp-content/uploads/2025/09/BerkeleyHeightsOctober2025.pdf" TargetMode="External"/><Relationship Id="rId47" Type="http://schemas.openxmlformats.org/officeDocument/2006/relationships/hyperlink" Target="https://rennamedia.com/wp-content/uploads/2025/10/BerkeleyHeightsNovember2025.pdf" TargetMode="External"/><Relationship Id="rId48" Type="http://schemas.openxmlformats.org/officeDocument/2006/relationships/hyperlink" Target="https://rennamedia.com/wp-content/uploads/2025/11/BerkeleyHeightsDecember2025.pdf" TargetMode="External"/><Relationship Id="rId49" Type="http://schemas.openxmlformats.org/officeDocument/2006/relationships/hyperlink" Target="https://rennamedia.com/wp-content/uploads/2025/12/BerkeleyHeightsJanuary2026.pdf" TargetMode="External"/><Relationship Id="rId50" Type="http://schemas.openxmlformats.org/officeDocument/2006/relationships/hyperlink" Target="https://rennamedia.com/wp-content/uploads/2026/01/BerkeleyHeightsFebruary2026.pdf" TargetMode="External"/><Relationship Id="rId51" Type="http://schemas.openxmlformats.org/officeDocument/2006/relationships/hyperlink" Target="https://rennamedia.com/wp-content/uploads/2026/02/BerkeleyHeightsMarch2026.pdf" TargetMode="External"/><Relationship Id="rId52" Type="http://schemas.openxmlformats.org/officeDocument/2006/relationships/hyperlink" Target="https://rennamedia.com/wp-content/uploads/2026/03/BerkeleyHeightsApril2026.pdf" TargetMode="External"/><Relationship Id="rId53" Type="http://schemas.openxmlformats.org/officeDocument/2006/relationships/hyperlink" Target="https://rennamedia.com/wp-content/uploads/2026/04/BerkeleyHeightsMay2026.pdf" TargetMode="External"/><Relationship Id="rId54" Type="http://schemas.openxmlformats.org/officeDocument/2006/relationships/hyperlink" Target="https://rennamedia.com/wp-content/uploads/2021/12/ClarkJanuary2022.pdf" TargetMode="External"/><Relationship Id="rId55" Type="http://schemas.openxmlformats.org/officeDocument/2006/relationships/hyperlink" Target="https://rennamedia.com/wp-content/uploads/2022/01/ClarkFebruary2022.pdf" TargetMode="External"/><Relationship Id="rId56" Type="http://schemas.openxmlformats.org/officeDocument/2006/relationships/hyperlink" Target="https://rennamedia.com/wp-content/uploads/2022/02/ClarkMarch2022.pdf" TargetMode="External"/><Relationship Id="rId57" Type="http://schemas.openxmlformats.org/officeDocument/2006/relationships/hyperlink" Target="https://rennamedia.com/wp-content/uploads/2022/03/ClarkApril2022.pdf" TargetMode="External"/><Relationship Id="rId58" Type="http://schemas.openxmlformats.org/officeDocument/2006/relationships/hyperlink" Target="https://rennamedia.com/wp-content/uploads/2022/04/ClarkMay2022.pdf" TargetMode="External"/><Relationship Id="rId59" Type="http://schemas.openxmlformats.org/officeDocument/2006/relationships/hyperlink" Target="https://rennamedia.com/wp-content/uploads/2022/05/ClarkJune2022.pdf" TargetMode="External"/><Relationship Id="rId60" Type="http://schemas.openxmlformats.org/officeDocument/2006/relationships/hyperlink" Target="https://rennamedia.com/wp-content/uploads/2022/06/ClarkJuly2022.pdf" TargetMode="External"/><Relationship Id="rId61" Type="http://schemas.openxmlformats.org/officeDocument/2006/relationships/hyperlink" Target="https://rennamedia.com/wp-content/uploads/2022/07/ChathamsAugust2022.pdf" TargetMode="External"/><Relationship Id="rId62" Type="http://schemas.openxmlformats.org/officeDocument/2006/relationships/hyperlink" Target="https://rennamedia.com/wp-content/uploads/2022/09/ClarkSeptember2022.pdf" TargetMode="External"/><Relationship Id="rId63" Type="http://schemas.openxmlformats.org/officeDocument/2006/relationships/hyperlink" Target="https://rennamedia.com/wp-content/uploads/2022/10/ClarkOctober2022.pdf" TargetMode="External"/><Relationship Id="rId64" Type="http://schemas.openxmlformats.org/officeDocument/2006/relationships/hyperlink" Target="https://rennamedia.com/wp-content/uploads/2022/11/ClarkNovember2022.pdf" TargetMode="External"/><Relationship Id="rId65" Type="http://schemas.openxmlformats.org/officeDocument/2006/relationships/hyperlink" Target="https://rennamedia.com/wp-content/uploads/2022/11/ClarkDecember2022.pdf" TargetMode="External"/><Relationship Id="rId66" Type="http://schemas.openxmlformats.org/officeDocument/2006/relationships/hyperlink" Target="https://rennamedia.com/wp-content/uploads/2022/12/ClarkJanuary2023.pdf" TargetMode="External"/><Relationship Id="rId67" Type="http://schemas.openxmlformats.org/officeDocument/2006/relationships/hyperlink" Target="https://rennamedia.com/wp-content/uploads/2023/01/ClarkFebruary2023.pdf" TargetMode="External"/><Relationship Id="rId68" Type="http://schemas.openxmlformats.org/officeDocument/2006/relationships/hyperlink" Target="https://rennamedia.com/wp-content/uploads/2023/02/ClarkMarch2023.pdf" TargetMode="External"/><Relationship Id="rId69" Type="http://schemas.openxmlformats.org/officeDocument/2006/relationships/hyperlink" Target="https://rennamedia.com/wp-content/uploads/2023/03/ClarkApril2023.pdf" TargetMode="External"/><Relationship Id="rId70" Type="http://schemas.openxmlformats.org/officeDocument/2006/relationships/hyperlink" Target="https://rennamedia.com/wp-content/uploads/2023/04/ClarkMay2023.pdf" TargetMode="External"/><Relationship Id="rId71" Type="http://schemas.openxmlformats.org/officeDocument/2006/relationships/hyperlink" Target="https://rennamedia.com/wp-content/uploads/2023/05/ClarkJune2023.pdf" TargetMode="External"/><Relationship Id="rId72" Type="http://schemas.openxmlformats.org/officeDocument/2006/relationships/hyperlink" Target="https://rennamedia.com/wp-content/uploads/2023/06/ClarkJuly2023.pdf" TargetMode="External"/><Relationship Id="rId73" Type="http://schemas.openxmlformats.org/officeDocument/2006/relationships/hyperlink" Target="https://rennamedia.com/wp-content/uploads/2023/07/ClarkAug2023.pdf" TargetMode="External"/><Relationship Id="rId74" Type="http://schemas.openxmlformats.org/officeDocument/2006/relationships/hyperlink" Target="https://rennamedia.com/wp-content/uploads/2023/08/ClarkSep2023.pdf" TargetMode="External"/><Relationship Id="rId75" Type="http://schemas.openxmlformats.org/officeDocument/2006/relationships/hyperlink" Target="https://rennamedia.com/wp-content/uploads/2023/09/ClarkOct2023.pdf" TargetMode="External"/><Relationship Id="rId76" Type="http://schemas.openxmlformats.org/officeDocument/2006/relationships/hyperlink" Target="https://rennamedia.com/wp-content/uploads/2023/10/ClarkNov2023.pdf" TargetMode="External"/><Relationship Id="rId77" Type="http://schemas.openxmlformats.org/officeDocument/2006/relationships/hyperlink" Target="https://rennamedia.com/wp-content/uploads/2023/11/ClarkDec2023.pdf" TargetMode="External"/><Relationship Id="rId78" Type="http://schemas.openxmlformats.org/officeDocument/2006/relationships/hyperlink" Target="https://rennamedia.com/wp-content/uploads/2023/12/ClarkJan2024.pdf" TargetMode="External"/><Relationship Id="rId79" Type="http://schemas.openxmlformats.org/officeDocument/2006/relationships/hyperlink" Target="https://rennamedia.com/wp-content/uploads/2024/01/ClarkFeb2024.pdf" TargetMode="External"/><Relationship Id="rId80" Type="http://schemas.openxmlformats.org/officeDocument/2006/relationships/hyperlink" Target="https://rennamedia.com/wp-content/uploads/2024/02/ClarkMar2024.pdf" TargetMode="External"/><Relationship Id="rId81" Type="http://schemas.openxmlformats.org/officeDocument/2006/relationships/hyperlink" Target="https://rennamedia.com/wp-content/uploads/2024/03/ClarkApr2024.pdf" TargetMode="External"/><Relationship Id="rId82" Type="http://schemas.openxmlformats.org/officeDocument/2006/relationships/hyperlink" Target="https://rennamedia.com/wp-content/uploads/2024/04/ClarkMay2024.pdf" TargetMode="External"/><Relationship Id="rId83" Type="http://schemas.openxmlformats.org/officeDocument/2006/relationships/hyperlink" Target="https://rennamedia.com/wp-content/uploads/2024/05/ClarkJune2024.pdf" TargetMode="External"/><Relationship Id="rId84" Type="http://schemas.openxmlformats.org/officeDocument/2006/relationships/hyperlink" Target="https://rennamedia.com/wp-content/uploads/2024/06/ClarkJuly2024.pdf" TargetMode="External"/><Relationship Id="rId85" Type="http://schemas.openxmlformats.org/officeDocument/2006/relationships/hyperlink" Target="https://rennamedia.com/wp-content/uploads/2024/07/ClarkAugust2024.pdf" TargetMode="External"/><Relationship Id="rId86" Type="http://schemas.openxmlformats.org/officeDocument/2006/relationships/hyperlink" Target="https://rennamedia.com/wp-content/uploads/2024/08/ClarkSeptember2024.pdf" TargetMode="External"/><Relationship Id="rId87" Type="http://schemas.openxmlformats.org/officeDocument/2006/relationships/hyperlink" Target="https://rennamedia.com/wp-content/uploads/2024/09/ClarkOctober2024.pdf" TargetMode="External"/><Relationship Id="rId88" Type="http://schemas.openxmlformats.org/officeDocument/2006/relationships/hyperlink" Target="https://rennamedia.com/wp-content/uploads/2024/10/ClarkNovember2024.pdf" TargetMode="External"/><Relationship Id="rId89" Type="http://schemas.openxmlformats.org/officeDocument/2006/relationships/hyperlink" Target="https://rennamedia.com/wp-content/uploads/2024/11/ClarkDecember2024.pdf" TargetMode="External"/><Relationship Id="rId90" Type="http://schemas.openxmlformats.org/officeDocument/2006/relationships/hyperlink" Target="https://rennamedia.com/wp-content/uploads/2024/12/ClarkJanuary2025.pdf" TargetMode="External"/><Relationship Id="rId91" Type="http://schemas.openxmlformats.org/officeDocument/2006/relationships/hyperlink" Target="https://rennamedia.com/wp-content/uploads/2025/02/ClarkFebruary2025.pdf" TargetMode="External"/><Relationship Id="rId92" Type="http://schemas.openxmlformats.org/officeDocument/2006/relationships/hyperlink" Target="https://rennamedia.com/wp-content/uploads/2025/02/ClarkMarch2025.pdf" TargetMode="External"/><Relationship Id="rId93" Type="http://schemas.openxmlformats.org/officeDocument/2006/relationships/hyperlink" Target="https://rennamedia.com/wp-content/uploads/2025/03/ClarkApril2025.pdf" TargetMode="External"/><Relationship Id="rId94" Type="http://schemas.openxmlformats.org/officeDocument/2006/relationships/hyperlink" Target="https://rennamedia.com/wp-content/uploads/2025/04/ClarkMay2025.pdf" TargetMode="External"/><Relationship Id="rId95" Type="http://schemas.openxmlformats.org/officeDocument/2006/relationships/hyperlink" Target="https://rennamedia.com/wp-content/uploads/2025/05/ClarkJune2025.pdf" TargetMode="External"/><Relationship Id="rId96" Type="http://schemas.openxmlformats.org/officeDocument/2006/relationships/hyperlink" Target="https://rennamedia.com/wp-content/uploads/2025/06/ClarkJuly2025.pdf" TargetMode="External"/><Relationship Id="rId97" Type="http://schemas.openxmlformats.org/officeDocument/2006/relationships/hyperlink" Target="https://rennamedia.com/wp-content/uploads/2025/07/ClarkAugust2025.pdf" TargetMode="External"/><Relationship Id="rId98" Type="http://schemas.openxmlformats.org/officeDocument/2006/relationships/hyperlink" Target="https://rennamedia.com/wp-content/uploads/2025/08/ClarkSeptember2025.pdf" TargetMode="External"/><Relationship Id="rId99" Type="http://schemas.openxmlformats.org/officeDocument/2006/relationships/hyperlink" Target="https://rennamedia.com/wp-content/uploads/2025/09/ClarkOctober2025.pdf" TargetMode="External"/><Relationship Id="rId100" Type="http://schemas.openxmlformats.org/officeDocument/2006/relationships/hyperlink" Target="https://rennamedia.com/wp-content/uploads/2025/10/ClarkNovember2025.pdf" TargetMode="External"/><Relationship Id="rId101" Type="http://schemas.openxmlformats.org/officeDocument/2006/relationships/hyperlink" Target="https://rennamedia.com/wp-content/uploads/2025/11/ClarkDecember2025.pdf" TargetMode="External"/><Relationship Id="rId102" Type="http://schemas.openxmlformats.org/officeDocument/2006/relationships/hyperlink" Target="https://rennamedia.com/wp-content/uploads/2025/12/ClarkJanuary2026.pdf" TargetMode="External"/><Relationship Id="rId103" Type="http://schemas.openxmlformats.org/officeDocument/2006/relationships/hyperlink" Target="https://rennamedia.com/wp-content/uploads/2026/01/ClarkFebruary2026.pdf" TargetMode="External"/><Relationship Id="rId104" Type="http://schemas.openxmlformats.org/officeDocument/2006/relationships/hyperlink" Target="https://rennamedia.com/wp-content/uploads/2026/02/ClarkMarch2026.pdf" TargetMode="External"/><Relationship Id="rId105" Type="http://schemas.openxmlformats.org/officeDocument/2006/relationships/hyperlink" Target="https://rennamedia.com/wp-content/uploads/2026/03/ClarkApril2026.pdf" TargetMode="External"/><Relationship Id="rId106" Type="http://schemas.openxmlformats.org/officeDocument/2006/relationships/hyperlink" Target="https://rennamedia.com/wp-content/uploads/2026/04/ClarkMay2026.pdf" TargetMode="External"/><Relationship Id="rId107" Type="http://schemas.openxmlformats.org/officeDocument/2006/relationships/hyperlink" Target="https://rennamedia.com/wp-content/uploads/2021/12/ChathamsJanuary2022.pdf" TargetMode="External"/><Relationship Id="rId108" Type="http://schemas.openxmlformats.org/officeDocument/2006/relationships/hyperlink" Target="https://rennamedia.com/wp-content/uploads/2022/01/ChathamsFebruary2022i.pdf" TargetMode="External"/><Relationship Id="rId109" Type="http://schemas.openxmlformats.org/officeDocument/2006/relationships/hyperlink" Target="https://rennamedia.com/wp-content/uploads/2022/02/ChathamsMarch2022.pdf" TargetMode="External"/><Relationship Id="rId110" Type="http://schemas.openxmlformats.org/officeDocument/2006/relationships/hyperlink" Target="https://rennamedia.com/wp-content/uploads/2022/03/ChathamsApril2022.pdf" TargetMode="External"/><Relationship Id="rId111" Type="http://schemas.openxmlformats.org/officeDocument/2006/relationships/hyperlink" Target="https://rennamedia.com/wp-content/uploads/2022/04/ChathamsMay2022.pdf" TargetMode="External"/><Relationship Id="rId112" Type="http://schemas.openxmlformats.org/officeDocument/2006/relationships/hyperlink" Target="https://rennamedia.com/wp-content/uploads/2022/05/ChathamsJune2022.pdf" TargetMode="External"/><Relationship Id="rId113" Type="http://schemas.openxmlformats.org/officeDocument/2006/relationships/hyperlink" Target="https://rennamedia.com/wp-content/uploads/2022/06/ChathamsJuly2022.pdf" TargetMode="External"/><Relationship Id="rId114" Type="http://schemas.openxmlformats.org/officeDocument/2006/relationships/hyperlink" Target="https://rennamedia.com/wp-content/uploads/2022/07/ChathamsAugust2022.pdf" TargetMode="External"/><Relationship Id="rId115" Type="http://schemas.openxmlformats.org/officeDocument/2006/relationships/hyperlink" Target="https://rennamedia.com/wp-content/uploads/2022/09/ChathamsSeptember2022.pdf" TargetMode="External"/><Relationship Id="rId116" Type="http://schemas.openxmlformats.org/officeDocument/2006/relationships/hyperlink" Target="https://rennamedia.com/wp-content/uploads/2022/10/ChathamsOctober2022.pdf" TargetMode="External"/><Relationship Id="rId117" Type="http://schemas.openxmlformats.org/officeDocument/2006/relationships/hyperlink" Target="https://rennamedia.com/wp-content/uploads/2022/11/ChathamsNovember2022.pdf" TargetMode="External"/><Relationship Id="rId118" Type="http://schemas.openxmlformats.org/officeDocument/2006/relationships/hyperlink" Target="https://rennamedia.com/wp-content/uploads/2022/11/ChathamsDecember2022.pdf" TargetMode="External"/><Relationship Id="rId119" Type="http://schemas.openxmlformats.org/officeDocument/2006/relationships/hyperlink" Target="https://rennamedia.com/wp-content/uploads/2022/12/ChathamsJanuary2023.pdf" TargetMode="External"/><Relationship Id="rId120" Type="http://schemas.openxmlformats.org/officeDocument/2006/relationships/hyperlink" Target="https://rennamedia.com/wp-content/uploads/2023/01/ChathamsFebruary2023.pdf" TargetMode="External"/><Relationship Id="rId121" Type="http://schemas.openxmlformats.org/officeDocument/2006/relationships/hyperlink" Target="https://rennamedia.com/wp-content/uploads/2023/02/ChathamsMarch2023.pdf" TargetMode="External"/><Relationship Id="rId122" Type="http://schemas.openxmlformats.org/officeDocument/2006/relationships/hyperlink" Target="https://rennamedia.com/wp-content/uploads/2023/03/ChathamsApril2023.pdf" TargetMode="External"/><Relationship Id="rId123" Type="http://schemas.openxmlformats.org/officeDocument/2006/relationships/hyperlink" Target="https://rennamedia.com/wp-content/uploads/2023/04/ChathamsMay2023.pdf" TargetMode="External"/><Relationship Id="rId124" Type="http://schemas.openxmlformats.org/officeDocument/2006/relationships/hyperlink" Target="https://rennamedia.com/wp-content/uploads/2023/05/ChathamsJune2023.pdf" TargetMode="External"/><Relationship Id="rId125" Type="http://schemas.openxmlformats.org/officeDocument/2006/relationships/hyperlink" Target="https://rennamedia.com/wp-content/uploads/2023/06/ChathamsJuly2023.pdf" TargetMode="External"/><Relationship Id="rId126" Type="http://schemas.openxmlformats.org/officeDocument/2006/relationships/hyperlink" Target="https://rennamedia.com/wp-content/uploads/2023/07/ChathamsAug2023.pdf" TargetMode="External"/><Relationship Id="rId127" Type="http://schemas.openxmlformats.org/officeDocument/2006/relationships/hyperlink" Target="https://rennamedia.com/wp-content/uploads/2023/08/ChathamsSep2023.pdf" TargetMode="External"/><Relationship Id="rId128" Type="http://schemas.openxmlformats.org/officeDocument/2006/relationships/hyperlink" Target="https://rennamedia.com/wp-content/uploads/2023/09/ChathamsOct2023.pdf" TargetMode="External"/><Relationship Id="rId129" Type="http://schemas.openxmlformats.org/officeDocument/2006/relationships/hyperlink" Target="https://rennamedia.com/wp-content/uploads/2023/10/ChathamsNov2023.pdf" TargetMode="External"/><Relationship Id="rId130" Type="http://schemas.openxmlformats.org/officeDocument/2006/relationships/hyperlink" Target="https://rennamedia.com/wp-content/uploads/2023/11/ChathamsDec2023.pdf" TargetMode="External"/><Relationship Id="rId131" Type="http://schemas.openxmlformats.org/officeDocument/2006/relationships/hyperlink" Target="https://rennamedia.com/wp-content/uploads/2023/12/ChathamsJan2024.pdf" TargetMode="External"/><Relationship Id="rId132" Type="http://schemas.openxmlformats.org/officeDocument/2006/relationships/hyperlink" Target="https://rennamedia.com/wp-content/uploads/2024/01/ChathamsFeb2024.pdf" TargetMode="External"/><Relationship Id="rId133" Type="http://schemas.openxmlformats.org/officeDocument/2006/relationships/hyperlink" Target="https://rennamedia.com/wp-content/uploads/2024/02/ChathamsMar2024.pdf" TargetMode="External"/><Relationship Id="rId134" Type="http://schemas.openxmlformats.org/officeDocument/2006/relationships/hyperlink" Target="https://rennamedia.com/wp-content/uploads/2024/03/ChathamsApr2024.pdf" TargetMode="External"/><Relationship Id="rId135" Type="http://schemas.openxmlformats.org/officeDocument/2006/relationships/hyperlink" Target="https://rennamedia.com/wp-content/uploads/2024/04/ChathamsMay2024.pdf" TargetMode="External"/><Relationship Id="rId136" Type="http://schemas.openxmlformats.org/officeDocument/2006/relationships/hyperlink" Target="https://rennamedia.com/wp-content/uploads/2024/05/ChathamsJune2024.pdf" TargetMode="External"/><Relationship Id="rId137" Type="http://schemas.openxmlformats.org/officeDocument/2006/relationships/hyperlink" Target="https://rennamedia.com/wp-content/uploads/2024/06/ChathamsJuly2024.pdf" TargetMode="External"/><Relationship Id="rId138" Type="http://schemas.openxmlformats.org/officeDocument/2006/relationships/hyperlink" Target="https://rennamedia.com/wp-content/uploads/2024/07/ChathamsAugust2024.pdf" TargetMode="External"/><Relationship Id="rId139" Type="http://schemas.openxmlformats.org/officeDocument/2006/relationships/hyperlink" Target="https://rennamedia.com/wp-content/uploads/2024/08/ChathamsSeptember2024.pdf" TargetMode="External"/><Relationship Id="rId140" Type="http://schemas.openxmlformats.org/officeDocument/2006/relationships/hyperlink" Target="https://rennamedia.com/wp-content/uploads/2024/09/ChathamsOctober2024.pdf" TargetMode="External"/><Relationship Id="rId141" Type="http://schemas.openxmlformats.org/officeDocument/2006/relationships/hyperlink" Target="https://rennamedia.com/wp-content/uploads/2024/10/ChathamsNovember2024.pdf" TargetMode="External"/><Relationship Id="rId142" Type="http://schemas.openxmlformats.org/officeDocument/2006/relationships/hyperlink" Target="https://rennamedia.com/wp-content/uploads/2024/11/ChathamsDecember2024.pdf" TargetMode="External"/><Relationship Id="rId143" Type="http://schemas.openxmlformats.org/officeDocument/2006/relationships/hyperlink" Target="https://rennamedia.com/wp-content/uploads/2024/12/ChathamsJanuary2025.pdf" TargetMode="External"/><Relationship Id="rId144" Type="http://schemas.openxmlformats.org/officeDocument/2006/relationships/hyperlink" Target="https://rennamedia.com/wp-content/uploads/2025/02/ChathamsFebruary2025.pdf" TargetMode="External"/><Relationship Id="rId145" Type="http://schemas.openxmlformats.org/officeDocument/2006/relationships/hyperlink" Target="https://rennamedia.com/wp-content/uploads/2025/02/ChathamsMarch2025.pdf" TargetMode="External"/><Relationship Id="rId146" Type="http://schemas.openxmlformats.org/officeDocument/2006/relationships/hyperlink" Target="https://rennamedia.com/wp-content/uploads/2025/03/ChathamsApril2025.pdf" TargetMode="External"/><Relationship Id="rId147" Type="http://schemas.openxmlformats.org/officeDocument/2006/relationships/hyperlink" Target="https://rennamedia.com/wp-content/uploads/2025/04/ChathamsMay2025.pdf" TargetMode="External"/><Relationship Id="rId148" Type="http://schemas.openxmlformats.org/officeDocument/2006/relationships/hyperlink" Target="https://rennamedia.com/wp-content/uploads/2025/05/ChathamsJune2025.pdf" TargetMode="External"/><Relationship Id="rId149" Type="http://schemas.openxmlformats.org/officeDocument/2006/relationships/hyperlink" Target="https://rennamedia.com/wp-content/uploads/2025/06/ChathamsJuly2025.pdf" TargetMode="External"/><Relationship Id="rId150" Type="http://schemas.openxmlformats.org/officeDocument/2006/relationships/hyperlink" Target="https://rennamedia.com/wp-content/uploads/2025/07/ChathamsAugust2025.pdf" TargetMode="External"/><Relationship Id="rId151" Type="http://schemas.openxmlformats.org/officeDocument/2006/relationships/hyperlink" Target="https://rennamedia.com/wp-content/uploads/2025/08/ChathamsSeptember2025.pdf" TargetMode="External"/><Relationship Id="rId152" Type="http://schemas.openxmlformats.org/officeDocument/2006/relationships/hyperlink" Target="https://rennamedia.com/wp-content/uploads/2025/09/ChathamsOctober2025.pdf" TargetMode="External"/><Relationship Id="rId153" Type="http://schemas.openxmlformats.org/officeDocument/2006/relationships/hyperlink" Target="https://rennamedia.com/wp-content/uploads/2025/10/ChathamsNovember2025.pdf" TargetMode="External"/><Relationship Id="rId154" Type="http://schemas.openxmlformats.org/officeDocument/2006/relationships/hyperlink" Target="https://rennamedia.com/wp-content/uploads/2025/11/ChathamsDecember2025.pdf" TargetMode="External"/><Relationship Id="rId155" Type="http://schemas.openxmlformats.org/officeDocument/2006/relationships/hyperlink" Target="https://rennamedia.com/wp-content/uploads/2025/12/ChathamsJanuary2026.pdf" TargetMode="External"/><Relationship Id="rId156" Type="http://schemas.openxmlformats.org/officeDocument/2006/relationships/hyperlink" Target="https://rennamedia.com/wp-content/uploads/2026/01/ChathamsFebruary2026.pdf" TargetMode="External"/><Relationship Id="rId157" Type="http://schemas.openxmlformats.org/officeDocument/2006/relationships/hyperlink" Target="https://rennamedia.com/wp-content/uploads/2026/02/ChathamsMarch2026proof.pdf" TargetMode="External"/><Relationship Id="rId158" Type="http://schemas.openxmlformats.org/officeDocument/2006/relationships/hyperlink" Target="https://rennamedia.com/wp-content/uploads/2026/03/ChathamsApril2026.pdf" TargetMode="External"/><Relationship Id="rId159" Type="http://schemas.openxmlformats.org/officeDocument/2006/relationships/hyperlink" Target="https://rennamedia.com/wp-content/uploads/2026/04/ChathamsMay2026.pdf" TargetMode="External"/><Relationship Id="rId160" Type="http://schemas.openxmlformats.org/officeDocument/2006/relationships/hyperlink" Target="https://rennamedia.com/wp-content/uploads/2021/12/CranfordJanuary2022.pdf" TargetMode="External"/><Relationship Id="rId161" Type="http://schemas.openxmlformats.org/officeDocument/2006/relationships/hyperlink" Target="https://rennamedia.com/wp-content/uploads/2022/01/CranfordFebruary2022.pdf" TargetMode="External"/><Relationship Id="rId162" Type="http://schemas.openxmlformats.org/officeDocument/2006/relationships/hyperlink" Target="https://rennamedia.com/wp-content/uploads/2022/02/CranfordMarch2022.pdf" TargetMode="External"/><Relationship Id="rId163" Type="http://schemas.openxmlformats.org/officeDocument/2006/relationships/hyperlink" Target="https://rennamedia.com/wp-content/uploads/2022/03/CranfordApril2022.pdf" TargetMode="External"/><Relationship Id="rId164" Type="http://schemas.openxmlformats.org/officeDocument/2006/relationships/hyperlink" Target="https://rennamedia.com/wp-content/uploads/2022/04/CranfordMay2022.pdf" TargetMode="External"/><Relationship Id="rId165" Type="http://schemas.openxmlformats.org/officeDocument/2006/relationships/hyperlink" Target="https://rennamedia.com/wp-content/uploads/2022/05/CranfordJune2022.pdf" TargetMode="External"/><Relationship Id="rId166" Type="http://schemas.openxmlformats.org/officeDocument/2006/relationships/hyperlink" Target="https://rennamedia.com/wp-content/uploads/2022/06/CranfordJuly2022.pdf" TargetMode="External"/><Relationship Id="rId167" Type="http://schemas.openxmlformats.org/officeDocument/2006/relationships/hyperlink" Target="https://rennamedia.com/wp-content/uploads/2022/07/CranfordAugust2022.pdf" TargetMode="External"/><Relationship Id="rId168" Type="http://schemas.openxmlformats.org/officeDocument/2006/relationships/hyperlink" Target="https://rennamedia.com/wp-content/uploads/2022/09/CranfordSeptember2022.pdf" TargetMode="External"/><Relationship Id="rId169" Type="http://schemas.openxmlformats.org/officeDocument/2006/relationships/hyperlink" Target="https://rennamedia.com/wp-content/uploads/2022/10/CranfordOctober2022.pdf" TargetMode="External"/><Relationship Id="rId170" Type="http://schemas.openxmlformats.org/officeDocument/2006/relationships/hyperlink" Target="https://rennamedia.com/wp-content/uploads/2022/11/CranfordNovember2022.pdf" TargetMode="External"/><Relationship Id="rId171" Type="http://schemas.openxmlformats.org/officeDocument/2006/relationships/hyperlink" Target="https://rennamedia.com/wp-content/uploads/2022/11/CranfordDecember2022.pdf" TargetMode="External"/><Relationship Id="rId172" Type="http://schemas.openxmlformats.org/officeDocument/2006/relationships/hyperlink" Target="https://rennamedia.com/wp-content/uploads/2022/12/CranfordJanuary2023.pdf" TargetMode="External"/><Relationship Id="rId173" Type="http://schemas.openxmlformats.org/officeDocument/2006/relationships/hyperlink" Target="https://rennamedia.com/wp-content/uploads/2023/01/CranfordFebruary2023.pdf" TargetMode="External"/><Relationship Id="rId174" Type="http://schemas.openxmlformats.org/officeDocument/2006/relationships/hyperlink" Target="https://rennamedia.com/wp-content/uploads/2023/02/CranfordMarch2023.pdf" TargetMode="External"/><Relationship Id="rId175" Type="http://schemas.openxmlformats.org/officeDocument/2006/relationships/hyperlink" Target="https://rennamedia.com/wp-content/uploads/2023/03/CranfordApril2023.pdf" TargetMode="External"/><Relationship Id="rId176" Type="http://schemas.openxmlformats.org/officeDocument/2006/relationships/hyperlink" Target="https://rennamedia.com/wp-content/uploads/2023/04/CranfordMay2023.pdf" TargetMode="External"/><Relationship Id="rId177" Type="http://schemas.openxmlformats.org/officeDocument/2006/relationships/hyperlink" Target="https://rennamedia.com/wp-content/uploads/2023/05/CranfordJune2023.pdf" TargetMode="External"/><Relationship Id="rId178" Type="http://schemas.openxmlformats.org/officeDocument/2006/relationships/hyperlink" Target="https://rennamedia.com/wp-content/uploads/2023/06/CranfordJuly2023.pdf" TargetMode="External"/><Relationship Id="rId179" Type="http://schemas.openxmlformats.org/officeDocument/2006/relationships/hyperlink" Target="https://rennamedia.com/wp-content/uploads/2023/07/CranfordAug2023.pdf" TargetMode="External"/><Relationship Id="rId180" Type="http://schemas.openxmlformats.org/officeDocument/2006/relationships/hyperlink" Target="https://rennamedia.com/wp-content/uploads/2023/08/CranfordSep2023.pdf" TargetMode="External"/><Relationship Id="rId181" Type="http://schemas.openxmlformats.org/officeDocument/2006/relationships/hyperlink" Target="https://rennamedia.com/wp-content/uploads/2023/09/CranfordOct2023.pdf" TargetMode="External"/><Relationship Id="rId182" Type="http://schemas.openxmlformats.org/officeDocument/2006/relationships/hyperlink" Target="https://rennamedia.com/wp-content/uploads/2023/10/CranfordNov2023.pdf" TargetMode="External"/><Relationship Id="rId183" Type="http://schemas.openxmlformats.org/officeDocument/2006/relationships/hyperlink" Target="https://rennamedia.com/wp-content/uploads/2023/11/CranfordDec2023.pdf" TargetMode="External"/><Relationship Id="rId184" Type="http://schemas.openxmlformats.org/officeDocument/2006/relationships/hyperlink" Target="https://rennamedia.com/wp-content/uploads/2023/12/CranfordJan2024.pdf" TargetMode="External"/><Relationship Id="rId185" Type="http://schemas.openxmlformats.org/officeDocument/2006/relationships/hyperlink" Target="https://rennamedia.com/wp-content/uploads/2024/01/CranfordFeb2024.pdf" TargetMode="External"/><Relationship Id="rId186" Type="http://schemas.openxmlformats.org/officeDocument/2006/relationships/hyperlink" Target="https://rennamedia.com/wp-content/uploads/2024/02/CranfordMar2024.pdf" TargetMode="External"/><Relationship Id="rId187" Type="http://schemas.openxmlformats.org/officeDocument/2006/relationships/hyperlink" Target="https://rennamedia.com/wp-content/uploads/2024/03/CranfordApr2024.pdf" TargetMode="External"/><Relationship Id="rId188" Type="http://schemas.openxmlformats.org/officeDocument/2006/relationships/hyperlink" Target="https://rennamedia.com/wp-content/uploads/2024/04/CranfordMay2024.pdf" TargetMode="External"/><Relationship Id="rId189" Type="http://schemas.openxmlformats.org/officeDocument/2006/relationships/hyperlink" Target="https://rennamedia.com/wp-content/uploads/2024/05/CranfordJune2024.pdf" TargetMode="External"/><Relationship Id="rId190" Type="http://schemas.openxmlformats.org/officeDocument/2006/relationships/hyperlink" Target="https://rennamedia.com/wp-content/uploads/2024/06/CranfordJuly2024.pdf" TargetMode="External"/><Relationship Id="rId191" Type="http://schemas.openxmlformats.org/officeDocument/2006/relationships/hyperlink" Target="https://rennamedia.com/wp-content/uploads/2024/07/CranfordAugust2024.pdf" TargetMode="External"/><Relationship Id="rId192" Type="http://schemas.openxmlformats.org/officeDocument/2006/relationships/hyperlink" Target="https://rennamedia.com/wp-content/uploads/2024/08/CranfordSeptember2024.pdf" TargetMode="External"/><Relationship Id="rId193" Type="http://schemas.openxmlformats.org/officeDocument/2006/relationships/hyperlink" Target="https://rennamedia.com/wp-content/uploads/2024/09/CranfordOctober2024.pdf" TargetMode="External"/><Relationship Id="rId194" Type="http://schemas.openxmlformats.org/officeDocument/2006/relationships/hyperlink" Target="https://rennamedia.com/wp-content/uploads/2024/10/CranfordNovember2024.pdf" TargetMode="External"/><Relationship Id="rId195" Type="http://schemas.openxmlformats.org/officeDocument/2006/relationships/hyperlink" Target="https://rennamedia.com/wp-content/uploads/2024/11/CranfordDecember2024.pdf" TargetMode="External"/><Relationship Id="rId196" Type="http://schemas.openxmlformats.org/officeDocument/2006/relationships/hyperlink" Target="https://rennamedia.com/wp-content/uploads/2024/12/CranfordJanuary2025.pdf" TargetMode="External"/><Relationship Id="rId197" Type="http://schemas.openxmlformats.org/officeDocument/2006/relationships/hyperlink" Target="https://rennamedia.com/wp-content/uploads/2025/02/CranfordFebruary2025.pdf" TargetMode="External"/><Relationship Id="rId198" Type="http://schemas.openxmlformats.org/officeDocument/2006/relationships/hyperlink" Target="https://rennamedia.com/wp-content/uploads/2025/02/CranfordMarch2025.pdf" TargetMode="External"/><Relationship Id="rId199" Type="http://schemas.openxmlformats.org/officeDocument/2006/relationships/hyperlink" Target="https://rennamedia.com/wp-content/uploads/2025/03/CranfordApril2025.pdf" TargetMode="External"/><Relationship Id="rId200" Type="http://schemas.openxmlformats.org/officeDocument/2006/relationships/hyperlink" Target="https://rennamedia.com/wp-content/uploads/2025/04/CranfordMay2025.pdf" TargetMode="External"/><Relationship Id="rId201" Type="http://schemas.openxmlformats.org/officeDocument/2006/relationships/hyperlink" Target="https://rennamedia.com/wp-content/uploads/2025/05/CranfordJune2025.pdf" TargetMode="External"/><Relationship Id="rId202" Type="http://schemas.openxmlformats.org/officeDocument/2006/relationships/hyperlink" Target="https://rennamedia.com/wp-content/uploads/2025/06/CranfordJuly2025.pdf" TargetMode="External"/><Relationship Id="rId203" Type="http://schemas.openxmlformats.org/officeDocument/2006/relationships/hyperlink" Target="https://rennamedia.com/wp-content/uploads/2025/07/CranfordJAugust2025.pdf" TargetMode="External"/><Relationship Id="rId204" Type="http://schemas.openxmlformats.org/officeDocument/2006/relationships/hyperlink" Target="https://rennamedia.com/wp-content/uploads/2025/08/CranfordSeptember2025.pdf" TargetMode="External"/><Relationship Id="rId205" Type="http://schemas.openxmlformats.org/officeDocument/2006/relationships/hyperlink" Target="https://rennamedia.com/wp-content/uploads/2025/09/CranfordOctober2025.pdf" TargetMode="External"/><Relationship Id="rId206" Type="http://schemas.openxmlformats.org/officeDocument/2006/relationships/hyperlink" Target="https://rennamedia.com/wp-content/uploads/2025/10/CranfordNovember2025.pdf" TargetMode="External"/><Relationship Id="rId207" Type="http://schemas.openxmlformats.org/officeDocument/2006/relationships/hyperlink" Target="https://rennamedia.com/wp-content/uploads/2025/11/CranfordDecember2025.pdf" TargetMode="External"/><Relationship Id="rId208" Type="http://schemas.openxmlformats.org/officeDocument/2006/relationships/hyperlink" Target="https://rennamedia.com/wp-content/uploads/2025/12/CranfordJanuary2026.pdf" TargetMode="External"/><Relationship Id="rId209" Type="http://schemas.openxmlformats.org/officeDocument/2006/relationships/hyperlink" Target="https://rennamedia.com/wp-content/uploads/2026/01/CranfordFebruary2026.pdf" TargetMode="External"/><Relationship Id="rId210" Type="http://schemas.openxmlformats.org/officeDocument/2006/relationships/hyperlink" Target="https://rennamedia.com/wp-content/uploads/2026/02/CranfordMarch2026.pdf" TargetMode="External"/><Relationship Id="rId211" Type="http://schemas.openxmlformats.org/officeDocument/2006/relationships/hyperlink" Target="https://rennamedia.com/wp-content/uploads/2026/03/CranfordApril2026.pdf" TargetMode="External"/><Relationship Id="rId212" Type="http://schemas.openxmlformats.org/officeDocument/2006/relationships/hyperlink" Target="https://rennamedia.com/wp-content/uploads/2026/04/CranfordMay2026.pdf" TargetMode="External"/><Relationship Id="rId213" Type="http://schemas.openxmlformats.org/officeDocument/2006/relationships/hyperlink" Target="https://rennamedia.com/wp-content/uploads/2024/11/EastHanoverViewDecember2024.pdf" TargetMode="External"/><Relationship Id="rId214" Type="http://schemas.openxmlformats.org/officeDocument/2006/relationships/hyperlink" Target="https://rennamedia.com/wp-content/uploads/2024/12/EastHanoverViewJanuary2025.pdf" TargetMode="External"/><Relationship Id="rId215" Type="http://schemas.openxmlformats.org/officeDocument/2006/relationships/hyperlink" Target="https://rennamedia.com/wp-content/uploads/2025/02/EastHanoverViewFebruary2025.pdf" TargetMode="External"/><Relationship Id="rId216" Type="http://schemas.openxmlformats.org/officeDocument/2006/relationships/hyperlink" Target="https://rennamedia.com/wp-content/uploads/2025/02/EastHanoverViewMarch2025.pdf" TargetMode="External"/><Relationship Id="rId217" Type="http://schemas.openxmlformats.org/officeDocument/2006/relationships/hyperlink" Target="https://rennamedia.com/wp-content/uploads/2025/03/EastHanoverViewApril2025.pdf" TargetMode="External"/><Relationship Id="rId218" Type="http://schemas.openxmlformats.org/officeDocument/2006/relationships/hyperlink" Target="https://rennamedia.com/wp-content/uploads/2025/04/EastHanoverViewMay2025.pdf" TargetMode="External"/><Relationship Id="rId219" Type="http://schemas.openxmlformats.org/officeDocument/2006/relationships/hyperlink" Target="https://rennamedia.com/wp-content/uploads/2025/05/EastHanoverViewJune2025.pdf" TargetMode="External"/><Relationship Id="rId220" Type="http://schemas.openxmlformats.org/officeDocument/2006/relationships/hyperlink" Target="https://rennamedia.com/wp-content/uploads/2025/06/EastHanoverViewJuly2025.pdf" TargetMode="External"/><Relationship Id="rId221" Type="http://schemas.openxmlformats.org/officeDocument/2006/relationships/hyperlink" Target="https://rennamedia.com/wp-content/uploads/2025/07/EastHanoverViewAugust2025.pdf" TargetMode="External"/><Relationship Id="rId222" Type="http://schemas.openxmlformats.org/officeDocument/2006/relationships/hyperlink" Target="https://rennamedia.com/wp-content/uploads/2025/08/EastHanoverViewSeptember2025.pdf" TargetMode="External"/><Relationship Id="rId223" Type="http://schemas.openxmlformats.org/officeDocument/2006/relationships/hyperlink" Target="https://rennamedia.com/wp-content/uploads/2025/09/EastHanoverViewOctober2025.pdf" TargetMode="External"/><Relationship Id="rId224" Type="http://schemas.openxmlformats.org/officeDocument/2006/relationships/hyperlink" Target="https://rennamedia.com/wp-content/uploads/2025/10/EastHanoverViewNovember2025.pdf" TargetMode="External"/><Relationship Id="rId225" Type="http://schemas.openxmlformats.org/officeDocument/2006/relationships/hyperlink" Target="https://rennamedia.com/wp-content/uploads/2025/11/EastHanoverViewDecember2025.pdf" TargetMode="External"/><Relationship Id="rId226" Type="http://schemas.openxmlformats.org/officeDocument/2006/relationships/hyperlink" Target="https://rennamedia.com/wp-content/uploads/2025/12/EastHanoverViewJanuary2026.pdf" TargetMode="External"/><Relationship Id="rId227" Type="http://schemas.openxmlformats.org/officeDocument/2006/relationships/hyperlink" Target="https://rennamedia.com/wp-content/uploads/2026/01/EastHanoverViewFebruary2026.pdf" TargetMode="External"/><Relationship Id="rId228" Type="http://schemas.openxmlformats.org/officeDocument/2006/relationships/hyperlink" Target="https://rennamedia.com/wp-content/uploads/2026/02/EastHanoverViewMarch2026.pdf" TargetMode="External"/><Relationship Id="rId229" Type="http://schemas.openxmlformats.org/officeDocument/2006/relationships/hyperlink" Target="https://rennamedia.com/wp-content/uploads/2026/03/EastHanoverViewApril2026.pdf" TargetMode="External"/><Relationship Id="rId230" Type="http://schemas.openxmlformats.org/officeDocument/2006/relationships/hyperlink" Target="https://rennamedia.com/wp-content/uploads/2026/04/EastHanoverViewMay2026.pdf" TargetMode="External"/><Relationship Id="rId231" Type="http://schemas.openxmlformats.org/officeDocument/2006/relationships/hyperlink" Target="https://rennamedia.com/wp-content/uploads/2022/02/ElmoraHillsMonthlyMarch2022.pdf" TargetMode="External"/><Relationship Id="rId232" Type="http://schemas.openxmlformats.org/officeDocument/2006/relationships/hyperlink" Target="https://rennamedia.com/wp-content/uploads/2022/03/ElmoraHillsMonthlyApril2022.pdf" TargetMode="External"/><Relationship Id="rId233" Type="http://schemas.openxmlformats.org/officeDocument/2006/relationships/hyperlink" Target="https://rennamedia.com/wp-content/uploads/2022/04/ElmoraHillsMonthlyMay2022.pdf" TargetMode="External"/><Relationship Id="rId234" Type="http://schemas.openxmlformats.org/officeDocument/2006/relationships/hyperlink" Target="https://rennamedia.com/wp-content/uploads/2022/05/ElmoraHillsMonthlyJune2022.pdf" TargetMode="External"/><Relationship Id="rId235" Type="http://schemas.openxmlformats.org/officeDocument/2006/relationships/hyperlink" Target="https://rennamedia.com/wp-content/uploads/2022/06/ElmoraHillsMonthlyJuly2022.pdf" TargetMode="External"/><Relationship Id="rId236" Type="http://schemas.openxmlformats.org/officeDocument/2006/relationships/hyperlink" Target="https://rennamedia.com/wp-content/uploads/2022/07/ElmoraHillsMonthlyAugust2022.pdf" TargetMode="External"/><Relationship Id="rId237" Type="http://schemas.openxmlformats.org/officeDocument/2006/relationships/hyperlink" Target="https://rennamedia.com/wp-content/uploads/2022/09/ElmoraHillsMonthlySeptember2022.pdf" TargetMode="External"/><Relationship Id="rId238" Type="http://schemas.openxmlformats.org/officeDocument/2006/relationships/hyperlink" Target="https://rennamedia.com/wp-content/uploads/2022/10/ElmoraHillsMonthlyOctober2022.pdf" TargetMode="External"/><Relationship Id="rId239" Type="http://schemas.openxmlformats.org/officeDocument/2006/relationships/hyperlink" Target="https://rennamedia.com/wp-content/uploads/2022/11/ElmoraHillsMonthlyNovember2022.pdf" TargetMode="External"/><Relationship Id="rId240" Type="http://schemas.openxmlformats.org/officeDocument/2006/relationships/hyperlink" Target="https://rennamedia.com/wp-content/uploads/2022/11/ElmoraHillsMonthlyDecember2022.pdf" TargetMode="External"/><Relationship Id="rId241" Type="http://schemas.openxmlformats.org/officeDocument/2006/relationships/hyperlink" Target="https://rennamedia.com/wp-content/uploads/2022/12/ElmoraHillsMonthlyJanuary2023.pdf" TargetMode="External"/><Relationship Id="rId242" Type="http://schemas.openxmlformats.org/officeDocument/2006/relationships/hyperlink" Target="https://rennamedia.com/wp-content/uploads/2023/01/ElmoraHillsMonthlyFebruary2023.pdf" TargetMode="External"/><Relationship Id="rId243" Type="http://schemas.openxmlformats.org/officeDocument/2006/relationships/hyperlink" Target="https://rennamedia.com/wp-content/uploads/2023/02/ElmoraHillsMonthlyMarch2023.pdf" TargetMode="External"/><Relationship Id="rId244" Type="http://schemas.openxmlformats.org/officeDocument/2006/relationships/hyperlink" Target="https://rennamedia.com/wp-content/uploads/2023/03/ElmoraHillsMonthlyApril2023.pdf" TargetMode="External"/><Relationship Id="rId245" Type="http://schemas.openxmlformats.org/officeDocument/2006/relationships/hyperlink" Target="https://rennamedia.com/wp-content/uploads/2023/04/ElmoraHillsMonthlyMay2023.pdf" TargetMode="External"/><Relationship Id="rId246" Type="http://schemas.openxmlformats.org/officeDocument/2006/relationships/hyperlink" Target="https://rennamedia.com/wp-content/uploads/2023/05/ElmoraHillsMonthlyJune2023.pdf" TargetMode="External"/><Relationship Id="rId247" Type="http://schemas.openxmlformats.org/officeDocument/2006/relationships/hyperlink" Target="https://rennamedia.com/wp-content/uploads/2023/06/ElmoraHillsMonthlyJuly2023.pdf" TargetMode="External"/><Relationship Id="rId248" Type="http://schemas.openxmlformats.org/officeDocument/2006/relationships/hyperlink" Target="https://rennamedia.com/wp-content/uploads/2023/07/ElmoraHillsMonthlyAug2023.pdf" TargetMode="External"/><Relationship Id="rId249" Type="http://schemas.openxmlformats.org/officeDocument/2006/relationships/hyperlink" Target="https://rennamedia.com/wp-content/uploads/2023/08/ElmoraHillsMonthlySep2023.pdf" TargetMode="External"/><Relationship Id="rId250" Type="http://schemas.openxmlformats.org/officeDocument/2006/relationships/hyperlink" Target="https://rennamedia.com/wp-content/uploads/2023/09/ElmoraHillsMonthlyOct2023.pdf" TargetMode="External"/><Relationship Id="rId251" Type="http://schemas.openxmlformats.org/officeDocument/2006/relationships/hyperlink" Target="https://rennamedia.com/wp-content/uploads/2023/10/ElmoraHillsMonthlyNov2023.pdf" TargetMode="External"/><Relationship Id="rId252" Type="http://schemas.openxmlformats.org/officeDocument/2006/relationships/hyperlink" Target="https://rennamedia.com/wp-content/uploads/2023/11/ElmoraHillsMonthlyDec2023.pdf" TargetMode="External"/><Relationship Id="rId253" Type="http://schemas.openxmlformats.org/officeDocument/2006/relationships/hyperlink" Target="https://rennamedia.com/wp-content/uploads/2023/12/ElmoraHillsMonthlyJan2024.pdf" TargetMode="External"/><Relationship Id="rId254" Type="http://schemas.openxmlformats.org/officeDocument/2006/relationships/hyperlink" Target="https://rennamedia.com/wp-content/uploads/2024/01/ElmoraHillsMonthlyFeb2024.pdf" TargetMode="External"/><Relationship Id="rId255" Type="http://schemas.openxmlformats.org/officeDocument/2006/relationships/hyperlink" Target="https://rennamedia.com/wp-content/uploads/2024/02/ElmoraHillsMonthlyMar2024.pdf" TargetMode="External"/><Relationship Id="rId256" Type="http://schemas.openxmlformats.org/officeDocument/2006/relationships/hyperlink" Target="https://rennamedia.com/wp-content/uploads/2024/03/ElmoraHillsMonthlyApr2024.pdf" TargetMode="External"/><Relationship Id="rId257" Type="http://schemas.openxmlformats.org/officeDocument/2006/relationships/hyperlink" Target="https://rennamedia.com/wp-content/uploads/2024/04/ElmoraHillsMonthlyMay2024.pdf" TargetMode="External"/><Relationship Id="rId258" Type="http://schemas.openxmlformats.org/officeDocument/2006/relationships/hyperlink" Target="https://rennamedia.com/wp-content/uploads/2024/05/ElmoraHillsMonthlyJune2024.pdf" TargetMode="External"/><Relationship Id="rId259" Type="http://schemas.openxmlformats.org/officeDocument/2006/relationships/hyperlink" Target="https://rennamedia.com/wp-content/uploads/2024/06/ElmoraHillsMonthlyJuly2024.pdf" TargetMode="External"/><Relationship Id="rId260" Type="http://schemas.openxmlformats.org/officeDocument/2006/relationships/hyperlink" Target="https://rennamedia.com/wp-content/uploads/2024/07/ElmoraHillsMonthlyAugust2024.pdf" TargetMode="External"/><Relationship Id="rId261" Type="http://schemas.openxmlformats.org/officeDocument/2006/relationships/hyperlink" Target="https://rennamedia.com/wp-content/uploads/2024/08/ElmoraHillsMonthlySeptember2024.pdf" TargetMode="External"/><Relationship Id="rId262" Type="http://schemas.openxmlformats.org/officeDocument/2006/relationships/hyperlink" Target="https://rennamedia.com/wp-content/uploads/2024/09/ElmoraHillsMonthlyOctober2024.pdf" TargetMode="External"/><Relationship Id="rId263" Type="http://schemas.openxmlformats.org/officeDocument/2006/relationships/hyperlink" Target="https://rennamedia.com/wp-content/uploads/2024/10/ElmoraHillsMonthlyNovember2024.pdf" TargetMode="External"/><Relationship Id="rId264" Type="http://schemas.openxmlformats.org/officeDocument/2006/relationships/hyperlink" Target="https://rennamedia.com/wp-content/uploads/2024/11/ElmoraHillsMonthlyDecember2024.pdf" TargetMode="External"/><Relationship Id="rId265" Type="http://schemas.openxmlformats.org/officeDocument/2006/relationships/hyperlink" Target="https://rennamedia.com/wp-content/uploads/2024/12/ElmoraHillsMonthlyJanuary2025i.pdf" TargetMode="External"/><Relationship Id="rId266" Type="http://schemas.openxmlformats.org/officeDocument/2006/relationships/hyperlink" Target="https://rennamedia.com/wp-content/uploads/2025/02/ElmoraHillsMonthlyFebruary2025.pdf" TargetMode="External"/><Relationship Id="rId267" Type="http://schemas.openxmlformats.org/officeDocument/2006/relationships/hyperlink" Target="https://rennamedia.com/wp-content/uploads/2025/02/ElmoraHillsMonthlyMarch2025.pdf" TargetMode="External"/><Relationship Id="rId268" Type="http://schemas.openxmlformats.org/officeDocument/2006/relationships/hyperlink" Target="https://rennamedia.com/wp-content/uploads/2025/03/ElmoraHillsMonthlyApril2025.pdf" TargetMode="External"/><Relationship Id="rId269" Type="http://schemas.openxmlformats.org/officeDocument/2006/relationships/hyperlink" Target="https://rennamedia.com/wp-content/uploads/2025/04/ElmoraHillsMonthlyMay2025.pdf" TargetMode="External"/><Relationship Id="rId270" Type="http://schemas.openxmlformats.org/officeDocument/2006/relationships/hyperlink" Target="https://rennamedia.com/wp-content/uploads/2025/05/ElmoraHillsMonthlyJune2025.pdf" TargetMode="External"/><Relationship Id="rId271" Type="http://schemas.openxmlformats.org/officeDocument/2006/relationships/hyperlink" Target="https://rennamedia.com/wp-content/uploads/2025/06/ElmoraHillsMonthlyJuly2025.pdf" TargetMode="External"/><Relationship Id="rId272" Type="http://schemas.openxmlformats.org/officeDocument/2006/relationships/hyperlink" Target="https://rennamedia.com/wp-content/uploads/2025/07/ElmoraHillsMonthlyAugust2025.pdf" TargetMode="External"/><Relationship Id="rId273" Type="http://schemas.openxmlformats.org/officeDocument/2006/relationships/hyperlink" Target="https://rennamedia.com/wp-content/uploads/2025/08/ElmoraHillsMonthlySeptember2025.pdf" TargetMode="External"/><Relationship Id="rId274" Type="http://schemas.openxmlformats.org/officeDocument/2006/relationships/hyperlink" Target="https://rennamedia.com/wp-content/uploads/2025/09/ElmoraHillsMonthlyOctober2025.pdf" TargetMode="External"/><Relationship Id="rId275" Type="http://schemas.openxmlformats.org/officeDocument/2006/relationships/hyperlink" Target="https://rennamedia.com/wp-content/uploads/2025/10/ElmoraHillsMonthlyNovember2025.pdf" TargetMode="External"/><Relationship Id="rId276" Type="http://schemas.openxmlformats.org/officeDocument/2006/relationships/hyperlink" Target="https://rennamedia.com/wp-content/uploads/2025/11/ElmoraHillsMonthlyDecember2025.pdf" TargetMode="External"/><Relationship Id="rId277" Type="http://schemas.openxmlformats.org/officeDocument/2006/relationships/hyperlink" Target="https://rennamedia.com/wp-content/uploads/2025/12/ElmoraHillsMonthlyJanuary2026.pdf" TargetMode="External"/><Relationship Id="rId278" Type="http://schemas.openxmlformats.org/officeDocument/2006/relationships/hyperlink" Target="https://rennamedia.com/wp-content/uploads/2026/01/ElmoraHillsMonthlyFebruary2026.pdf" TargetMode="External"/><Relationship Id="rId279" Type="http://schemas.openxmlformats.org/officeDocument/2006/relationships/hyperlink" Target="https://rennamedia.com/wp-content/uploads/2026/02/ElmoraHillsMonthlyMarch2026.pdf" TargetMode="External"/><Relationship Id="rId280" Type="http://schemas.openxmlformats.org/officeDocument/2006/relationships/hyperlink" Target="https://rennamedia.com/wp-content/uploads/2026/03/ElmoraHillsMonthlyApril2026.pdf" TargetMode="External"/><Relationship Id="rId281" Type="http://schemas.openxmlformats.org/officeDocument/2006/relationships/hyperlink" Target="https://rennamedia.com/wp-content/uploads/2026/04/ElmoraHillsMonthlymay2026.pdf" TargetMode="External"/><Relationship Id="rId282" Type="http://schemas.openxmlformats.org/officeDocument/2006/relationships/hyperlink" Target="https://rennamedia.com/wp-content/uploads/2021/12/FanwoodJanuary2022.pdf" TargetMode="External"/><Relationship Id="rId283" Type="http://schemas.openxmlformats.org/officeDocument/2006/relationships/hyperlink" Target="https://rennamedia.com/wp-content/uploads/2022/01/FanwoodFebruary2022.pdf" TargetMode="External"/><Relationship Id="rId284" Type="http://schemas.openxmlformats.org/officeDocument/2006/relationships/hyperlink" Target="https://rennamedia.com/wp-content/uploads/2022/02/FanwoodMarch2022.pdf" TargetMode="External"/><Relationship Id="rId285" Type="http://schemas.openxmlformats.org/officeDocument/2006/relationships/hyperlink" Target="https://rennamedia.com/wp-content/uploads/2022/03/FanwoodApril2022.pdf" TargetMode="External"/><Relationship Id="rId286" Type="http://schemas.openxmlformats.org/officeDocument/2006/relationships/hyperlink" Target="https://rennamedia.com/wp-content/uploads/2022/04/FanwoodMay2022.pdf" TargetMode="External"/><Relationship Id="rId287" Type="http://schemas.openxmlformats.org/officeDocument/2006/relationships/hyperlink" Target="https://rennamedia.com/wp-content/uploads/2022/05/FanwoodJune2022.pdf" TargetMode="External"/><Relationship Id="rId288" Type="http://schemas.openxmlformats.org/officeDocument/2006/relationships/hyperlink" Target="https://rennamedia.com/wp-content/uploads/2022/06/FanwoodJuly2022.pdf" TargetMode="External"/><Relationship Id="rId289" Type="http://schemas.openxmlformats.org/officeDocument/2006/relationships/hyperlink" Target="https://rennamedia.com/wp-content/uploads/2022/07/FanwoodAugust2022.pdf" TargetMode="External"/><Relationship Id="rId290" Type="http://schemas.openxmlformats.org/officeDocument/2006/relationships/hyperlink" Target="https://rennamedia.com/wp-content/uploads/2022/09/FanwoodSeptember2022.pdf" TargetMode="External"/><Relationship Id="rId291" Type="http://schemas.openxmlformats.org/officeDocument/2006/relationships/hyperlink" Target="https://rennamedia.com/wp-content/uploads/2022/10/FanwoodOctober2022.pdf" TargetMode="External"/><Relationship Id="rId292" Type="http://schemas.openxmlformats.org/officeDocument/2006/relationships/hyperlink" Target="https://rennamedia.com/wp-content/uploads/2022/11/FanwoodNovember2022.pdf" TargetMode="External"/><Relationship Id="rId293" Type="http://schemas.openxmlformats.org/officeDocument/2006/relationships/hyperlink" Target="https://rennamedia.com/wp-content/uploads/2022/11/FanwoodDecember2022.pdf" TargetMode="External"/><Relationship Id="rId294" Type="http://schemas.openxmlformats.org/officeDocument/2006/relationships/hyperlink" Target="https://rennamedia.com/wp-content/uploads/2022/12/FanwoodJanuary2023.pdf" TargetMode="External"/><Relationship Id="rId295" Type="http://schemas.openxmlformats.org/officeDocument/2006/relationships/hyperlink" Target="https://rennamedia.com/wp-content/uploads/2023/01/FanwoodFebruary2023.pdf" TargetMode="External"/><Relationship Id="rId296" Type="http://schemas.openxmlformats.org/officeDocument/2006/relationships/hyperlink" Target="https://rennamedia.com/wp-content/uploads/2023/02/FanwoodMarch2023.pdf" TargetMode="External"/><Relationship Id="rId297" Type="http://schemas.openxmlformats.org/officeDocument/2006/relationships/hyperlink" Target="https://rennamedia.com/wp-content/uploads/2023/03/FanwoodApril2023.pdf" TargetMode="External"/><Relationship Id="rId298" Type="http://schemas.openxmlformats.org/officeDocument/2006/relationships/hyperlink" Target="https://rennamedia.com/wp-content/uploads/2023/04/FanwoodMay2023.pdf" TargetMode="External"/><Relationship Id="rId299" Type="http://schemas.openxmlformats.org/officeDocument/2006/relationships/hyperlink" Target="https://rennamedia.com/wp-content/uploads/2023/05/FanwoodJune2023.pdf" TargetMode="External"/><Relationship Id="rId300" Type="http://schemas.openxmlformats.org/officeDocument/2006/relationships/hyperlink" Target="https://rennamedia.com/wp-content/uploads/2023/06/FanwoodJuly2023.pdf" TargetMode="External"/><Relationship Id="rId301" Type="http://schemas.openxmlformats.org/officeDocument/2006/relationships/hyperlink" Target="https://rennamedia.com/wp-content/uploads/2023/07/FanwoodAug2023.pdf" TargetMode="External"/><Relationship Id="rId302" Type="http://schemas.openxmlformats.org/officeDocument/2006/relationships/hyperlink" Target="https://rennamedia.com/wp-content/uploads/2023/08/FanwoodSep2023.pdf" TargetMode="External"/><Relationship Id="rId303" Type="http://schemas.openxmlformats.org/officeDocument/2006/relationships/hyperlink" Target="https://rennamedia.com/wp-content/uploads/2023/09/FanwoodOct2023.pdf" TargetMode="External"/><Relationship Id="rId304" Type="http://schemas.openxmlformats.org/officeDocument/2006/relationships/hyperlink" Target="https://rennamedia.com/wp-content/uploads/2023/10/FanwoodNov2023.pdf" TargetMode="External"/><Relationship Id="rId305" Type="http://schemas.openxmlformats.org/officeDocument/2006/relationships/hyperlink" Target="https://rennamedia.com/wp-content/uploads/2023/11/FanwoodDec2023.pdf" TargetMode="External"/><Relationship Id="rId306" Type="http://schemas.openxmlformats.org/officeDocument/2006/relationships/hyperlink" Target="https://rennamedia.com/wp-content/uploads/2023/12/FanwoodJan2024.pdf" TargetMode="External"/><Relationship Id="rId307" Type="http://schemas.openxmlformats.org/officeDocument/2006/relationships/hyperlink" Target="https://rennamedia.com/wp-content/uploads/2024/01/FanwoodFeb2024.pdf" TargetMode="External"/><Relationship Id="rId308" Type="http://schemas.openxmlformats.org/officeDocument/2006/relationships/hyperlink" Target="https://rennamedia.com/wp-content/uploads/2024/02/FanwoodMar2024.pdf" TargetMode="External"/><Relationship Id="rId309" Type="http://schemas.openxmlformats.org/officeDocument/2006/relationships/hyperlink" Target="https://rennamedia.com/wp-content/uploads/2024/03/FanwoodApr2024.pdf" TargetMode="External"/><Relationship Id="rId310" Type="http://schemas.openxmlformats.org/officeDocument/2006/relationships/hyperlink" Target="https://rennamedia.com/wp-content/uploads/2024/04/FanwoodMay2024.pdf" TargetMode="External"/><Relationship Id="rId311" Type="http://schemas.openxmlformats.org/officeDocument/2006/relationships/hyperlink" Target="https://rennamedia.com/wp-content/uploads/2024/05/FanwoodJune2024.pdf" TargetMode="External"/><Relationship Id="rId312" Type="http://schemas.openxmlformats.org/officeDocument/2006/relationships/hyperlink" Target="https://rennamedia.com/wp-content/uploads/2024/06/FanwoodJuly2024.pdf" TargetMode="External"/><Relationship Id="rId313" Type="http://schemas.openxmlformats.org/officeDocument/2006/relationships/hyperlink" Target="https://rennamedia.com/wp-content/uploads/2024/07/FanwoodAugust2024.pdf" TargetMode="External"/><Relationship Id="rId314" Type="http://schemas.openxmlformats.org/officeDocument/2006/relationships/hyperlink" Target="https://rennamedia.com/wp-content/uploads/2024/08/FanwoodSeptember2024.pdf" TargetMode="External"/><Relationship Id="rId315" Type="http://schemas.openxmlformats.org/officeDocument/2006/relationships/hyperlink" Target="https://rennamedia.com/wp-content/uploads/2024/10/FanwoodOctober2024x.pdf" TargetMode="External"/><Relationship Id="rId316" Type="http://schemas.openxmlformats.org/officeDocument/2006/relationships/hyperlink" Target="https://rennamedia.com/wp-content/uploads/2024/10/FanwoodNovember2024.pdf" TargetMode="External"/><Relationship Id="rId317" Type="http://schemas.openxmlformats.org/officeDocument/2006/relationships/hyperlink" Target="https://rennamedia.com/wp-content/uploads/2024/11/FanwoodDecember2024.pdf" TargetMode="External"/><Relationship Id="rId318" Type="http://schemas.openxmlformats.org/officeDocument/2006/relationships/hyperlink" Target="https://rennamedia.com/wp-content/uploads/2024/12/FanwoodJanuary2025.pdf" TargetMode="External"/><Relationship Id="rId319" Type="http://schemas.openxmlformats.org/officeDocument/2006/relationships/hyperlink" Target="https://rennamedia.com/wp-content/uploads/2025/02/FanwoodFebruary2025.pdf" TargetMode="External"/><Relationship Id="rId320" Type="http://schemas.openxmlformats.org/officeDocument/2006/relationships/hyperlink" Target="https://rennamedia.com/wp-content/uploads/2025/02/FanwoodMarch2025.pdf" TargetMode="External"/><Relationship Id="rId321" Type="http://schemas.openxmlformats.org/officeDocument/2006/relationships/hyperlink" Target="https://rennamedia.com/wp-content/uploads/2025/03/FanwoodApril2025.pdf" TargetMode="External"/><Relationship Id="rId322" Type="http://schemas.openxmlformats.org/officeDocument/2006/relationships/hyperlink" Target="https://rennamedia.com/wp-content/uploads/2025/04/FanwoodMay2025.pdf" TargetMode="External"/><Relationship Id="rId323" Type="http://schemas.openxmlformats.org/officeDocument/2006/relationships/hyperlink" Target="https://rennamedia.com/wp-content/uploads/2025/05/FanwoodJune2025.pdf" TargetMode="External"/><Relationship Id="rId324" Type="http://schemas.openxmlformats.org/officeDocument/2006/relationships/hyperlink" Target="https://rennamedia.com/wp-content/uploads/2025/06/FanwoodJuly2025.pdf" TargetMode="External"/><Relationship Id="rId325" Type="http://schemas.openxmlformats.org/officeDocument/2006/relationships/hyperlink" Target="https://rennamedia.com/wp-content/uploads/2025/07/FanwoodAugust2025.pdf" TargetMode="External"/><Relationship Id="rId326" Type="http://schemas.openxmlformats.org/officeDocument/2006/relationships/hyperlink" Target="https://rennamedia.com/wp-content/uploads/2025/08/FanwoodSeptember2025.pdf" TargetMode="External"/><Relationship Id="rId327" Type="http://schemas.openxmlformats.org/officeDocument/2006/relationships/hyperlink" Target="https://rennamedia.com/wp-content/uploads/2025/09/FanwoodOctober2025.pdf" TargetMode="External"/><Relationship Id="rId328" Type="http://schemas.openxmlformats.org/officeDocument/2006/relationships/hyperlink" Target="https://rennamedia.com/wp-content/uploads/2025/10/FanwoodNovember2025.pdf" TargetMode="External"/><Relationship Id="rId329" Type="http://schemas.openxmlformats.org/officeDocument/2006/relationships/hyperlink" Target="https://rennamedia.com/wp-content/uploads/2025/11/FanwoodDecember2025.pdf" TargetMode="External"/><Relationship Id="rId330" Type="http://schemas.openxmlformats.org/officeDocument/2006/relationships/hyperlink" Target="https://rennamedia.com/wp-content/uploads/2025/12/FanwoodJanuary2026.pdf" TargetMode="External"/><Relationship Id="rId331" Type="http://schemas.openxmlformats.org/officeDocument/2006/relationships/hyperlink" Target="https://rennamedia.com/wp-content/uploads/2026/01/FanwoodFebruary2026.pdf" TargetMode="External"/><Relationship Id="rId332" Type="http://schemas.openxmlformats.org/officeDocument/2006/relationships/hyperlink" Target="https://rennamedia.com/wp-content/uploads/2026/02/FanwoodMarch2026.pdf" TargetMode="External"/><Relationship Id="rId333" Type="http://schemas.openxmlformats.org/officeDocument/2006/relationships/hyperlink" Target="https://rennamedia.com/wp-content/uploads/2026/03/FanwoodApril2026.pdf" TargetMode="External"/><Relationship Id="rId334" Type="http://schemas.openxmlformats.org/officeDocument/2006/relationships/hyperlink" Target="https://rennamedia.com/wp-content/uploads/2026/04/FanwoodMay2026.pdf" TargetMode="External"/><Relationship Id="rId335" Type="http://schemas.openxmlformats.org/officeDocument/2006/relationships/hyperlink" Target="https://rennamedia.com/wp-content/uploads/2022/02/FlorhamParkMonthlyMarch2022.pdf" TargetMode="External"/><Relationship Id="rId336" Type="http://schemas.openxmlformats.org/officeDocument/2006/relationships/hyperlink" Target="https://rennamedia.com/wp-content/uploads/2022/03/FlorhamParkMonthlyApril2022.pdf" TargetMode="External"/><Relationship Id="rId337" Type="http://schemas.openxmlformats.org/officeDocument/2006/relationships/hyperlink" Target="https://rennamedia.com/wp-content/uploads/2022/04/FlorhamParkMonthlyMay2022.pdf" TargetMode="External"/><Relationship Id="rId338" Type="http://schemas.openxmlformats.org/officeDocument/2006/relationships/hyperlink" Target="https://rennamedia.com/wp-content/uploads/2022/05/FlorhamParkMonthlyJune2022.pdf" TargetMode="External"/><Relationship Id="rId339" Type="http://schemas.openxmlformats.org/officeDocument/2006/relationships/hyperlink" Target="https://rennamedia.com/wp-content/uploads/2022/06/FlorhamParkMonthlyJuly2022.pdf" TargetMode="External"/><Relationship Id="rId340" Type="http://schemas.openxmlformats.org/officeDocument/2006/relationships/hyperlink" Target="https://rennamedia.com/wp-content/uploads/2022/07/FlorhamParkMonthlyAugust2022.pdf" TargetMode="External"/><Relationship Id="rId341" Type="http://schemas.openxmlformats.org/officeDocument/2006/relationships/hyperlink" Target="https://rennamedia.com/wp-content/uploads/2022/09/FlorhamParkMonthlySeptember2022.pdf" TargetMode="External"/><Relationship Id="rId342" Type="http://schemas.openxmlformats.org/officeDocument/2006/relationships/hyperlink" Target="https://rennamedia.com/wp-content/uploads/2022/10/FlorhamParkMonthlyOctober2022.pdf" TargetMode="External"/><Relationship Id="rId343" Type="http://schemas.openxmlformats.org/officeDocument/2006/relationships/hyperlink" Target="https://rennamedia.com/wp-content/uploads/2022/11/FlorhamParkMonthlyNovember2022.pdf" TargetMode="External"/><Relationship Id="rId344" Type="http://schemas.openxmlformats.org/officeDocument/2006/relationships/hyperlink" Target="https://rennamedia.com/wp-content/uploads/2022/11/FlorhamParkMonthlyDecember2022.pdf" TargetMode="External"/><Relationship Id="rId345" Type="http://schemas.openxmlformats.org/officeDocument/2006/relationships/hyperlink" Target="https://rennamedia.com/wp-content/uploads/2022/12/FlorhamParkMonthlyJanuary2023.pdf" TargetMode="External"/><Relationship Id="rId346" Type="http://schemas.openxmlformats.org/officeDocument/2006/relationships/hyperlink" Target="https://rennamedia.com/wp-content/uploads/2023/01/FlorhamParkMonthlyFebruary2023.pdf" TargetMode="External"/><Relationship Id="rId347" Type="http://schemas.openxmlformats.org/officeDocument/2006/relationships/hyperlink" Target="https://rennamedia.com/wp-content/uploads/2023/02/FlorhamParkMonthlyMarch2023.pdf" TargetMode="External"/><Relationship Id="rId348" Type="http://schemas.openxmlformats.org/officeDocument/2006/relationships/hyperlink" Target="https://rennamedia.com/wp-content/uploads/2023/03/FlorhamParkMonthlyApril2023.pdf" TargetMode="External"/><Relationship Id="rId349" Type="http://schemas.openxmlformats.org/officeDocument/2006/relationships/hyperlink" Target="https://rennamedia.com/wp-content/uploads/2023/04/FlorhamParkMonthlyMay2023.pdf" TargetMode="External"/><Relationship Id="rId350" Type="http://schemas.openxmlformats.org/officeDocument/2006/relationships/hyperlink" Target="https://rennamedia.com/wp-content/uploads/2023/05/FlorhamParkMonthlyJune2023.pdf" TargetMode="External"/><Relationship Id="rId351" Type="http://schemas.openxmlformats.org/officeDocument/2006/relationships/hyperlink" Target="https://rennamedia.com/wp-content/uploads/2023/06/FlorhamParkMonthlyJuly2023.pdf" TargetMode="External"/><Relationship Id="rId352" Type="http://schemas.openxmlformats.org/officeDocument/2006/relationships/hyperlink" Target="https://rennamedia.com/wp-content/uploads/2023/07/FlorhamParkMonthlyAug2023.pdf" TargetMode="External"/><Relationship Id="rId353" Type="http://schemas.openxmlformats.org/officeDocument/2006/relationships/hyperlink" Target="https://rennamedia.com/wp-content/uploads/2023/08/FlorhamParkMonthlySep2023.pdf" TargetMode="External"/><Relationship Id="rId354" Type="http://schemas.openxmlformats.org/officeDocument/2006/relationships/hyperlink" Target="https://rennamedia.com/wp-content/uploads/2023/09/FlorhamParkMonthlyOct2023.pdf" TargetMode="External"/><Relationship Id="rId355" Type="http://schemas.openxmlformats.org/officeDocument/2006/relationships/hyperlink" Target="https://rennamedia.com/wp-content/uploads/2023/10/FlorhamParkMonthlyNov2023.pdf" TargetMode="External"/><Relationship Id="rId356" Type="http://schemas.openxmlformats.org/officeDocument/2006/relationships/hyperlink" Target="https://rennamedia.com/wp-content/uploads/2023/11/FlorhamParkMonthlyDec2023.pdf" TargetMode="External"/><Relationship Id="rId357" Type="http://schemas.openxmlformats.org/officeDocument/2006/relationships/hyperlink" Target="https://rennamedia.com/wp-content/uploads/2023/12/FlorhamParkMonthlyJan2024.pdf" TargetMode="External"/><Relationship Id="rId358" Type="http://schemas.openxmlformats.org/officeDocument/2006/relationships/hyperlink" Target="https://rennamedia.com/wp-content/uploads/2024/01/FlorhamParkMonthlyFeb2024.pdf" TargetMode="External"/><Relationship Id="rId359" Type="http://schemas.openxmlformats.org/officeDocument/2006/relationships/hyperlink" Target="https://rennamedia.com/wp-content/uploads/2024/02/FlorhamParkMonthlyMar2024.pdf" TargetMode="External"/><Relationship Id="rId360" Type="http://schemas.openxmlformats.org/officeDocument/2006/relationships/hyperlink" Target="https://rennamedia.com/wp-content/uploads/2024/03/FlorhamParkMonthlyApr2024.pdf" TargetMode="External"/><Relationship Id="rId361" Type="http://schemas.openxmlformats.org/officeDocument/2006/relationships/hyperlink" Target="https://rennamedia.com/wp-content/uploads/2024/04/FlorhamParkMonthlyMay2024.pdf" TargetMode="External"/><Relationship Id="rId362" Type="http://schemas.openxmlformats.org/officeDocument/2006/relationships/hyperlink" Target="https://rennamedia.com/wp-content/uploads/2024/05/FlorhamParkMonthlyJune2024.pdf" TargetMode="External"/><Relationship Id="rId363" Type="http://schemas.openxmlformats.org/officeDocument/2006/relationships/hyperlink" Target="https://rennamedia.com/wp-content/uploads/2024/06/FlorhamParkMonthlyJuly2024.pdf" TargetMode="External"/><Relationship Id="rId364" Type="http://schemas.openxmlformats.org/officeDocument/2006/relationships/hyperlink" Target="https://rennamedia.com/wp-content/uploads/2024/07/FlorhamParkMonthlyAugust2024.pdf" TargetMode="External"/><Relationship Id="rId365" Type="http://schemas.openxmlformats.org/officeDocument/2006/relationships/hyperlink" Target="https://rennamedia.com/wp-content/uploads/2024/08/FlorhamParkMonthlySeptember2024.pdf" TargetMode="External"/><Relationship Id="rId366" Type="http://schemas.openxmlformats.org/officeDocument/2006/relationships/hyperlink" Target="https://rennamedia.com/wp-content/uploads/2024/09/FlorhamParkMonthlyOctober2024.pdf" TargetMode="External"/><Relationship Id="rId367" Type="http://schemas.openxmlformats.org/officeDocument/2006/relationships/hyperlink" Target="https://rennamedia.com/wp-content/uploads/2024/10/FlorhamParkMonthlyNovember2024.pdf" TargetMode="External"/><Relationship Id="rId368" Type="http://schemas.openxmlformats.org/officeDocument/2006/relationships/hyperlink" Target="https://rennamedia.com/wp-content/uploads/2024/11/FlorhamParkMonthlyDecember2024.pdf" TargetMode="External"/><Relationship Id="rId369" Type="http://schemas.openxmlformats.org/officeDocument/2006/relationships/hyperlink" Target="https://rennamedia.com/wp-content/uploads/2024/12/FlorhamParkMonthlyJanuary2025.pdf" TargetMode="External"/><Relationship Id="rId370" Type="http://schemas.openxmlformats.org/officeDocument/2006/relationships/hyperlink" Target="https://rennamedia.com/wp-content/uploads/2025/02/FlorhamParkMonthlyFebruary2025.pdf" TargetMode="External"/><Relationship Id="rId371" Type="http://schemas.openxmlformats.org/officeDocument/2006/relationships/hyperlink" Target="https://rennamedia.com/wp-content/uploads/2025/02/FlorhamParkMonthlyMarch2025.pdf" TargetMode="External"/><Relationship Id="rId372" Type="http://schemas.openxmlformats.org/officeDocument/2006/relationships/hyperlink" Target="https://rennamedia.com/wp-content/uploads/2025/03/FlorhamParkMonthlyApril2025.pdf" TargetMode="External"/><Relationship Id="rId373" Type="http://schemas.openxmlformats.org/officeDocument/2006/relationships/hyperlink" Target="https://rennamedia.com/wp-content/uploads/2025/04/FlorhamParkMonthlyMay2025.pdf" TargetMode="External"/><Relationship Id="rId374" Type="http://schemas.openxmlformats.org/officeDocument/2006/relationships/hyperlink" Target="https://rennamedia.com/wp-content/uploads/2025/05/FlorhamParkMonthlyJune2025.pdf" TargetMode="External"/><Relationship Id="rId375" Type="http://schemas.openxmlformats.org/officeDocument/2006/relationships/hyperlink" Target="https://rennamedia.com/wp-content/uploads/2025/06/FlorhamParkMonthlyJuly2025.pdf" TargetMode="External"/><Relationship Id="rId376" Type="http://schemas.openxmlformats.org/officeDocument/2006/relationships/hyperlink" Target="https://rennamedia.com/wp-content/uploads/2025/07/FlorhamParkMonthlyAugust2025.pdf" TargetMode="External"/><Relationship Id="rId377" Type="http://schemas.openxmlformats.org/officeDocument/2006/relationships/hyperlink" Target="https://rennamedia.com/wp-content/uploads/2025/09/FlorhamParkMonthlyOctober2025.pdf" TargetMode="External"/><Relationship Id="rId378" Type="http://schemas.openxmlformats.org/officeDocument/2006/relationships/hyperlink" Target="https://rennamedia.com/wp-content/uploads/2025/10/FlorhamParkMonthlyNovember2025.pdf" TargetMode="External"/><Relationship Id="rId379" Type="http://schemas.openxmlformats.org/officeDocument/2006/relationships/hyperlink" Target="https://rennamedia.com/wp-content/uploads/2025/11/FlorhamParkMonthlyDecember2025.pdf" TargetMode="External"/><Relationship Id="rId380" Type="http://schemas.openxmlformats.org/officeDocument/2006/relationships/hyperlink" Target="https://rennamedia.com/wp-content/uploads/2025/12/FlorhamParkMonthlyJanuary2026.pdf" TargetMode="External"/><Relationship Id="rId381" Type="http://schemas.openxmlformats.org/officeDocument/2006/relationships/hyperlink" Target="https://rennamedia.com/wp-content/uploads/2026/01/FlorhamParkMonthlyFebruary2026.pdf" TargetMode="External"/><Relationship Id="rId382" Type="http://schemas.openxmlformats.org/officeDocument/2006/relationships/hyperlink" Target="https://rennamedia.com/wp-content/uploads/2026/02/FlorhamParkMonthlyMarch2026.pdf" TargetMode="External"/><Relationship Id="rId383" Type="http://schemas.openxmlformats.org/officeDocument/2006/relationships/hyperlink" Target="https://rennamedia.com/wp-content/uploads/2026/03/FlorhamParkMonthlyApril2026.pdf" TargetMode="External"/><Relationship Id="rId384" Type="http://schemas.openxmlformats.org/officeDocument/2006/relationships/hyperlink" Target="https://rennamedia.com/wp-content/uploads/2026/04/FlorhamParkMonthlyMay2026.pdf" TargetMode="External"/><Relationship Id="rId385" Type="http://schemas.openxmlformats.org/officeDocument/2006/relationships/hyperlink" Target="https://rennamedia.com/wp-content/uploads/2021/12/GarwoodJanuary2022.pdf" TargetMode="External"/><Relationship Id="rId386" Type="http://schemas.openxmlformats.org/officeDocument/2006/relationships/hyperlink" Target="https://rennamedia.com/wp-content/uploads/2022/01/GarwoodFebruary2022.pdf" TargetMode="External"/><Relationship Id="rId387" Type="http://schemas.openxmlformats.org/officeDocument/2006/relationships/hyperlink" Target="https://rennamedia.com/wp-content/uploads/2022/02/GarwoodMarch2022.pdf" TargetMode="External"/><Relationship Id="rId388" Type="http://schemas.openxmlformats.org/officeDocument/2006/relationships/hyperlink" Target="https://rennamedia.com/wp-content/uploads/2022/03/GarwoodApril2022.pdf" TargetMode="External"/><Relationship Id="rId389" Type="http://schemas.openxmlformats.org/officeDocument/2006/relationships/hyperlink" Target="https://rennamedia.com/wp-content/uploads/2022/04/GarwoodMay2022.pdf" TargetMode="External"/><Relationship Id="rId390" Type="http://schemas.openxmlformats.org/officeDocument/2006/relationships/hyperlink" Target="https://rennamedia.com/wp-content/uploads/2022/05/GarwoodJune2022.pdf" TargetMode="External"/><Relationship Id="rId391" Type="http://schemas.openxmlformats.org/officeDocument/2006/relationships/hyperlink" Target="https://rennamedia.com/wp-content/uploads/2022/06/GarwoodJuly2022.pdf" TargetMode="External"/><Relationship Id="rId392" Type="http://schemas.openxmlformats.org/officeDocument/2006/relationships/hyperlink" Target="https://rennamedia.com/wp-content/uploads/2022/07/GarwoodAugust2022.pdf" TargetMode="External"/><Relationship Id="rId393" Type="http://schemas.openxmlformats.org/officeDocument/2006/relationships/hyperlink" Target="https://rennamedia.com/wp-content/uploads/2022/09/GarwoodSeptember2022.pdf" TargetMode="External"/><Relationship Id="rId394" Type="http://schemas.openxmlformats.org/officeDocument/2006/relationships/hyperlink" Target="https://rennamedia.com/wp-content/uploads/2022/10/GarwoodOctober2022.pdf" TargetMode="External"/><Relationship Id="rId395" Type="http://schemas.openxmlformats.org/officeDocument/2006/relationships/hyperlink" Target="https://rennamedia.com/wp-content/uploads/2022/11/GarwoodNovember2022.pdf" TargetMode="External"/><Relationship Id="rId396" Type="http://schemas.openxmlformats.org/officeDocument/2006/relationships/hyperlink" Target="https://rennamedia.com/wp-content/uploads/2022/11/GarwoodDecember2022.pdf" TargetMode="External"/><Relationship Id="rId397" Type="http://schemas.openxmlformats.org/officeDocument/2006/relationships/hyperlink" Target="https://rennamedia.com/wp-content/uploads/2022/12/GarwoodJanuary2023.pdf" TargetMode="External"/><Relationship Id="rId398" Type="http://schemas.openxmlformats.org/officeDocument/2006/relationships/hyperlink" Target="https://rennamedia.com/wp-content/uploads/2023/01/GarwoodFebruary2023.pdf" TargetMode="External"/><Relationship Id="rId399" Type="http://schemas.openxmlformats.org/officeDocument/2006/relationships/hyperlink" Target="https://rennamedia.com/wp-content/uploads/2023/02/GarwoodMarch2023.pdf" TargetMode="External"/><Relationship Id="rId400" Type="http://schemas.openxmlformats.org/officeDocument/2006/relationships/hyperlink" Target="https://rennamedia.com/wp-content/uploads/2023/03/GarwoodApril2023.pdf" TargetMode="External"/><Relationship Id="rId401" Type="http://schemas.openxmlformats.org/officeDocument/2006/relationships/hyperlink" Target="https://rennamedia.com/wp-content/uploads/2023/04/GarwoodMay2023.pdf" TargetMode="External"/><Relationship Id="rId402" Type="http://schemas.openxmlformats.org/officeDocument/2006/relationships/hyperlink" Target="https://rennamedia.com/wp-content/uploads/2023/05/GarwoodJune2023.pdf" TargetMode="External"/><Relationship Id="rId403" Type="http://schemas.openxmlformats.org/officeDocument/2006/relationships/hyperlink" Target="https://rennamedia.com/wp-content/uploads/2023/06/GarwoodJuly2023.pdf" TargetMode="External"/><Relationship Id="rId404" Type="http://schemas.openxmlformats.org/officeDocument/2006/relationships/hyperlink" Target="https://rennamedia.com/wp-content/uploads/2023/07/GarwoodAug2023.pdf" TargetMode="External"/><Relationship Id="rId405" Type="http://schemas.openxmlformats.org/officeDocument/2006/relationships/hyperlink" Target="https://rennamedia.com/wp-content/uploads/2023/08/GarwoodSep2023.pdf" TargetMode="External"/><Relationship Id="rId406" Type="http://schemas.openxmlformats.org/officeDocument/2006/relationships/hyperlink" Target="https://rennamedia.com/wp-content/uploads/2023/09/GarwoodOct2023.pdf" TargetMode="External"/><Relationship Id="rId407" Type="http://schemas.openxmlformats.org/officeDocument/2006/relationships/hyperlink" Target="https://rennamedia.com/wp-content/uploads/2023/10/GarwoodNov2023.pdf" TargetMode="External"/><Relationship Id="rId408" Type="http://schemas.openxmlformats.org/officeDocument/2006/relationships/hyperlink" Target="https://rennamedia.com/wp-content/uploads/2023/11/GarwoodDec2023.pdf" TargetMode="External"/><Relationship Id="rId409" Type="http://schemas.openxmlformats.org/officeDocument/2006/relationships/hyperlink" Target="https://rennamedia.com/wp-content/uploads/2023/12/GarwoodJan2024.pdf" TargetMode="External"/><Relationship Id="rId410" Type="http://schemas.openxmlformats.org/officeDocument/2006/relationships/hyperlink" Target="https://rennamedia.com/wp-content/uploads/2024/01/GarwoodFeb2024.pdf" TargetMode="External"/><Relationship Id="rId411" Type="http://schemas.openxmlformats.org/officeDocument/2006/relationships/hyperlink" Target="https://rennamedia.com/wp-content/uploads/2024/02/GarwoodMar2024.pdf" TargetMode="External"/><Relationship Id="rId412" Type="http://schemas.openxmlformats.org/officeDocument/2006/relationships/hyperlink" Target="https://rennamedia.com/wp-content/uploads/2024/03/GarwoodApr2024.pdf" TargetMode="External"/><Relationship Id="rId413" Type="http://schemas.openxmlformats.org/officeDocument/2006/relationships/hyperlink" Target="https://rennamedia.com/wp-content/uploads/2024/04/GarwoodMay2024.pdf" TargetMode="External"/><Relationship Id="rId414" Type="http://schemas.openxmlformats.org/officeDocument/2006/relationships/hyperlink" Target="https://rennamedia.com/wp-content/uploads/2024/05/GarwoodJune2024.pdf" TargetMode="External"/><Relationship Id="rId415" Type="http://schemas.openxmlformats.org/officeDocument/2006/relationships/hyperlink" Target="https://rennamedia.com/wp-content/uploads/2024/06/GarwoodJuly2024.pdf" TargetMode="External"/><Relationship Id="rId416" Type="http://schemas.openxmlformats.org/officeDocument/2006/relationships/hyperlink" Target="https://rennamedia.com/wp-content/uploads/2024/07/GarwoodAugust2024.pdf" TargetMode="External"/><Relationship Id="rId417" Type="http://schemas.openxmlformats.org/officeDocument/2006/relationships/hyperlink" Target="https://rennamedia.com/wp-content/uploads/2024/08/GarwoodSeptember2024.pdf" TargetMode="External"/><Relationship Id="rId418" Type="http://schemas.openxmlformats.org/officeDocument/2006/relationships/hyperlink" Target="https://rennamedia.com/wp-content/uploads/2024/09/GarwoodOctober2024.pdf" TargetMode="External"/><Relationship Id="rId419" Type="http://schemas.openxmlformats.org/officeDocument/2006/relationships/hyperlink" Target="https://rennamedia.com/wp-content/uploads/2024/10/GarwoodNovember2024.pdf" TargetMode="External"/><Relationship Id="rId420" Type="http://schemas.openxmlformats.org/officeDocument/2006/relationships/hyperlink" Target="https://rennamedia.com/wp-content/uploads/2024/11/GarwoodDecember2024.pdf" TargetMode="External"/><Relationship Id="rId421" Type="http://schemas.openxmlformats.org/officeDocument/2006/relationships/hyperlink" Target="https://rennamedia.com/wp-content/uploads/2024/12/GarwoodJanuary2025.pdf" TargetMode="External"/><Relationship Id="rId422" Type="http://schemas.openxmlformats.org/officeDocument/2006/relationships/hyperlink" Target="https://rennamedia.com/wp-content/uploads/2025/02/GarwoodFebruary2025.pdf" TargetMode="External"/><Relationship Id="rId423" Type="http://schemas.openxmlformats.org/officeDocument/2006/relationships/hyperlink" Target="https://rennamedia.com/wp-content/uploads/2025/02/GarwoodMarch2025.pdf" TargetMode="External"/><Relationship Id="rId424" Type="http://schemas.openxmlformats.org/officeDocument/2006/relationships/hyperlink" Target="https://rennamedia.com/wp-content/uploads/2025/03/GarwoodApril2025i.pdf" TargetMode="External"/><Relationship Id="rId425" Type="http://schemas.openxmlformats.org/officeDocument/2006/relationships/hyperlink" Target="https://rennamedia.com/wp-content/uploads/2025/04/GarwoodMay2025.pdf" TargetMode="External"/><Relationship Id="rId426" Type="http://schemas.openxmlformats.org/officeDocument/2006/relationships/hyperlink" Target="https://rennamedia.com/wp-content/uploads/2025/05/GarwoodJune2025.pdf" TargetMode="External"/><Relationship Id="rId427" Type="http://schemas.openxmlformats.org/officeDocument/2006/relationships/hyperlink" Target="https://rennamedia.com/wp-content/uploads/2025/06/GarwoodJuly2025.pdf" TargetMode="External"/><Relationship Id="rId428" Type="http://schemas.openxmlformats.org/officeDocument/2006/relationships/hyperlink" Target="https://rennamedia.com/wp-content/uploads/2025/07/GarwoodAugust2025.pdf" TargetMode="External"/><Relationship Id="rId429" Type="http://schemas.openxmlformats.org/officeDocument/2006/relationships/hyperlink" Target="https://rennamedia.com/wp-content/uploads/2025/08/GarwoodSeptember2025.pdf" TargetMode="External"/><Relationship Id="rId430" Type="http://schemas.openxmlformats.org/officeDocument/2006/relationships/hyperlink" Target="https://rennamedia.com/wp-content/uploads/2025/09/GarwoodOctober2025.pdf" TargetMode="External"/><Relationship Id="rId431" Type="http://schemas.openxmlformats.org/officeDocument/2006/relationships/hyperlink" Target="https://rennamedia.com/wp-content/uploads/2025/10/GarwoodNovember2025.pdf" TargetMode="External"/><Relationship Id="rId432" Type="http://schemas.openxmlformats.org/officeDocument/2006/relationships/hyperlink" Target="https://rennamedia.com/wp-content/uploads/2025/11/GarwoodDecember2025.pdf" TargetMode="External"/><Relationship Id="rId433" Type="http://schemas.openxmlformats.org/officeDocument/2006/relationships/hyperlink" Target="https://rennamedia.com/wp-content/uploads/2025/12/GarwoodJanuary2026.pdf" TargetMode="External"/><Relationship Id="rId434" Type="http://schemas.openxmlformats.org/officeDocument/2006/relationships/hyperlink" Target="https://rennamedia.com/wp-content/uploads/2026/01/GarwoodFebruary2026.pdf" TargetMode="External"/><Relationship Id="rId435" Type="http://schemas.openxmlformats.org/officeDocument/2006/relationships/hyperlink" Target="https://rennamedia.com/wp-content/uploads/2026/02/GarwoodMarch2026.pdf" TargetMode="External"/><Relationship Id="rId436" Type="http://schemas.openxmlformats.org/officeDocument/2006/relationships/hyperlink" Target="https://rennamedia.com/wp-content/uploads/2026/03/GarwoodApril2026.pdf" TargetMode="External"/><Relationship Id="rId437" Type="http://schemas.openxmlformats.org/officeDocument/2006/relationships/hyperlink" Target="https://rennamedia.com/wp-content/uploads/2026/04/GarwoodMay2026.pdf" TargetMode="External"/><Relationship Id="rId438" Type="http://schemas.openxmlformats.org/officeDocument/2006/relationships/hyperlink" Target="https://rennamedia.com/wp-content/uploads/2021/12/GreenBrookJanuary2022.pdf" TargetMode="External"/><Relationship Id="rId439" Type="http://schemas.openxmlformats.org/officeDocument/2006/relationships/hyperlink" Target="https://rennamedia.com/wp-content/uploads/2022/01/GreenBrookFebruary2022.pdf" TargetMode="External"/><Relationship Id="rId440" Type="http://schemas.openxmlformats.org/officeDocument/2006/relationships/hyperlink" Target="https://rennamedia.com/wp-content/uploads/2022/02/GreenBrookMarch2022.pdf" TargetMode="External"/><Relationship Id="rId441" Type="http://schemas.openxmlformats.org/officeDocument/2006/relationships/hyperlink" Target="https://rennamedia.com/wp-content/uploads/2022/03/GreenBrookApril2022.pdf" TargetMode="External"/><Relationship Id="rId442" Type="http://schemas.openxmlformats.org/officeDocument/2006/relationships/hyperlink" Target="https://rennamedia.com/wp-content/uploads/2022/04/GreenBrookMay2022.pdf" TargetMode="External"/><Relationship Id="rId443" Type="http://schemas.openxmlformats.org/officeDocument/2006/relationships/hyperlink" Target="https://rennamedia.com/wp-content/uploads/2022/05/GreenBrookJune2022.pdf" TargetMode="External"/><Relationship Id="rId444" Type="http://schemas.openxmlformats.org/officeDocument/2006/relationships/hyperlink" Target="https://rennamedia.com/wp-content/uploads/2022/06/GreenBrookJuly2022.pdf" TargetMode="External"/><Relationship Id="rId445" Type="http://schemas.openxmlformats.org/officeDocument/2006/relationships/hyperlink" Target="https://rennamedia.com/wp-content/uploads/2022/07/GreenBrookAugust2022.pdf" TargetMode="External"/><Relationship Id="rId446" Type="http://schemas.openxmlformats.org/officeDocument/2006/relationships/hyperlink" Target="https://rennamedia.com/wp-content/uploads/2022/09/GreenBrookSeptember2022.pdf" TargetMode="External"/><Relationship Id="rId447" Type="http://schemas.openxmlformats.org/officeDocument/2006/relationships/hyperlink" Target="https://rennamedia.com/wp-content/uploads/2022/10/GreenBrookOctober2022.pdf" TargetMode="External"/><Relationship Id="rId448" Type="http://schemas.openxmlformats.org/officeDocument/2006/relationships/hyperlink" Target="https://rennamedia.com/wp-content/uploads/2022/11/GreenBrookNovember2022.pdf" TargetMode="External"/><Relationship Id="rId449" Type="http://schemas.openxmlformats.org/officeDocument/2006/relationships/hyperlink" Target="https://rennamedia.com/wp-content/uploads/2022/11/GreenBrookDecember2022.pdf" TargetMode="External"/><Relationship Id="rId450" Type="http://schemas.openxmlformats.org/officeDocument/2006/relationships/hyperlink" Target="https://rennamedia.com/wp-content/uploads/2022/12/GreenBrookJanuary2023.pdf" TargetMode="External"/><Relationship Id="rId451" Type="http://schemas.openxmlformats.org/officeDocument/2006/relationships/hyperlink" Target="https://rennamedia.com/wp-content/uploads/2023/01/GreenBrookFebruary2023.pdf" TargetMode="External"/><Relationship Id="rId452" Type="http://schemas.openxmlformats.org/officeDocument/2006/relationships/hyperlink" Target="https://rennamedia.com/wp-content/uploads/2023/02/GreenBrookMarch2023.pdf" TargetMode="External"/><Relationship Id="rId453" Type="http://schemas.openxmlformats.org/officeDocument/2006/relationships/hyperlink" Target="https://rennamedia.com/wp-content/uploads/2023/03/GreenBrookApril2023.pdf" TargetMode="External"/><Relationship Id="rId454" Type="http://schemas.openxmlformats.org/officeDocument/2006/relationships/hyperlink" Target="https://rennamedia.com/wp-content/uploads/2023/04/GreenBrookMay2023.pdf" TargetMode="External"/><Relationship Id="rId455" Type="http://schemas.openxmlformats.org/officeDocument/2006/relationships/hyperlink" Target="https://rennamedia.com/wp-content/uploads/2023/05/GreenBrookJune2023.pdf" TargetMode="External"/><Relationship Id="rId456" Type="http://schemas.openxmlformats.org/officeDocument/2006/relationships/hyperlink" Target="https://rennamedia.com/wp-content/uploads/2023/06/GreenBrookJuly2023.pdf" TargetMode="External"/><Relationship Id="rId457" Type="http://schemas.openxmlformats.org/officeDocument/2006/relationships/hyperlink" Target="https://rennamedia.com/wp-content/uploads/2023/07/GreenBrookAug2023.pdf" TargetMode="External"/><Relationship Id="rId458" Type="http://schemas.openxmlformats.org/officeDocument/2006/relationships/hyperlink" Target="https://rennamedia.com/wp-content/uploads/2023/08/GreenBrookSep2023.pdf" TargetMode="External"/><Relationship Id="rId459" Type="http://schemas.openxmlformats.org/officeDocument/2006/relationships/hyperlink" Target="https://rennamedia.com/wp-content/uploads/2023/09/GreenBrookOct2023.pdf" TargetMode="External"/><Relationship Id="rId460" Type="http://schemas.openxmlformats.org/officeDocument/2006/relationships/hyperlink" Target="https://rennamedia.com/wp-content/uploads/2023/10/GreenBrookNov2023.pdf" TargetMode="External"/><Relationship Id="rId461" Type="http://schemas.openxmlformats.org/officeDocument/2006/relationships/hyperlink" Target="https://rennamedia.com/wp-content/uploads/2023/11/GreenBrookDec2023.pdf" TargetMode="External"/><Relationship Id="rId462" Type="http://schemas.openxmlformats.org/officeDocument/2006/relationships/hyperlink" Target="https://rennamedia.com/wp-content/uploads/2023/12/GreenBrookJan2024.pdf" TargetMode="External"/><Relationship Id="rId463" Type="http://schemas.openxmlformats.org/officeDocument/2006/relationships/hyperlink" Target="https://rennamedia.com/wp-content/uploads/2024/01/GreenBrookFeb2024.pdf" TargetMode="External"/><Relationship Id="rId464" Type="http://schemas.openxmlformats.org/officeDocument/2006/relationships/hyperlink" Target="https://rennamedia.com/wp-content/uploads/2024/02/GreenBrookMar2024.pdf" TargetMode="External"/><Relationship Id="rId465" Type="http://schemas.openxmlformats.org/officeDocument/2006/relationships/hyperlink" Target="https://rennamedia.com/wp-content/uploads/2024/03/GreenBrookApr2024.pdf" TargetMode="External"/><Relationship Id="rId466" Type="http://schemas.openxmlformats.org/officeDocument/2006/relationships/hyperlink" Target="https://rennamedia.com/wp-content/uploads/2024/04/GreenBrookMay2024.pdf" TargetMode="External"/><Relationship Id="rId467" Type="http://schemas.openxmlformats.org/officeDocument/2006/relationships/hyperlink" Target="https://rennamedia.com/wp-content/uploads/2024/05/GreenBrookJune2024.pdf" TargetMode="External"/><Relationship Id="rId468" Type="http://schemas.openxmlformats.org/officeDocument/2006/relationships/hyperlink" Target="https://rennamedia.com/wp-content/uploads/2024/06/GreenBrookJuly2024.pdf" TargetMode="External"/><Relationship Id="rId469" Type="http://schemas.openxmlformats.org/officeDocument/2006/relationships/hyperlink" Target="https://rennamedia.com/wp-content/uploads/2024/07/GreenBrookAugust2024.pdf" TargetMode="External"/><Relationship Id="rId470" Type="http://schemas.openxmlformats.org/officeDocument/2006/relationships/hyperlink" Target="https://rennamedia.com/wp-content/uploads/2024/08/GreenBrookSeptember2024.pdf" TargetMode="External"/><Relationship Id="rId471" Type="http://schemas.openxmlformats.org/officeDocument/2006/relationships/hyperlink" Target="https://rennamedia.com/wp-content/uploads/2024/09/GreenBrookOctober2024.pdf" TargetMode="External"/><Relationship Id="rId472" Type="http://schemas.openxmlformats.org/officeDocument/2006/relationships/hyperlink" Target="https://rennamedia.com/wp-content/uploads/2024/10/GreenBrookNovember2024.pdf" TargetMode="External"/><Relationship Id="rId473" Type="http://schemas.openxmlformats.org/officeDocument/2006/relationships/hyperlink" Target="https://rennamedia.com/wp-content/uploads/2024/11/GreenBrookDecember2024.pdf" TargetMode="External"/><Relationship Id="rId474" Type="http://schemas.openxmlformats.org/officeDocument/2006/relationships/hyperlink" Target="https://rennamedia.com/wp-content/uploads/2024/12/GreenBrookJanuary2025.pdf" TargetMode="External"/><Relationship Id="rId475" Type="http://schemas.openxmlformats.org/officeDocument/2006/relationships/hyperlink" Target="https://rennamedia.com/wp-content/uploads/2025/02/GreenBrookFebruary2025.pdf" TargetMode="External"/><Relationship Id="rId476" Type="http://schemas.openxmlformats.org/officeDocument/2006/relationships/hyperlink" Target="https://rennamedia.com/wp-content/uploads/2025/02/GreenBrookMarch2025.pdf" TargetMode="External"/><Relationship Id="rId477" Type="http://schemas.openxmlformats.org/officeDocument/2006/relationships/hyperlink" Target="https://rennamedia.com/wp-content/uploads/2025/03/GreenBrookApril2025.pdf" TargetMode="External"/><Relationship Id="rId478" Type="http://schemas.openxmlformats.org/officeDocument/2006/relationships/hyperlink" Target="https://rennamedia.com/wp-content/uploads/2025/04/GreenBrookMay2025.pdf" TargetMode="External"/><Relationship Id="rId479" Type="http://schemas.openxmlformats.org/officeDocument/2006/relationships/hyperlink" Target="https://rennamedia.com/wp-content/uploads/2025/05/GreenBrookJune2025.pdf" TargetMode="External"/><Relationship Id="rId480" Type="http://schemas.openxmlformats.org/officeDocument/2006/relationships/hyperlink" Target="https://rennamedia.com/wp-content/uploads/2025/06/GreenBrookJuly2025.pdf" TargetMode="External"/><Relationship Id="rId481" Type="http://schemas.openxmlformats.org/officeDocument/2006/relationships/hyperlink" Target="https://rennamedia.com/wp-content/uploads/2025/07/GreenBrookAugust2025.pdf" TargetMode="External"/><Relationship Id="rId482" Type="http://schemas.openxmlformats.org/officeDocument/2006/relationships/hyperlink" Target="https://rennamedia.com/wp-content/uploads/2025/08/GreenBrookSeptember2025.pdf" TargetMode="External"/><Relationship Id="rId483" Type="http://schemas.openxmlformats.org/officeDocument/2006/relationships/hyperlink" Target="https://rennamedia.com/wp-content/uploads/2025/09/GreenBrookOctober2025.pdf" TargetMode="External"/><Relationship Id="rId484" Type="http://schemas.openxmlformats.org/officeDocument/2006/relationships/hyperlink" Target="https://rennamedia.com/wp-content/uploads/2025/10/GreenBrookNovember2025.pdf" TargetMode="External"/><Relationship Id="rId485" Type="http://schemas.openxmlformats.org/officeDocument/2006/relationships/hyperlink" Target="https://rennamedia.com/wp-content/uploads/2025/11/GreenBrookDecember2025.pdf" TargetMode="External"/><Relationship Id="rId486" Type="http://schemas.openxmlformats.org/officeDocument/2006/relationships/hyperlink" Target="https://rennamedia.com/wp-content/uploads/2025/12/GreenBrookJanuary2026.pdf" TargetMode="External"/><Relationship Id="rId487" Type="http://schemas.openxmlformats.org/officeDocument/2006/relationships/hyperlink" Target="https://rennamedia.com/wp-content/uploads/2026/02/GreenBrookFebruary2026.pdf" TargetMode="External"/><Relationship Id="rId488" Type="http://schemas.openxmlformats.org/officeDocument/2006/relationships/hyperlink" Target="https://rennamedia.com/wp-content/uploads/2026/02/GreenBrookMarch2026.pdf" TargetMode="External"/><Relationship Id="rId489" Type="http://schemas.openxmlformats.org/officeDocument/2006/relationships/hyperlink" Target="https://rennamedia.com/wp-content/uploads/2026/03/GreenBrookApril2026.pdf" TargetMode="External"/><Relationship Id="rId490" Type="http://schemas.openxmlformats.org/officeDocument/2006/relationships/hyperlink" Target="https://rennamedia.com/wp-content/uploads/2026/04/GreenBrookMay2026.pdf" TargetMode="External"/><Relationship Id="rId491" Type="http://schemas.openxmlformats.org/officeDocument/2006/relationships/hyperlink" Target="https://rennamedia.com/wp-content/uploads/2024/11/HanoverPressDecember2024.pdf" TargetMode="External"/><Relationship Id="rId492" Type="http://schemas.openxmlformats.org/officeDocument/2006/relationships/hyperlink" Target="https://rennamedia.com/wp-content/uploads/2024/12/HanoverPressJanuary2025.pdf" TargetMode="External"/><Relationship Id="rId493" Type="http://schemas.openxmlformats.org/officeDocument/2006/relationships/hyperlink" Target="https://rennamedia.com/wp-content/uploads/2025/02/HanoverPressFebruary2025.pdf" TargetMode="External"/><Relationship Id="rId494" Type="http://schemas.openxmlformats.org/officeDocument/2006/relationships/hyperlink" Target="https://rennamedia.com/wp-content/uploads/2025/02/HanoverPressMarch2025.pdf" TargetMode="External"/><Relationship Id="rId495" Type="http://schemas.openxmlformats.org/officeDocument/2006/relationships/hyperlink" Target="https://rennamedia.com/wp-content/uploads/2025/03/HanoverPressApril2025.pdf" TargetMode="External"/><Relationship Id="rId496" Type="http://schemas.openxmlformats.org/officeDocument/2006/relationships/hyperlink" Target="https://rennamedia.com/wp-content/uploads/2025/04/HanoverPressMay2025.pdf" TargetMode="External"/><Relationship Id="rId497" Type="http://schemas.openxmlformats.org/officeDocument/2006/relationships/hyperlink" Target="https://rennamedia.com/wp-content/uploads/2025/05/HanoverPressJune2025.pdf" TargetMode="External"/><Relationship Id="rId498" Type="http://schemas.openxmlformats.org/officeDocument/2006/relationships/hyperlink" Target="https://rennamedia.com/wp-content/uploads/2025/06/HanoverPressJuly2025.pdf" TargetMode="External"/><Relationship Id="rId499" Type="http://schemas.openxmlformats.org/officeDocument/2006/relationships/hyperlink" Target="https://rennamedia.com/wp-content/uploads/2025/07/HanoverPressAugust2025.pdf" TargetMode="External"/><Relationship Id="rId500" Type="http://schemas.openxmlformats.org/officeDocument/2006/relationships/hyperlink" Target="https://rennamedia.com/wp-content/uploads/2025/08/HanoverPressSeptember2025.pdf" TargetMode="External"/><Relationship Id="rId501" Type="http://schemas.openxmlformats.org/officeDocument/2006/relationships/hyperlink" Target="https://rennamedia.com/wp-content/uploads/2025/09/HanoverPressOctober2025.pdf" TargetMode="External"/><Relationship Id="rId502" Type="http://schemas.openxmlformats.org/officeDocument/2006/relationships/hyperlink" Target="https://rennamedia.com/wp-content/uploads/2025/10/HanoverPressNovember2025.pdf" TargetMode="External"/><Relationship Id="rId503" Type="http://schemas.openxmlformats.org/officeDocument/2006/relationships/hyperlink" Target="https://rennamedia.com/wp-content/uploads/2025/11/HanoverPressDecember2025.pdf" TargetMode="External"/><Relationship Id="rId504" Type="http://schemas.openxmlformats.org/officeDocument/2006/relationships/hyperlink" Target="https://rennamedia.com/wp-content/uploads/2025/12/HanoverPressJanuary2026.pdf" TargetMode="External"/><Relationship Id="rId505" Type="http://schemas.openxmlformats.org/officeDocument/2006/relationships/hyperlink" Target="https://rennamedia.com/wp-content/uploads/2026/01/HanoverPressFebruary2026.pdf" TargetMode="External"/><Relationship Id="rId506" Type="http://schemas.openxmlformats.org/officeDocument/2006/relationships/hyperlink" Target="https://rennamedia.com/wp-content/uploads/2026/02/HanoverPressMarch2026.pdf" TargetMode="External"/><Relationship Id="rId507" Type="http://schemas.openxmlformats.org/officeDocument/2006/relationships/hyperlink" Target="https://rennamedia.com/wp-content/uploads/2026/03/HanoverPressApril2026.pdf" TargetMode="External"/><Relationship Id="rId508" Type="http://schemas.openxmlformats.org/officeDocument/2006/relationships/hyperlink" Target="https://rennamedia.com/wp-content/uploads/2026/04/HanoverPressMay2026.pdf" TargetMode="External"/><Relationship Id="rId509" Type="http://schemas.openxmlformats.org/officeDocument/2006/relationships/hyperlink" Target="https://rennamedia.com/wp-content/uploads/2021/12/KenilworthJanuary2022.pdf" TargetMode="External"/><Relationship Id="rId510" Type="http://schemas.openxmlformats.org/officeDocument/2006/relationships/hyperlink" Target="https://rennamedia.com/wp-content/uploads/2022/01/KenilworthFebruary2022.pdf" TargetMode="External"/><Relationship Id="rId511" Type="http://schemas.openxmlformats.org/officeDocument/2006/relationships/hyperlink" Target="https://rennamedia.com/wp-content/uploads/2022/02/KenilworthMarch2022.pdf" TargetMode="External"/><Relationship Id="rId512" Type="http://schemas.openxmlformats.org/officeDocument/2006/relationships/hyperlink" Target="https://rennamedia.com/wp-content/uploads/2022/03/KenilworthApril2022.pdf" TargetMode="External"/><Relationship Id="rId513" Type="http://schemas.openxmlformats.org/officeDocument/2006/relationships/hyperlink" Target="https://rennamedia.com/wp-content/uploads/2022/04/KenilworthMay2022.pdf" TargetMode="External"/><Relationship Id="rId514" Type="http://schemas.openxmlformats.org/officeDocument/2006/relationships/hyperlink" Target="https://rennamedia.com/wp-content/uploads/2022/05/KenilworthJune2022.pdf" TargetMode="External"/><Relationship Id="rId515" Type="http://schemas.openxmlformats.org/officeDocument/2006/relationships/hyperlink" Target="https://rennamedia.com/wp-content/uploads/2022/06/KenilworthJuly2022.pdf" TargetMode="External"/><Relationship Id="rId516" Type="http://schemas.openxmlformats.org/officeDocument/2006/relationships/hyperlink" Target="https://rennamedia.com/wp-content/uploads/2022/07/KenilworthAugust2022.pdf" TargetMode="External"/><Relationship Id="rId517" Type="http://schemas.openxmlformats.org/officeDocument/2006/relationships/hyperlink" Target="https://rennamedia.com/wp-content/uploads/2022/09/KenilworthSeptember2022.pdf" TargetMode="External"/><Relationship Id="rId518" Type="http://schemas.openxmlformats.org/officeDocument/2006/relationships/hyperlink" Target="https://rennamedia.com/wp-content/uploads/2022/10/KenilworthOctober2022.pdf" TargetMode="External"/><Relationship Id="rId519" Type="http://schemas.openxmlformats.org/officeDocument/2006/relationships/hyperlink" Target="https://rennamedia.com/wp-content/uploads/2022/11/KenilworthNovember2022.pdf" TargetMode="External"/><Relationship Id="rId520" Type="http://schemas.openxmlformats.org/officeDocument/2006/relationships/hyperlink" Target="https://rennamedia.com/wp-content/uploads/2022/11/KenilworthDecember2022.pdf" TargetMode="External"/><Relationship Id="rId521" Type="http://schemas.openxmlformats.org/officeDocument/2006/relationships/hyperlink" Target="https://rennamedia.com/wp-content/uploads/2022/12/KenilworthJanuary2023.pdf" TargetMode="External"/><Relationship Id="rId522" Type="http://schemas.openxmlformats.org/officeDocument/2006/relationships/hyperlink" Target="https://rennamedia.com/wp-content/uploads/2023/01/KenilworthFebruary2023.pdf" TargetMode="External"/><Relationship Id="rId523" Type="http://schemas.openxmlformats.org/officeDocument/2006/relationships/hyperlink" Target="https://rennamedia.com/wp-content/uploads/2023/02/KenilworthMarch2023.pdf" TargetMode="External"/><Relationship Id="rId524" Type="http://schemas.openxmlformats.org/officeDocument/2006/relationships/hyperlink" Target="https://rennamedia.com/wp-content/uploads/2023/03/KenilworthApril2023.pdf" TargetMode="External"/><Relationship Id="rId525" Type="http://schemas.openxmlformats.org/officeDocument/2006/relationships/hyperlink" Target="https://rennamedia.com/wp-content/uploads/2023/04/KenilworthMay2023.pdf" TargetMode="External"/><Relationship Id="rId526" Type="http://schemas.openxmlformats.org/officeDocument/2006/relationships/hyperlink" Target="https://rennamedia.com/wp-content/uploads/2023/05/KenilworthJune2023.pdf" TargetMode="External"/><Relationship Id="rId527" Type="http://schemas.openxmlformats.org/officeDocument/2006/relationships/hyperlink" Target="https://rennamedia.com/wp-content/uploads/2023/06/KenilworthJuly2023.pdf" TargetMode="External"/><Relationship Id="rId528" Type="http://schemas.openxmlformats.org/officeDocument/2006/relationships/hyperlink" Target="https://rennamedia.com/wp-content/uploads/2023/07/KenilworthAug2023.pdf" TargetMode="External"/><Relationship Id="rId529" Type="http://schemas.openxmlformats.org/officeDocument/2006/relationships/hyperlink" Target="https://rennamedia.com/wp-content/uploads/2023/08/KenilworthSep2023.pdf" TargetMode="External"/><Relationship Id="rId530" Type="http://schemas.openxmlformats.org/officeDocument/2006/relationships/hyperlink" Target="https://rennamedia.com/wp-content/uploads/2023/09/KenilworthOct2023.pdf" TargetMode="External"/><Relationship Id="rId531" Type="http://schemas.openxmlformats.org/officeDocument/2006/relationships/hyperlink" Target="https://rennamedia.com/wp-content/uploads/2023/10/KenilworthNov2023.pdf" TargetMode="External"/><Relationship Id="rId532" Type="http://schemas.openxmlformats.org/officeDocument/2006/relationships/hyperlink" Target="https://rennamedia.com/wp-content/uploads/2023/11/KenilworthDec2023.pdf" TargetMode="External"/><Relationship Id="rId533" Type="http://schemas.openxmlformats.org/officeDocument/2006/relationships/hyperlink" Target="https://rennamedia.com/wp-content/uploads/2023/12/KenilworthJan2024.pdf" TargetMode="External"/><Relationship Id="rId534" Type="http://schemas.openxmlformats.org/officeDocument/2006/relationships/hyperlink" Target="https://rennamedia.com/wp-content/uploads/2024/01/KenilworthFeb2024proof.pdf" TargetMode="External"/><Relationship Id="rId535" Type="http://schemas.openxmlformats.org/officeDocument/2006/relationships/hyperlink" Target="https://rennamedia.com/wp-content/uploads/2024/02/KenilworthMar2024.pdf" TargetMode="External"/><Relationship Id="rId536" Type="http://schemas.openxmlformats.org/officeDocument/2006/relationships/hyperlink" Target="https://rennamedia.com/wp-content/uploads/2024/03/KenilworthApr2024.pdf" TargetMode="External"/><Relationship Id="rId537" Type="http://schemas.openxmlformats.org/officeDocument/2006/relationships/hyperlink" Target="https://rennamedia.com/wp-content/uploads/2024/04/KenilworthMay2024.pdf" TargetMode="External"/><Relationship Id="rId538" Type="http://schemas.openxmlformats.org/officeDocument/2006/relationships/hyperlink" Target="https://rennamedia.com/wp-content/uploads/2024/05/KenilworthJune2024.pdf" TargetMode="External"/><Relationship Id="rId539" Type="http://schemas.openxmlformats.org/officeDocument/2006/relationships/hyperlink" Target="https://rennamedia.com/wp-content/uploads/2024/06/KenilworthJuly2024.pdf" TargetMode="External"/><Relationship Id="rId540" Type="http://schemas.openxmlformats.org/officeDocument/2006/relationships/hyperlink" Target="https://rennamedia.com/wp-content/uploads/2024/07/KenilworthAugust2024.pdf" TargetMode="External"/><Relationship Id="rId541" Type="http://schemas.openxmlformats.org/officeDocument/2006/relationships/hyperlink" Target="https://rennamedia.com/wp-content/uploads/2024/08/KenilworthSeptember2024.pdf" TargetMode="External"/><Relationship Id="rId542" Type="http://schemas.openxmlformats.org/officeDocument/2006/relationships/hyperlink" Target="https://rennamedia.com/wp-content/uploads/2024/09/KenilworthOctober2024.pdf" TargetMode="External"/><Relationship Id="rId543" Type="http://schemas.openxmlformats.org/officeDocument/2006/relationships/hyperlink" Target="https://rennamedia.com/wp-content/uploads/2024/10/KenilworthNovember2024.pdf" TargetMode="External"/><Relationship Id="rId544" Type="http://schemas.openxmlformats.org/officeDocument/2006/relationships/hyperlink" Target="https://rennamedia.com/wp-content/uploads/2024/11/KenilworthDecember2024.pdf" TargetMode="External"/><Relationship Id="rId545" Type="http://schemas.openxmlformats.org/officeDocument/2006/relationships/hyperlink" Target="https://rennamedia.com/wp-content/uploads/2024/12/KenilworthJanuary2025.pdf" TargetMode="External"/><Relationship Id="rId546" Type="http://schemas.openxmlformats.org/officeDocument/2006/relationships/hyperlink" Target="https://rennamedia.com/wp-content/uploads/2025/02/KenilworthFebruary2025.pdf" TargetMode="External"/><Relationship Id="rId547" Type="http://schemas.openxmlformats.org/officeDocument/2006/relationships/hyperlink" Target="https://rennamedia.com/wp-content/uploads/2025/02/KenilworthMarch2025.pdf" TargetMode="External"/><Relationship Id="rId548" Type="http://schemas.openxmlformats.org/officeDocument/2006/relationships/hyperlink" Target="https://rennamedia.com/wp-content/uploads/2025/03/KenilworthApril2025.pdf" TargetMode="External"/><Relationship Id="rId549" Type="http://schemas.openxmlformats.org/officeDocument/2006/relationships/hyperlink" Target="https://rennamedia.com/wp-content/uploads/2025/04/KenilworthMay2025.pdf" TargetMode="External"/><Relationship Id="rId550" Type="http://schemas.openxmlformats.org/officeDocument/2006/relationships/hyperlink" Target="https://rennamedia.com/wp-content/uploads/2025/05/KenilworthJune2025.pdf" TargetMode="External"/><Relationship Id="rId551" Type="http://schemas.openxmlformats.org/officeDocument/2006/relationships/hyperlink" Target="https://rennamedia.com/wp-content/uploads/2025/06/KenilworthJuly2025.pdf" TargetMode="External"/><Relationship Id="rId552" Type="http://schemas.openxmlformats.org/officeDocument/2006/relationships/hyperlink" Target="https://rennamedia.com/wp-content/uploads/2025/07/KenilworthAugust2025.pdf" TargetMode="External"/><Relationship Id="rId553" Type="http://schemas.openxmlformats.org/officeDocument/2006/relationships/hyperlink" Target="https://rennamedia.com/wp-content/uploads/2025/08/KenilworthSeptember2025.pdf" TargetMode="External"/><Relationship Id="rId554" Type="http://schemas.openxmlformats.org/officeDocument/2006/relationships/hyperlink" Target="https://rennamedia.com/wp-content/uploads/2025/09/KenilworthOctober2025.pdf" TargetMode="External"/><Relationship Id="rId555" Type="http://schemas.openxmlformats.org/officeDocument/2006/relationships/hyperlink" Target="https://rennamedia.com/wp-content/uploads/2025/10/KenilworthNovember2025.pdf" TargetMode="External"/><Relationship Id="rId556" Type="http://schemas.openxmlformats.org/officeDocument/2006/relationships/hyperlink" Target="https://rennamedia.com/wp-content/uploads/2025/11/KenilworthDecember2025.pdf" TargetMode="External"/><Relationship Id="rId557" Type="http://schemas.openxmlformats.org/officeDocument/2006/relationships/hyperlink" Target="https://rennamedia.com/wp-content/uploads/2025/12/KenilworthJanuary2026.pdf" TargetMode="External"/><Relationship Id="rId558" Type="http://schemas.openxmlformats.org/officeDocument/2006/relationships/hyperlink" Target="https://rennamedia.com/wp-content/uploads/2026/01/KenilworthFebruary2026.pdf" TargetMode="External"/><Relationship Id="rId559" Type="http://schemas.openxmlformats.org/officeDocument/2006/relationships/hyperlink" Target="https://rennamedia.com/wp-content/uploads/2026/02/KenilworthMarch2026.pdf" TargetMode="External"/><Relationship Id="rId560" Type="http://schemas.openxmlformats.org/officeDocument/2006/relationships/hyperlink" Target="https://rennamedia.com/wp-content/uploads/2026/03/KenilworthApril2026.pdf" TargetMode="External"/><Relationship Id="rId561" Type="http://schemas.openxmlformats.org/officeDocument/2006/relationships/hyperlink" Target="https://rennamedia.com/wp-content/uploads/2026/04/KenilworthMay2026.pdf" TargetMode="External"/><Relationship Id="rId562" Type="http://schemas.openxmlformats.org/officeDocument/2006/relationships/hyperlink" Target="https://rennamedia.com/wp-content/uploads/2021/12/LindenJanuary2022.pdf" TargetMode="External"/><Relationship Id="rId563" Type="http://schemas.openxmlformats.org/officeDocument/2006/relationships/hyperlink" Target="https://rennamedia.com/wp-content/uploads/2022/01/LindenFebruary2022.pdf" TargetMode="External"/><Relationship Id="rId564" Type="http://schemas.openxmlformats.org/officeDocument/2006/relationships/hyperlink" Target="https://rennamedia.com/wp-content/uploads/2022/02/LindenMarch2022.pdf" TargetMode="External"/><Relationship Id="rId565" Type="http://schemas.openxmlformats.org/officeDocument/2006/relationships/hyperlink" Target="https://rennamedia.com/wp-content/uploads/2022/03/LindenApril2022.pdf" TargetMode="External"/><Relationship Id="rId566" Type="http://schemas.openxmlformats.org/officeDocument/2006/relationships/hyperlink" Target="https://rennamedia.com/wp-content/uploads/2022/04/LindenMay2022.pdf" TargetMode="External"/><Relationship Id="rId567" Type="http://schemas.openxmlformats.org/officeDocument/2006/relationships/hyperlink" Target="https://rennamedia.com/wp-content/uploads/2022/05/LindenJune2022.pdf" TargetMode="External"/><Relationship Id="rId568" Type="http://schemas.openxmlformats.org/officeDocument/2006/relationships/hyperlink" Target="https://rennamedia.com/wp-content/uploads/2022/06/LindenJuly2022.pdf" TargetMode="External"/><Relationship Id="rId569" Type="http://schemas.openxmlformats.org/officeDocument/2006/relationships/hyperlink" Target="https://rennamedia.com/wp-content/uploads/2022/07/LindenAugust2022.pdf" TargetMode="External"/><Relationship Id="rId570" Type="http://schemas.openxmlformats.org/officeDocument/2006/relationships/hyperlink" Target="https://rennamedia.com/wp-content/uploads/2022/09/LindenSeptember2022.pdf" TargetMode="External"/><Relationship Id="rId571" Type="http://schemas.openxmlformats.org/officeDocument/2006/relationships/hyperlink" Target="https://rennamedia.com/wp-content/uploads/2022/10/LindenOctober2022.pdf" TargetMode="External"/><Relationship Id="rId572" Type="http://schemas.openxmlformats.org/officeDocument/2006/relationships/hyperlink" Target="https://rennamedia.com/wp-content/uploads/2022/11/LindenNovember2022.pdf" TargetMode="External"/><Relationship Id="rId573" Type="http://schemas.openxmlformats.org/officeDocument/2006/relationships/hyperlink" Target="https://rennamedia.com/wp-content/uploads/2022/11/LindenDecember2022.pdf" TargetMode="External"/><Relationship Id="rId574" Type="http://schemas.openxmlformats.org/officeDocument/2006/relationships/hyperlink" Target="https://rennamedia.com/wp-content/uploads/2023/01/LindenJanuary2023-new.pdf" TargetMode="External"/><Relationship Id="rId575" Type="http://schemas.openxmlformats.org/officeDocument/2006/relationships/hyperlink" Target="https://rennamedia.com/wp-content/uploads/2023/01/LindenFebruary2023.pdf" TargetMode="External"/><Relationship Id="rId576" Type="http://schemas.openxmlformats.org/officeDocument/2006/relationships/hyperlink" Target="https://rennamedia.com/wp-content/uploads/2023/02/LindenMarch2023.pdf" TargetMode="External"/><Relationship Id="rId577" Type="http://schemas.openxmlformats.org/officeDocument/2006/relationships/hyperlink" Target="https://rennamedia.com/wp-content/uploads/2023/03/LindenApril2023.pdf" TargetMode="External"/><Relationship Id="rId578" Type="http://schemas.openxmlformats.org/officeDocument/2006/relationships/hyperlink" Target="https://rennamedia.com/wp-content/uploads/2023/04/LindenMay2023.pdf" TargetMode="External"/><Relationship Id="rId579" Type="http://schemas.openxmlformats.org/officeDocument/2006/relationships/hyperlink" Target="https://rennamedia.com/wp-content/uploads/2023/05/LindenJune2023.pdf" TargetMode="External"/><Relationship Id="rId580" Type="http://schemas.openxmlformats.org/officeDocument/2006/relationships/hyperlink" Target="https://rennamedia.com/wp-content/uploads/2023/06/LindenJuly2023.pdf" TargetMode="External"/><Relationship Id="rId581" Type="http://schemas.openxmlformats.org/officeDocument/2006/relationships/hyperlink" Target="https://rennamedia.com/wp-content/uploads/2023/07/LindenAug2023.pdf" TargetMode="External"/><Relationship Id="rId582" Type="http://schemas.openxmlformats.org/officeDocument/2006/relationships/hyperlink" Target="https://rennamedia.com/wp-content/uploads/2023/08/LindenSep2023.pdf" TargetMode="External"/><Relationship Id="rId583" Type="http://schemas.openxmlformats.org/officeDocument/2006/relationships/hyperlink" Target="https://rennamedia.com/wp-content/uploads/2023/09/LindenOct2023.pdf" TargetMode="External"/><Relationship Id="rId584" Type="http://schemas.openxmlformats.org/officeDocument/2006/relationships/hyperlink" Target="https://rennamedia.com/wp-content/uploads/2023/10/LindenNov2023.pdf" TargetMode="External"/><Relationship Id="rId585" Type="http://schemas.openxmlformats.org/officeDocument/2006/relationships/hyperlink" Target="https://rennamedia.com/wp-content/uploads/2023/11/LindenDec2023.pdf" TargetMode="External"/><Relationship Id="rId586" Type="http://schemas.openxmlformats.org/officeDocument/2006/relationships/hyperlink" Target="https://rennamedia.com/wp-content/uploads/2023/12/LindenJan2024.pdf" TargetMode="External"/><Relationship Id="rId587" Type="http://schemas.openxmlformats.org/officeDocument/2006/relationships/hyperlink" Target="https://rennamedia.com/wp-content/uploads/2024/01/LindenFeb2024.pdf" TargetMode="External"/><Relationship Id="rId588" Type="http://schemas.openxmlformats.org/officeDocument/2006/relationships/hyperlink" Target="https://rennamedia.com/wp-content/uploads/2024/02/LindenMar2024.pdf" TargetMode="External"/><Relationship Id="rId589" Type="http://schemas.openxmlformats.org/officeDocument/2006/relationships/hyperlink" Target="https://rennamedia.com/wp-content/uploads/2024/03/LindenApr2024.pdf" TargetMode="External"/><Relationship Id="rId590" Type="http://schemas.openxmlformats.org/officeDocument/2006/relationships/hyperlink" Target="https://rennamedia.com/wp-content/uploads/2024/04/LindenMay2024.pdf" TargetMode="External"/><Relationship Id="rId591" Type="http://schemas.openxmlformats.org/officeDocument/2006/relationships/hyperlink" Target="https://rennamedia.com/wp-content/uploads/2024/05/LindenJune2024.pdf" TargetMode="External"/><Relationship Id="rId592" Type="http://schemas.openxmlformats.org/officeDocument/2006/relationships/hyperlink" Target="https://rennamedia.com/wp-content/uploads/2024/06/LindenJuly2024.pdf" TargetMode="External"/><Relationship Id="rId593" Type="http://schemas.openxmlformats.org/officeDocument/2006/relationships/hyperlink" Target="https://rennamedia.com/wp-content/uploads/2024/07/LindenAugust2024.pdf" TargetMode="External"/><Relationship Id="rId594" Type="http://schemas.openxmlformats.org/officeDocument/2006/relationships/hyperlink" Target="https://rennamedia.com/wp-content/uploads/2024/08/LindenSeptember2024.pdf" TargetMode="External"/><Relationship Id="rId595" Type="http://schemas.openxmlformats.org/officeDocument/2006/relationships/hyperlink" Target="https://rennamedia.com/wp-content/uploads/2024/09/LindenOctober2024.pdf" TargetMode="External"/><Relationship Id="rId596" Type="http://schemas.openxmlformats.org/officeDocument/2006/relationships/hyperlink" Target="https://rennamedia.com/wp-content/uploads/2024/10/LindenNovember2024.pdf" TargetMode="External"/><Relationship Id="rId597" Type="http://schemas.openxmlformats.org/officeDocument/2006/relationships/hyperlink" Target="https://rennamedia.com/wp-content/uploads/2024/11/LindenDecember2024.pdf" TargetMode="External"/><Relationship Id="rId598" Type="http://schemas.openxmlformats.org/officeDocument/2006/relationships/hyperlink" Target="https://rennamedia.com/wp-content/uploads/2024/12/LindenJanuary2025.pdf" TargetMode="External"/><Relationship Id="rId599" Type="http://schemas.openxmlformats.org/officeDocument/2006/relationships/hyperlink" Target="https://rennamedia.com/wp-content/uploads/2025/02/LindenFebruary2025.pdf" TargetMode="External"/><Relationship Id="rId600" Type="http://schemas.openxmlformats.org/officeDocument/2006/relationships/hyperlink" Target="https://rennamedia.com/wp-content/uploads/2025/02/LindenMarch2025.pdf" TargetMode="External"/><Relationship Id="rId601" Type="http://schemas.openxmlformats.org/officeDocument/2006/relationships/hyperlink" Target="https://rennamedia.com/wp-content/uploads/2025/03/LindenApril2025.pdf" TargetMode="External"/><Relationship Id="rId602" Type="http://schemas.openxmlformats.org/officeDocument/2006/relationships/hyperlink" Target="https://rennamedia.com/wp-content/uploads/2025/04/LindenMay2025.pdf" TargetMode="External"/><Relationship Id="rId603" Type="http://schemas.openxmlformats.org/officeDocument/2006/relationships/hyperlink" Target="https://rennamedia.com/wp-content/uploads/2025/05/LindenJune2025.pdf" TargetMode="External"/><Relationship Id="rId604" Type="http://schemas.openxmlformats.org/officeDocument/2006/relationships/hyperlink" Target="https://rennamedia.com/wp-content/uploads/2025/06/LindenJuly2025.pdf" TargetMode="External"/><Relationship Id="rId605" Type="http://schemas.openxmlformats.org/officeDocument/2006/relationships/hyperlink" Target="https://rennamedia.com/wp-content/uploads/2025/07/LindenAugust2025.pdf" TargetMode="External"/><Relationship Id="rId606" Type="http://schemas.openxmlformats.org/officeDocument/2006/relationships/hyperlink" Target="https://rennamedia.com/wp-content/uploads/2025/08/LindenSeptember2025.pdf" TargetMode="External"/><Relationship Id="rId607" Type="http://schemas.openxmlformats.org/officeDocument/2006/relationships/hyperlink" Target="https://rennamedia.com/wp-content/uploads/2025/09/LindenOctober2025.pdf" TargetMode="External"/><Relationship Id="rId608" Type="http://schemas.openxmlformats.org/officeDocument/2006/relationships/hyperlink" Target="https://rennamedia.com/wp-content/uploads/2025/10/LindenNovember2025.pdf" TargetMode="External"/><Relationship Id="rId609" Type="http://schemas.openxmlformats.org/officeDocument/2006/relationships/hyperlink" Target="https://rennamedia.com/wp-content/uploads/2025/11/LindenDecember2025.pdf" TargetMode="External"/><Relationship Id="rId610" Type="http://schemas.openxmlformats.org/officeDocument/2006/relationships/hyperlink" Target="https://rennamedia.com/wp-content/uploads/2025/12/LindenJanuary2026.pdf" TargetMode="External"/><Relationship Id="rId611" Type="http://schemas.openxmlformats.org/officeDocument/2006/relationships/hyperlink" Target="https://rennamedia.com/wp-content/uploads/2026/01/LindenFebruary2026.pdf" TargetMode="External"/><Relationship Id="rId612" Type="http://schemas.openxmlformats.org/officeDocument/2006/relationships/hyperlink" Target="https://rennamedia.com/wp-content/uploads/2026/02/LindenMarch2026.pdf" TargetMode="External"/><Relationship Id="rId613" Type="http://schemas.openxmlformats.org/officeDocument/2006/relationships/hyperlink" Target="https://rennamedia.com/wp-content/uploads/2026/03/LindenApril2026.pdf" TargetMode="External"/><Relationship Id="rId614" Type="http://schemas.openxmlformats.org/officeDocument/2006/relationships/hyperlink" Target="https://rennamedia.com/wp-content/uploads/2026/04/LindenMay2026.pdf" TargetMode="External"/><Relationship Id="rId615" Type="http://schemas.openxmlformats.org/officeDocument/2006/relationships/hyperlink" Target="https://rennamedia.com/wp-content/uploads/2024/11/LivingstonMonthlyDecember2024.pdf" TargetMode="External"/><Relationship Id="rId616" Type="http://schemas.openxmlformats.org/officeDocument/2006/relationships/hyperlink" Target="https://rennamedia.com/wp-content/uploads/2024/12/LivingstonMonthlyJanuary2025.pdf" TargetMode="External"/><Relationship Id="rId617" Type="http://schemas.openxmlformats.org/officeDocument/2006/relationships/hyperlink" Target="https://rennamedia.com/wp-content/uploads/2025/02/LindenFebruary2025.pdf" TargetMode="External"/><Relationship Id="rId618" Type="http://schemas.openxmlformats.org/officeDocument/2006/relationships/hyperlink" Target="https://rennamedia.com/wp-content/uploads/2025/02/LivingstonMonthlyMarch2025.pdf" TargetMode="External"/><Relationship Id="rId619" Type="http://schemas.openxmlformats.org/officeDocument/2006/relationships/hyperlink" Target="https://rennamedia.com/wp-content/uploads/2025/03/LivingstonMonthlyApril2025.pdf" TargetMode="External"/><Relationship Id="rId620" Type="http://schemas.openxmlformats.org/officeDocument/2006/relationships/hyperlink" Target="https://rennamedia.com/wp-content/uploads/2025/04/LivingstonMonthlyMay2025.pdf" TargetMode="External"/><Relationship Id="rId621" Type="http://schemas.openxmlformats.org/officeDocument/2006/relationships/hyperlink" Target="https://rennamedia.com/wp-content/uploads/2025/05/LivingstonMonthlyJune2025.pdf" TargetMode="External"/><Relationship Id="rId622" Type="http://schemas.openxmlformats.org/officeDocument/2006/relationships/hyperlink" Target="https://rennamedia.com/wp-content/uploads/2025/06/LivingstonMonthlyJuly2025.pdf" TargetMode="External"/><Relationship Id="rId623" Type="http://schemas.openxmlformats.org/officeDocument/2006/relationships/hyperlink" Target="https://rennamedia.com/wp-content/uploads/2025/07/LivingstonMonthlyAugust2025.pdf" TargetMode="External"/><Relationship Id="rId624" Type="http://schemas.openxmlformats.org/officeDocument/2006/relationships/hyperlink" Target="https://rennamedia.com/wp-content/uploads/2025/08/LivingstonMonthlySeptember2025.pdf" TargetMode="External"/><Relationship Id="rId625" Type="http://schemas.openxmlformats.org/officeDocument/2006/relationships/hyperlink" Target="https://rennamedia.com/wp-content/uploads/2025/09/LivingstonMonthlyOctober2025.pdf" TargetMode="External"/><Relationship Id="rId626" Type="http://schemas.openxmlformats.org/officeDocument/2006/relationships/hyperlink" Target="https://rennamedia.com/wp-content/uploads/2025/10/LivingstonMonthlyNovember2025.pdf" TargetMode="External"/><Relationship Id="rId627" Type="http://schemas.openxmlformats.org/officeDocument/2006/relationships/hyperlink" Target="https://rennamedia.com/wp-content/uploads/2025/11/LivingstonMonthlyDecember2025.pdf" TargetMode="External"/><Relationship Id="rId628" Type="http://schemas.openxmlformats.org/officeDocument/2006/relationships/hyperlink" Target="https://rennamedia.com/wp-content/uploads/2025/12/LivingstonMonthlyJanuary2026.pdf" TargetMode="External"/><Relationship Id="rId629" Type="http://schemas.openxmlformats.org/officeDocument/2006/relationships/hyperlink" Target="https://rennamedia.com/wp-content/uploads/2026/01/LivingstonMonthlyFebruary2026.pdf" TargetMode="External"/><Relationship Id="rId630" Type="http://schemas.openxmlformats.org/officeDocument/2006/relationships/hyperlink" Target="https://rennamedia.com/wp-content/uploads/2026/02/LivingstonMonthlyMarch2026.pdf" TargetMode="External"/><Relationship Id="rId631" Type="http://schemas.openxmlformats.org/officeDocument/2006/relationships/hyperlink" Target="https://rennamedia.com/wp-content/uploads/2026/03/LivingstonMonthlyApril2026.pdf" TargetMode="External"/><Relationship Id="rId632" Type="http://schemas.openxmlformats.org/officeDocument/2006/relationships/hyperlink" Target="https://rennamedia.com/wp-content/uploads/2026/04/LivingstonMonthlyMay2026.pdf" TargetMode="External"/><Relationship Id="rId633" Type="http://schemas.openxmlformats.org/officeDocument/2006/relationships/hyperlink" Target="https://rennamedia.com/wp-content/uploads/2021/12/LongHillJanuary2022.pdf" TargetMode="External"/><Relationship Id="rId634" Type="http://schemas.openxmlformats.org/officeDocument/2006/relationships/hyperlink" Target="https://rennamedia.com/wp-content/uploads/2022/01/LongHillFebruary2022.pdf" TargetMode="External"/><Relationship Id="rId635" Type="http://schemas.openxmlformats.org/officeDocument/2006/relationships/hyperlink" Target="https://rennamedia.com/wp-content/uploads/2022/02/LongHillMarch2022.pdf" TargetMode="External"/><Relationship Id="rId636" Type="http://schemas.openxmlformats.org/officeDocument/2006/relationships/hyperlink" Target="https://rennamedia.com/wp-content/uploads/2022/03/LongHillApril2022.pdf" TargetMode="External"/><Relationship Id="rId637" Type="http://schemas.openxmlformats.org/officeDocument/2006/relationships/hyperlink" Target="https://rennamedia.com/wp-content/uploads/2022/04/LongHillMay2022.pdf" TargetMode="External"/><Relationship Id="rId638" Type="http://schemas.openxmlformats.org/officeDocument/2006/relationships/hyperlink" Target="https://rennamedia.com/wp-content/uploads/2022/05/LongHillJune2022.pdf" TargetMode="External"/><Relationship Id="rId639" Type="http://schemas.openxmlformats.org/officeDocument/2006/relationships/hyperlink" Target="https://rennamedia.com/wp-content/uploads/2022/06/LongHillJuly2022.pdf" TargetMode="External"/><Relationship Id="rId640" Type="http://schemas.openxmlformats.org/officeDocument/2006/relationships/hyperlink" Target="https://rennamedia.com/wp-content/uploads/2022/07/LongHillAugust2022.pdf" TargetMode="External"/><Relationship Id="rId641" Type="http://schemas.openxmlformats.org/officeDocument/2006/relationships/hyperlink" Target="https://rennamedia.com/wp-content/uploads/2022/09/LongHillSeptember2022.pdf" TargetMode="External"/><Relationship Id="rId642" Type="http://schemas.openxmlformats.org/officeDocument/2006/relationships/hyperlink" Target="https://rennamedia.com/wp-content/uploads/2022/10/LongHillOctober2022.pdf" TargetMode="External"/><Relationship Id="rId643" Type="http://schemas.openxmlformats.org/officeDocument/2006/relationships/hyperlink" Target="https://rennamedia.com/wp-content/uploads/2022/11/LongHillNovember2022.pdf" TargetMode="External"/><Relationship Id="rId644" Type="http://schemas.openxmlformats.org/officeDocument/2006/relationships/hyperlink" Target="https://rennamedia.com/wp-content/uploads/2022/11/LongHillDecember2022.pdf" TargetMode="External"/><Relationship Id="rId645" Type="http://schemas.openxmlformats.org/officeDocument/2006/relationships/hyperlink" Target="https://rennamedia.com/wp-content/uploads/2022/12/LongHillJanuary2023.pdf" TargetMode="External"/><Relationship Id="rId646" Type="http://schemas.openxmlformats.org/officeDocument/2006/relationships/hyperlink" Target="https://rennamedia.com/wp-content/uploads/2023/01/LongHillFebruary2023.pdf" TargetMode="External"/><Relationship Id="rId647" Type="http://schemas.openxmlformats.org/officeDocument/2006/relationships/hyperlink" Target="https://rennamedia.com/wp-content/uploads/2023/02/LongHillMarch2023.pdf" TargetMode="External"/><Relationship Id="rId648" Type="http://schemas.openxmlformats.org/officeDocument/2006/relationships/hyperlink" Target="https://rennamedia.com/wp-content/uploads/2023/03/LongHillApril2023.pdf" TargetMode="External"/><Relationship Id="rId649" Type="http://schemas.openxmlformats.org/officeDocument/2006/relationships/hyperlink" Target="https://rennamedia.com/wp-content/uploads/2023/04/LongHillMay2023.pdf" TargetMode="External"/><Relationship Id="rId650" Type="http://schemas.openxmlformats.org/officeDocument/2006/relationships/hyperlink" Target="https://rennamedia.com/wp-content/uploads/2023/05/LongHillJune2023.pdf" TargetMode="External"/><Relationship Id="rId651" Type="http://schemas.openxmlformats.org/officeDocument/2006/relationships/hyperlink" Target="https://rennamedia.com/wp-content/uploads/2023/06/LongHillJuly2023.pdf" TargetMode="External"/><Relationship Id="rId652" Type="http://schemas.openxmlformats.org/officeDocument/2006/relationships/hyperlink" Target="https://rennamedia.com/wp-content/uploads/2023/07/LongHillAug2023.pdf" TargetMode="External"/><Relationship Id="rId653" Type="http://schemas.openxmlformats.org/officeDocument/2006/relationships/hyperlink" Target="https://rennamedia.com/wp-content/uploads/2023/08/LongHillSep2023.pdf" TargetMode="External"/><Relationship Id="rId654" Type="http://schemas.openxmlformats.org/officeDocument/2006/relationships/hyperlink" Target="https://rennamedia.com/wp-content/uploads/2023/09/LongHillOct2023.pdf" TargetMode="External"/><Relationship Id="rId655" Type="http://schemas.openxmlformats.org/officeDocument/2006/relationships/hyperlink" Target="https://rennamedia.com/wp-content/uploads/2023/10/LongHillNov2023.pdf" TargetMode="External"/><Relationship Id="rId656" Type="http://schemas.openxmlformats.org/officeDocument/2006/relationships/hyperlink" Target="https://rennamedia.com/wp-content/uploads/2023/11/LongHillDec2023.pdf" TargetMode="External"/><Relationship Id="rId657" Type="http://schemas.openxmlformats.org/officeDocument/2006/relationships/hyperlink" Target="https://rennamedia.com/wp-content/uploads/2023/12/LongHillJan2024.pdf" TargetMode="External"/><Relationship Id="rId658" Type="http://schemas.openxmlformats.org/officeDocument/2006/relationships/hyperlink" Target="https://rennamedia.com/wp-content/uploads/2024/01/LongHillFeb2024.pdf" TargetMode="External"/><Relationship Id="rId659" Type="http://schemas.openxmlformats.org/officeDocument/2006/relationships/hyperlink" Target="https://rennamedia.com/wp-content/uploads/2024/02/LongHillMar2024.pdf" TargetMode="External"/><Relationship Id="rId660" Type="http://schemas.openxmlformats.org/officeDocument/2006/relationships/hyperlink" Target="https://rennamedia.com/wp-content/uploads/2024/03/LongHillApr2024.pdf" TargetMode="External"/><Relationship Id="rId661" Type="http://schemas.openxmlformats.org/officeDocument/2006/relationships/hyperlink" Target="https://rennamedia.com/wp-content/uploads/2024/04/LongHillMay2024.pdf" TargetMode="External"/><Relationship Id="rId662" Type="http://schemas.openxmlformats.org/officeDocument/2006/relationships/hyperlink" Target="https://rennamedia.com/wp-content/uploads/2024/05/LongHillJune2024.pdf" TargetMode="External"/><Relationship Id="rId663" Type="http://schemas.openxmlformats.org/officeDocument/2006/relationships/hyperlink" Target="https://rennamedia.com/wp-content/uploads/2024/06/LongHillJuly2024.pdf" TargetMode="External"/><Relationship Id="rId664" Type="http://schemas.openxmlformats.org/officeDocument/2006/relationships/hyperlink" Target="https://rennamedia.com/wp-content/uploads/2024/07/LongHillAugust2024.pdf" TargetMode="External"/><Relationship Id="rId665" Type="http://schemas.openxmlformats.org/officeDocument/2006/relationships/hyperlink" Target="https://rennamedia.com/wp-content/uploads/2024/08/LongHillSeptember2024.pdf" TargetMode="External"/><Relationship Id="rId666" Type="http://schemas.openxmlformats.org/officeDocument/2006/relationships/hyperlink" Target="https://rennamedia.com/wp-content/uploads/2024/09/LongHillOctober2024.pdf" TargetMode="External"/><Relationship Id="rId667" Type="http://schemas.openxmlformats.org/officeDocument/2006/relationships/hyperlink" Target="https://rennamedia.com/wp-content/uploads/2024/11/LongHillDecember2024.pdf" TargetMode="External"/><Relationship Id="rId668" Type="http://schemas.openxmlformats.org/officeDocument/2006/relationships/hyperlink" Target="https://rennamedia.com/wp-content/uploads/2024/12/LongHillJanuary2025.pdf" TargetMode="External"/><Relationship Id="rId669" Type="http://schemas.openxmlformats.org/officeDocument/2006/relationships/hyperlink" Target="https://rennamedia.com/wp-content/uploads/2025/02/LongHillFebruary2025.pdf" TargetMode="External"/><Relationship Id="rId670" Type="http://schemas.openxmlformats.org/officeDocument/2006/relationships/hyperlink" Target="https://rennamedia.com/wp-content/uploads/2025/02/LongHillMarch2025.pdf" TargetMode="External"/><Relationship Id="rId671" Type="http://schemas.openxmlformats.org/officeDocument/2006/relationships/hyperlink" Target="https://rennamedia.com/wp-content/uploads/2025/03/LongHillApril2025.pdf" TargetMode="External"/><Relationship Id="rId672" Type="http://schemas.openxmlformats.org/officeDocument/2006/relationships/hyperlink" Target="https://rennamedia.com/wp-content/uploads/2025/04/LongHillMay2025.pdf" TargetMode="External"/><Relationship Id="rId673" Type="http://schemas.openxmlformats.org/officeDocument/2006/relationships/hyperlink" Target="https://rennamedia.com/wp-content/uploads/2025/05/LongHillJune2025.pdf" TargetMode="External"/><Relationship Id="rId674" Type="http://schemas.openxmlformats.org/officeDocument/2006/relationships/hyperlink" Target="https://rennamedia.com/wp-content/uploads/2025/06/LongHillJuly2025.pdf" TargetMode="External"/><Relationship Id="rId675" Type="http://schemas.openxmlformats.org/officeDocument/2006/relationships/hyperlink" Target="https://rennamedia.com/wp-content/uploads/2025/07/LongHillAugust2025.pdf" TargetMode="External"/><Relationship Id="rId676" Type="http://schemas.openxmlformats.org/officeDocument/2006/relationships/hyperlink" Target="https://rennamedia.com/wp-content/uploads/2025/08/LongHillSeptember2025.pdf" TargetMode="External"/><Relationship Id="rId677" Type="http://schemas.openxmlformats.org/officeDocument/2006/relationships/hyperlink" Target="https://rennamedia.com/wp-content/uploads/2025/09/LongHillOctober2025.pdf" TargetMode="External"/><Relationship Id="rId678" Type="http://schemas.openxmlformats.org/officeDocument/2006/relationships/hyperlink" Target="https://rennamedia.com/wp-content/uploads/2025/10/LongHillNovember2025.pdf" TargetMode="External"/><Relationship Id="rId679" Type="http://schemas.openxmlformats.org/officeDocument/2006/relationships/hyperlink" Target="https://rennamedia.com/wp-content/uploads/2025/11/LongHillDecember2025.pdf" TargetMode="External"/><Relationship Id="rId680" Type="http://schemas.openxmlformats.org/officeDocument/2006/relationships/hyperlink" Target="https://rennamedia.com/wp-content/uploads/2025/12/LongHillJanuary2026.pdf" TargetMode="External"/><Relationship Id="rId681" Type="http://schemas.openxmlformats.org/officeDocument/2006/relationships/hyperlink" Target="https://rennamedia.com/wp-content/uploads/2026/01/LongHillFebruary2026.pdf" TargetMode="External"/><Relationship Id="rId682" Type="http://schemas.openxmlformats.org/officeDocument/2006/relationships/hyperlink" Target="https://rennamedia.com/wp-content/uploads/2026/02/LongHillMarch2026.pdf" TargetMode="External"/><Relationship Id="rId683" Type="http://schemas.openxmlformats.org/officeDocument/2006/relationships/hyperlink" Target="https://rennamedia.com/wp-content/uploads/2026/03/LongHillApril2026.pdf" TargetMode="External"/><Relationship Id="rId684" Type="http://schemas.openxmlformats.org/officeDocument/2006/relationships/hyperlink" Target="https://rennamedia.com/wp-content/uploads/2026/04/LongHillMay2026.pdf" TargetMode="External"/><Relationship Id="rId685" Type="http://schemas.openxmlformats.org/officeDocument/2006/relationships/hyperlink" Target="https://rennamedia.com/wp-content/uploads/2021/12/MadisonJanuary2022.pdf" TargetMode="External"/><Relationship Id="rId686" Type="http://schemas.openxmlformats.org/officeDocument/2006/relationships/hyperlink" Target="https://rennamedia.com/wp-content/uploads/2022/01/MadisonFebruary2022.pdf" TargetMode="External"/><Relationship Id="rId687" Type="http://schemas.openxmlformats.org/officeDocument/2006/relationships/hyperlink" Target="https://rennamedia.com/wp-content/uploads/2022/02/MadisonMarch2022.pdf" TargetMode="External"/><Relationship Id="rId688" Type="http://schemas.openxmlformats.org/officeDocument/2006/relationships/hyperlink" Target="https://rennamedia.com/wp-content/uploads/2022/03/MadisonApril2022.pdf" TargetMode="External"/><Relationship Id="rId689" Type="http://schemas.openxmlformats.org/officeDocument/2006/relationships/hyperlink" Target="https://rennamedia.com/wp-content/uploads/2022/04/MadisonMay2022.pdf" TargetMode="External"/><Relationship Id="rId690" Type="http://schemas.openxmlformats.org/officeDocument/2006/relationships/hyperlink" Target="https://rennamedia.com/wp-content/uploads/2022/05/MadisonJune2022.pdf" TargetMode="External"/><Relationship Id="rId691" Type="http://schemas.openxmlformats.org/officeDocument/2006/relationships/hyperlink" Target="https://rennamedia.com/wp-content/uploads/2022/06/MadisonJuly2022.pdf" TargetMode="External"/><Relationship Id="rId692" Type="http://schemas.openxmlformats.org/officeDocument/2006/relationships/hyperlink" Target="https://rennamedia.com/wp-content/uploads/2022/07/MadisonAugust2022.pdf" TargetMode="External"/><Relationship Id="rId693" Type="http://schemas.openxmlformats.org/officeDocument/2006/relationships/hyperlink" Target="https://rennamedia.com/wp-content/uploads/2022/09/MadisonSeptember2022.pdf" TargetMode="External"/><Relationship Id="rId694" Type="http://schemas.openxmlformats.org/officeDocument/2006/relationships/hyperlink" Target="https://rennamedia.com/wp-content/uploads/2022/10/MadisonOctober2022.pdf" TargetMode="External"/><Relationship Id="rId695" Type="http://schemas.openxmlformats.org/officeDocument/2006/relationships/hyperlink" Target="https://rennamedia.com/wp-content/uploads/2022/11/MadisonNovember2022.pdf" TargetMode="External"/><Relationship Id="rId696" Type="http://schemas.openxmlformats.org/officeDocument/2006/relationships/hyperlink" Target="https://rennamedia.com/wp-content/uploads/2022/11/MadisonDecember2022.pdf" TargetMode="External"/><Relationship Id="rId697" Type="http://schemas.openxmlformats.org/officeDocument/2006/relationships/hyperlink" Target="https://rennamedia.com/wp-content/uploads/2022/12/MadisonJanuary2023.pdf" TargetMode="External"/><Relationship Id="rId698" Type="http://schemas.openxmlformats.org/officeDocument/2006/relationships/hyperlink" Target="https://rennamedia.com/wp-content/uploads/2023/01/MadisonFebruary2023.pdf" TargetMode="External"/><Relationship Id="rId699" Type="http://schemas.openxmlformats.org/officeDocument/2006/relationships/hyperlink" Target="https://rennamedia.com/wp-content/uploads/2023/02/MadisonMarch2023.pdf" TargetMode="External"/><Relationship Id="rId700" Type="http://schemas.openxmlformats.org/officeDocument/2006/relationships/hyperlink" Target="https://rennamedia.com/wp-content/uploads/2023/03/MadisonApril2023.pdf" TargetMode="External"/><Relationship Id="rId701" Type="http://schemas.openxmlformats.org/officeDocument/2006/relationships/hyperlink" Target="https://rennamedia.com/wp-content/uploads/2023/04/MadisonMay2023.pdf" TargetMode="External"/><Relationship Id="rId702" Type="http://schemas.openxmlformats.org/officeDocument/2006/relationships/hyperlink" Target="https://rennamedia.com/wp-content/uploads/2023/05/MadisonJune2023.pdf" TargetMode="External"/><Relationship Id="rId703" Type="http://schemas.openxmlformats.org/officeDocument/2006/relationships/hyperlink" Target="https://rennamedia.com/wp-content/uploads/2023/06/MadisonJuly2023.pdf" TargetMode="External"/><Relationship Id="rId704" Type="http://schemas.openxmlformats.org/officeDocument/2006/relationships/hyperlink" Target="https://rennamedia.com/wp-content/uploads/2023/07/MadisonAug2023.pdf" TargetMode="External"/><Relationship Id="rId705" Type="http://schemas.openxmlformats.org/officeDocument/2006/relationships/hyperlink" Target="https://rennamedia.com/wp-content/uploads/2023/08/MadisonSep2023.pdf" TargetMode="External"/><Relationship Id="rId706" Type="http://schemas.openxmlformats.org/officeDocument/2006/relationships/hyperlink" Target="https://rennamedia.com/wp-content/uploads/2023/09/MadisonOct2023.pdf" TargetMode="External"/><Relationship Id="rId707" Type="http://schemas.openxmlformats.org/officeDocument/2006/relationships/hyperlink" Target="https://rennamedia.com/wp-content/uploads/2023/10/MadisonNov2023.pdf" TargetMode="External"/><Relationship Id="rId708" Type="http://schemas.openxmlformats.org/officeDocument/2006/relationships/hyperlink" Target="https://rennamedia.com/wp-content/uploads/2023/11/MadisonDec2023.pdf" TargetMode="External"/><Relationship Id="rId709" Type="http://schemas.openxmlformats.org/officeDocument/2006/relationships/hyperlink" Target="https://rennamedia.com/wp-content/uploads/2023/12/MadisonJan2024.pdf" TargetMode="External"/><Relationship Id="rId710" Type="http://schemas.openxmlformats.org/officeDocument/2006/relationships/hyperlink" Target="https://rennamedia.com/wp-content/uploads/2024/01/MadisonFeb2024.pdf" TargetMode="External"/><Relationship Id="rId711" Type="http://schemas.openxmlformats.org/officeDocument/2006/relationships/hyperlink" Target="https://rennamedia.com/wp-content/uploads/2024/02/MadisonMar2024.pdf" TargetMode="External"/><Relationship Id="rId712" Type="http://schemas.openxmlformats.org/officeDocument/2006/relationships/hyperlink" Target="https://rennamedia.com/wp-content/uploads/2024/03/MadisonApr2024.pdf" TargetMode="External"/><Relationship Id="rId713" Type="http://schemas.openxmlformats.org/officeDocument/2006/relationships/hyperlink" Target="https://rennamedia.com/wp-content/uploads/2024/04/MadisonMay2024.pdf" TargetMode="External"/><Relationship Id="rId714" Type="http://schemas.openxmlformats.org/officeDocument/2006/relationships/hyperlink" Target="https://rennamedia.com/wp-content/uploads/2024/05/MadisonJune2024.pdf" TargetMode="External"/><Relationship Id="rId715" Type="http://schemas.openxmlformats.org/officeDocument/2006/relationships/hyperlink" Target="https://rennamedia.com/wp-content/uploads/2024/06/MadisonJuly2024.pdf" TargetMode="External"/><Relationship Id="rId716" Type="http://schemas.openxmlformats.org/officeDocument/2006/relationships/hyperlink" Target="https://rennamedia.com/wp-content/uploads/2024/07/MadisonAugust2024.pdf" TargetMode="External"/><Relationship Id="rId717" Type="http://schemas.openxmlformats.org/officeDocument/2006/relationships/hyperlink" Target="https://rennamedia.com/wp-content/uploads/2024/08/MadisonSeptember2024.pdf" TargetMode="External"/><Relationship Id="rId718" Type="http://schemas.openxmlformats.org/officeDocument/2006/relationships/hyperlink" Target="https://rennamedia.com/wp-content/uploads/2024/09/MadisonOctober2024.pdf" TargetMode="External"/><Relationship Id="rId719" Type="http://schemas.openxmlformats.org/officeDocument/2006/relationships/hyperlink" Target="https://rennamedia.com/wp-content/uploads/2024/10/MadisonNovember2024.pdf" TargetMode="External"/><Relationship Id="rId720" Type="http://schemas.openxmlformats.org/officeDocument/2006/relationships/hyperlink" Target="https://rennamedia.com/wp-content/uploads/2024/11/MadisonDecember2024.pdf" TargetMode="External"/><Relationship Id="rId721" Type="http://schemas.openxmlformats.org/officeDocument/2006/relationships/hyperlink" Target="https://rennamedia.com/wp-content/uploads/2024/12/MadisonJanuary2025.pdf" TargetMode="External"/><Relationship Id="rId722" Type="http://schemas.openxmlformats.org/officeDocument/2006/relationships/hyperlink" Target="https://rennamedia.com/wp-content/uploads/2025/02/MadisonFebruary2025.pdf" TargetMode="External"/><Relationship Id="rId723" Type="http://schemas.openxmlformats.org/officeDocument/2006/relationships/hyperlink" Target="https://rennamedia.com/wp-content/uploads/2025/02/MadisonMarch2025.pdf" TargetMode="External"/><Relationship Id="rId724" Type="http://schemas.openxmlformats.org/officeDocument/2006/relationships/hyperlink" Target="https://rennamedia.com/wp-content/uploads/2025/03/MadisonApril2025.pdf" TargetMode="External"/><Relationship Id="rId725" Type="http://schemas.openxmlformats.org/officeDocument/2006/relationships/hyperlink" Target="https://rennamedia.com/wp-content/uploads/2025/04/MadisonMay2025.pdf" TargetMode="External"/><Relationship Id="rId726" Type="http://schemas.openxmlformats.org/officeDocument/2006/relationships/hyperlink" Target="https://rennamedia.com/wp-content/uploads/2025/05/MadisonJune2025.pdf" TargetMode="External"/><Relationship Id="rId727" Type="http://schemas.openxmlformats.org/officeDocument/2006/relationships/hyperlink" Target="https://rennamedia.com/wp-content/uploads/2025/06/MadisonJuly2025.pdf" TargetMode="External"/><Relationship Id="rId728" Type="http://schemas.openxmlformats.org/officeDocument/2006/relationships/hyperlink" Target="https://rennamedia.com/wp-content/uploads/2025/07/MadisonAugust2025.pdf" TargetMode="External"/><Relationship Id="rId729" Type="http://schemas.openxmlformats.org/officeDocument/2006/relationships/hyperlink" Target="https://rennamedia.com/wp-content/uploads/2025/08/MadisonSeptember2025.pdf" TargetMode="External"/><Relationship Id="rId730" Type="http://schemas.openxmlformats.org/officeDocument/2006/relationships/hyperlink" Target="https://rennamedia.com/wp-content/uploads/2025/09/MadisonOctober2025.pdf" TargetMode="External"/><Relationship Id="rId731" Type="http://schemas.openxmlformats.org/officeDocument/2006/relationships/hyperlink" Target="https://rennamedia.com/wp-content/uploads/2025/10/MadisonNovember2025.pdf" TargetMode="External"/><Relationship Id="rId732" Type="http://schemas.openxmlformats.org/officeDocument/2006/relationships/hyperlink" Target="https://rennamedia.com/wp-content/uploads/2025/11/MadisonDecember2025.pdf" TargetMode="External"/><Relationship Id="rId733" Type="http://schemas.openxmlformats.org/officeDocument/2006/relationships/hyperlink" Target="https://rennamedia.com/wp-content/uploads/2025/12/MadisonJanuary2026.pdf" TargetMode="External"/><Relationship Id="rId734" Type="http://schemas.openxmlformats.org/officeDocument/2006/relationships/hyperlink" Target="https://rennamedia.com/wp-content/uploads/2026/01/MadisonFebruary2026.pdf" TargetMode="External"/><Relationship Id="rId735" Type="http://schemas.openxmlformats.org/officeDocument/2006/relationships/hyperlink" Target="https://rennamedia.com/wp-content/uploads/2026/02/MadisonMarch2026.pdf" TargetMode="External"/><Relationship Id="rId736" Type="http://schemas.openxmlformats.org/officeDocument/2006/relationships/hyperlink" Target="https://rennamedia.com/wp-content/uploads/2026/03/MadisonApril2026.pdf" TargetMode="External"/><Relationship Id="rId737" Type="http://schemas.openxmlformats.org/officeDocument/2006/relationships/hyperlink" Target="https://rennamedia.com/wp-content/uploads/2026/04/MadisonMay2026.pdf" TargetMode="External"/><Relationship Id="rId738" Type="http://schemas.openxmlformats.org/officeDocument/2006/relationships/hyperlink" Target="https://rennamedia.com/wp-content/uploads/2022/02/ShortHillsMillburnMarch2022.pdf" TargetMode="External"/><Relationship Id="rId739" Type="http://schemas.openxmlformats.org/officeDocument/2006/relationships/hyperlink" Target="https://rennamedia.com/wp-content/uploads/2022/03/ShortHillsMillburnApril2022.pdf" TargetMode="External"/><Relationship Id="rId740" Type="http://schemas.openxmlformats.org/officeDocument/2006/relationships/hyperlink" Target="https://rennamedia.com/wp-content/uploads/2022/04/MillburnShortHillsMay2022.pdf" TargetMode="External"/><Relationship Id="rId741" Type="http://schemas.openxmlformats.org/officeDocument/2006/relationships/hyperlink" Target="https://rennamedia.com/wp-content/uploads/2022/05/MillburnShortHillsJune2022.pdf" TargetMode="External"/><Relationship Id="rId742" Type="http://schemas.openxmlformats.org/officeDocument/2006/relationships/hyperlink" Target="https://rennamedia.com/wp-content/uploads/2022/06/MillburnShortHillsJuly2022.pdf" TargetMode="External"/><Relationship Id="rId743" Type="http://schemas.openxmlformats.org/officeDocument/2006/relationships/hyperlink" Target="https://rennamedia.com/wp-content/uploads/2022/07/MillburnShortHillsAugust2022.pdf" TargetMode="External"/><Relationship Id="rId744" Type="http://schemas.openxmlformats.org/officeDocument/2006/relationships/hyperlink" Target="https://rennamedia.com/wp-content/uploads/2022/09/MillburnShortHillsSeptember2022.pdf" TargetMode="External"/><Relationship Id="rId745" Type="http://schemas.openxmlformats.org/officeDocument/2006/relationships/hyperlink" Target="https://rennamedia.com/wp-content/uploads/2022/10/MillburnShortHillsOctober2022.pdf" TargetMode="External"/><Relationship Id="rId746" Type="http://schemas.openxmlformats.org/officeDocument/2006/relationships/hyperlink" Target="https://rennamedia.com/wp-content/uploads/2022/11/MillburnShortHillsNovember2022.pdf" TargetMode="External"/><Relationship Id="rId747" Type="http://schemas.openxmlformats.org/officeDocument/2006/relationships/hyperlink" Target="https://rennamedia.com/wp-content/uploads/2022/11/MillburnShortHillsDecember2022.pdf" TargetMode="External"/><Relationship Id="rId748" Type="http://schemas.openxmlformats.org/officeDocument/2006/relationships/hyperlink" Target="https://rennamedia.com/wp-content/uploads/2022/12/MillburnShortHillsJanuary2023.pdf" TargetMode="External"/><Relationship Id="rId749" Type="http://schemas.openxmlformats.org/officeDocument/2006/relationships/hyperlink" Target="https://rennamedia.com/wp-content/uploads/2023/01/MillburnShortHillsFebruary2023.pdf" TargetMode="External"/><Relationship Id="rId750" Type="http://schemas.openxmlformats.org/officeDocument/2006/relationships/hyperlink" Target="https://rennamedia.com/wp-content/uploads/2023/02/MillburnShortHillsMarch2023.pdf" TargetMode="External"/><Relationship Id="rId751" Type="http://schemas.openxmlformats.org/officeDocument/2006/relationships/hyperlink" Target="https://rennamedia.com/wp-content/uploads/2023/03/MillburnShortHillsApril2023.pdf" TargetMode="External"/><Relationship Id="rId752" Type="http://schemas.openxmlformats.org/officeDocument/2006/relationships/hyperlink" Target="https://rennamedia.com/wp-content/uploads/2023/04/MillburnShortHillsMay2023.pdf" TargetMode="External"/><Relationship Id="rId753" Type="http://schemas.openxmlformats.org/officeDocument/2006/relationships/hyperlink" Target="https://rennamedia.com/wp-content/uploads/2023/05/MillburnShortHillsJune2023.pdf" TargetMode="External"/><Relationship Id="rId754" Type="http://schemas.openxmlformats.org/officeDocument/2006/relationships/hyperlink" Target="https://rennamedia.com/wp-content/uploads/2023/06/MillburnShortHillsJuly2023.pdf" TargetMode="External"/><Relationship Id="rId755" Type="http://schemas.openxmlformats.org/officeDocument/2006/relationships/hyperlink" Target="https://rennamedia.com/wp-content/uploads/2023/07/MillburnShortHillsAug2023.pdf" TargetMode="External"/><Relationship Id="rId756" Type="http://schemas.openxmlformats.org/officeDocument/2006/relationships/hyperlink" Target="https://rennamedia.com/wp-content/uploads/2023/08/MillburnShortHillsSep2023.pdf" TargetMode="External"/><Relationship Id="rId757" Type="http://schemas.openxmlformats.org/officeDocument/2006/relationships/hyperlink" Target="https://rennamedia.com/wp-content/uploads/2023/09/MillburnShortHillsOct2023.pdf" TargetMode="External"/><Relationship Id="rId758" Type="http://schemas.openxmlformats.org/officeDocument/2006/relationships/hyperlink" Target="https://rennamedia.com/wp-content/uploads/2023/10/MillburnShortHillsNov2023.pdf" TargetMode="External"/><Relationship Id="rId759" Type="http://schemas.openxmlformats.org/officeDocument/2006/relationships/hyperlink" Target="https://rennamedia.com/wp-content/uploads/2023/11/MillburnShortHillsDec2023.pdf" TargetMode="External"/><Relationship Id="rId760" Type="http://schemas.openxmlformats.org/officeDocument/2006/relationships/hyperlink" Target="https://rennamedia.com/wp-content/uploads/2023/12/MillburnShortHillsJan2024.pdf" TargetMode="External"/><Relationship Id="rId761" Type="http://schemas.openxmlformats.org/officeDocument/2006/relationships/hyperlink" Target="https://rennamedia.com/wp-content/uploads/2024/01/MillburnShortHillsFeb2024.pdf" TargetMode="External"/><Relationship Id="rId762" Type="http://schemas.openxmlformats.org/officeDocument/2006/relationships/hyperlink" Target="https://rennamedia.com/wp-content/uploads/2024/02/MillburnShortHillsMar2024.pdf" TargetMode="External"/><Relationship Id="rId763" Type="http://schemas.openxmlformats.org/officeDocument/2006/relationships/hyperlink" Target="https://rennamedia.com/wp-content/uploads/2024/03/MillburnShortHillsApr2024.pdf" TargetMode="External"/><Relationship Id="rId764" Type="http://schemas.openxmlformats.org/officeDocument/2006/relationships/hyperlink" Target="https://rennamedia.com/wp-content/uploads/2024/04/MillburnShortHillsMay2024.pdf" TargetMode="External"/><Relationship Id="rId765" Type="http://schemas.openxmlformats.org/officeDocument/2006/relationships/hyperlink" Target="https://rennamedia.com/wp-content/uploads/2024/05/MillburnShortHillsJune2024.pdf" TargetMode="External"/><Relationship Id="rId766" Type="http://schemas.openxmlformats.org/officeDocument/2006/relationships/hyperlink" Target="https://rennamedia.com/wp-content/uploads/2024/06/MillburnShortHillsJuly2024.pdf" TargetMode="External"/><Relationship Id="rId767" Type="http://schemas.openxmlformats.org/officeDocument/2006/relationships/hyperlink" Target="https://rennamedia.com/wp-content/uploads/2024/07/MillburnShortHillsAugust2024.pdf" TargetMode="External"/><Relationship Id="rId768" Type="http://schemas.openxmlformats.org/officeDocument/2006/relationships/hyperlink" Target="https://rennamedia.com/wp-content/uploads/2024/08/MillburnShortHillsSeptember2024.pdf" TargetMode="External"/><Relationship Id="rId769" Type="http://schemas.openxmlformats.org/officeDocument/2006/relationships/hyperlink" Target="https://rennamedia.com/wp-content/uploads/2024/09/MillburnShortHillsOctober2024.pdf" TargetMode="External"/><Relationship Id="rId770" Type="http://schemas.openxmlformats.org/officeDocument/2006/relationships/hyperlink" Target="https://rennamedia.com/wp-content/uploads/2024/10/MillburnShortHillsNovember2024.pdf" TargetMode="External"/><Relationship Id="rId771" Type="http://schemas.openxmlformats.org/officeDocument/2006/relationships/hyperlink" Target="https://rennamedia.com/wp-content/uploads/2024/11/MillburnShortHillsDecember2024.pdf" TargetMode="External"/><Relationship Id="rId772" Type="http://schemas.openxmlformats.org/officeDocument/2006/relationships/hyperlink" Target="https://rennamedia.com/wp-content/uploads/2024/12/MillburnShortHillsJanuary2025.pdf" TargetMode="External"/><Relationship Id="rId773" Type="http://schemas.openxmlformats.org/officeDocument/2006/relationships/hyperlink" Target="https://rennamedia.com/wp-content/uploads/2025/02/MillburnShortHillsFebruary2025.pdf" TargetMode="External"/><Relationship Id="rId774" Type="http://schemas.openxmlformats.org/officeDocument/2006/relationships/hyperlink" Target="https://rennamedia.com/wp-content/uploads/2025/02/MillburnShortHillsMarch2025.pdf" TargetMode="External"/><Relationship Id="rId775" Type="http://schemas.openxmlformats.org/officeDocument/2006/relationships/hyperlink" Target="https://rennamedia.com/wp-content/uploads/2025/03/MillburnShortHillsApril2025.pdf" TargetMode="External"/><Relationship Id="rId776" Type="http://schemas.openxmlformats.org/officeDocument/2006/relationships/hyperlink" Target="https://rennamedia.com/wp-content/uploads/2025/04/MillburnShortHillsMay2025.pdf" TargetMode="External"/><Relationship Id="rId777" Type="http://schemas.openxmlformats.org/officeDocument/2006/relationships/hyperlink" Target="https://rennamedia.com/wp-content/uploads/2025/05/MillburnShortHillsJune2025.pdf" TargetMode="External"/><Relationship Id="rId778" Type="http://schemas.openxmlformats.org/officeDocument/2006/relationships/hyperlink" Target="https://rennamedia.com/wp-content/uploads/2025/06/MillburnShortHillsJuly2025.pdf" TargetMode="External"/><Relationship Id="rId779" Type="http://schemas.openxmlformats.org/officeDocument/2006/relationships/hyperlink" Target="https://rennamedia.com/wp-content/uploads/2025/07/MillburnShortHillsAugust2025.pdf" TargetMode="External"/><Relationship Id="rId780" Type="http://schemas.openxmlformats.org/officeDocument/2006/relationships/hyperlink" Target="https://rennamedia.com/wp-content/uploads/2025/08/MillburnShortHillsSeptember2025.pdf" TargetMode="External"/><Relationship Id="rId781" Type="http://schemas.openxmlformats.org/officeDocument/2006/relationships/hyperlink" Target="https://rennamedia.com/wp-content/uploads/2025/09/MillburnShortHillsOctober2025.pdf" TargetMode="External"/><Relationship Id="rId782" Type="http://schemas.openxmlformats.org/officeDocument/2006/relationships/hyperlink" Target="https://rennamedia.com/wp-content/uploads/2025/10/MillburnShortHillsNovember2025.pdf" TargetMode="External"/><Relationship Id="rId783" Type="http://schemas.openxmlformats.org/officeDocument/2006/relationships/hyperlink" Target="https://rennamedia.com/wp-content/uploads/2025/11/MillburnShortHillsDecember2025.pdf" TargetMode="External"/><Relationship Id="rId784" Type="http://schemas.openxmlformats.org/officeDocument/2006/relationships/hyperlink" Target="https://rennamedia.com/wp-content/uploads/2025/12/MillburnShortHillsJanuary2026.pdf" TargetMode="External"/><Relationship Id="rId785" Type="http://schemas.openxmlformats.org/officeDocument/2006/relationships/hyperlink" Target="https://rennamedia.com/wp-content/uploads/2026/01/MillburnShortHillsFebruary2026.pdf" TargetMode="External"/><Relationship Id="rId786" Type="http://schemas.openxmlformats.org/officeDocument/2006/relationships/hyperlink" Target="https://rennamedia.com/wp-content/uploads/2026/02/MillburnShortHillsMarch2026.pdf" TargetMode="External"/><Relationship Id="rId787" Type="http://schemas.openxmlformats.org/officeDocument/2006/relationships/hyperlink" Target="https://rennamedia.com/wp-content/uploads/2026/03/MillburnShortHillsApril2026.pdf" TargetMode="External"/><Relationship Id="rId788" Type="http://schemas.openxmlformats.org/officeDocument/2006/relationships/hyperlink" Target="https://rennamedia.com/wp-content/uploads/2026/04/MillburnShortHillsMay2026.pdf" TargetMode="External"/><Relationship Id="rId789" Type="http://schemas.openxmlformats.org/officeDocument/2006/relationships/hyperlink" Target="https://rennamedia.com/wp-content/uploads/2021/12/MountainsideJanuary2022.pdf" TargetMode="External"/><Relationship Id="rId790" Type="http://schemas.openxmlformats.org/officeDocument/2006/relationships/hyperlink" Target="https://rennamedia.com/wp-content/uploads/2022/01/MountainsideFebruary2022.pdf" TargetMode="External"/><Relationship Id="rId791" Type="http://schemas.openxmlformats.org/officeDocument/2006/relationships/hyperlink" Target="https://rennamedia.com/wp-content/uploads/2022/02/MountainsideMarch2022.pdf" TargetMode="External"/><Relationship Id="rId792" Type="http://schemas.openxmlformats.org/officeDocument/2006/relationships/hyperlink" Target="https://rennamedia.com/wp-content/uploads/2022/03/MountainsideApril2022.pdf" TargetMode="External"/><Relationship Id="rId793" Type="http://schemas.openxmlformats.org/officeDocument/2006/relationships/hyperlink" Target="https://rennamedia.com/wp-content/uploads/2022/04/MountainsideMay2022.pdf" TargetMode="External"/><Relationship Id="rId794" Type="http://schemas.openxmlformats.org/officeDocument/2006/relationships/hyperlink" Target="https://rennamedia.com/wp-content/uploads/2022/05/MountainsideJune2022.pdf" TargetMode="External"/><Relationship Id="rId795" Type="http://schemas.openxmlformats.org/officeDocument/2006/relationships/hyperlink" Target="https://rennamedia.com/wp-content/uploads/2022/06/MountainsideJuly2022.pdf" TargetMode="External"/><Relationship Id="rId796" Type="http://schemas.openxmlformats.org/officeDocument/2006/relationships/hyperlink" Target="https://rennamedia.com/wp-content/uploads/2022/07/MountainsideAugust2022.pdf" TargetMode="External"/><Relationship Id="rId797" Type="http://schemas.openxmlformats.org/officeDocument/2006/relationships/hyperlink" Target="https://rennamedia.com/wp-content/uploads/2022/09/MountainsideSeptember2022.pdf" TargetMode="External"/><Relationship Id="rId798" Type="http://schemas.openxmlformats.org/officeDocument/2006/relationships/hyperlink" Target="https://rennamedia.com/wp-content/uploads/2022/10/MountainsideOctober2022.pdf" TargetMode="External"/><Relationship Id="rId799" Type="http://schemas.openxmlformats.org/officeDocument/2006/relationships/hyperlink" Target="https://rennamedia.com/wp-content/uploads/2022/11/MountainsideNovember2022.pdf" TargetMode="External"/><Relationship Id="rId800" Type="http://schemas.openxmlformats.org/officeDocument/2006/relationships/hyperlink" Target="https://rennamedia.com/wp-content/uploads/2022/11/MountainsideDecember2022.pdf" TargetMode="External"/><Relationship Id="rId801" Type="http://schemas.openxmlformats.org/officeDocument/2006/relationships/hyperlink" Target="https://rennamedia.com/wp-content/uploads/2022/12/MountainsideJanuary2023.pdf" TargetMode="External"/><Relationship Id="rId802" Type="http://schemas.openxmlformats.org/officeDocument/2006/relationships/hyperlink" Target="https://rennamedia.com/wp-content/uploads/2023/01/MountainsideFebruary2023.pdf" TargetMode="External"/><Relationship Id="rId803" Type="http://schemas.openxmlformats.org/officeDocument/2006/relationships/hyperlink" Target="https://rennamedia.com/wp-content/uploads/2023/02/MountainsideMarch2023.pdf" TargetMode="External"/><Relationship Id="rId804" Type="http://schemas.openxmlformats.org/officeDocument/2006/relationships/hyperlink" Target="https://rennamedia.com/wp-content/uploads/2023/03/MountainsideApril2023.pdf" TargetMode="External"/><Relationship Id="rId805" Type="http://schemas.openxmlformats.org/officeDocument/2006/relationships/hyperlink" Target="https://rennamedia.com/wp-content/uploads/2023/04/MountainsideMay2023.pdf" TargetMode="External"/><Relationship Id="rId806" Type="http://schemas.openxmlformats.org/officeDocument/2006/relationships/hyperlink" Target="https://rennamedia.com/wp-content/uploads/2023/05/MountainsideJune2023.pdf" TargetMode="External"/><Relationship Id="rId807" Type="http://schemas.openxmlformats.org/officeDocument/2006/relationships/hyperlink" Target="https://rennamedia.com/wp-content/uploads/2023/06/MountainsideJuly2023.pdf" TargetMode="External"/><Relationship Id="rId808" Type="http://schemas.openxmlformats.org/officeDocument/2006/relationships/hyperlink" Target="https://rennamedia.com/wp-content/uploads/2023/07/MountainsideAug2023.pdf" TargetMode="External"/><Relationship Id="rId809" Type="http://schemas.openxmlformats.org/officeDocument/2006/relationships/hyperlink" Target="https://rennamedia.com/wp-content/uploads/2023/08/MountainsideSep2023.pdf" TargetMode="External"/><Relationship Id="rId810" Type="http://schemas.openxmlformats.org/officeDocument/2006/relationships/hyperlink" Target="https://rennamedia.com/wp-content/uploads/2023/09/MountainsideOct2023.pdf" TargetMode="External"/><Relationship Id="rId811" Type="http://schemas.openxmlformats.org/officeDocument/2006/relationships/hyperlink" Target="https://rennamedia.com/wp-content/uploads/2023/10/MountainsideNov2023.pdf" TargetMode="External"/><Relationship Id="rId812" Type="http://schemas.openxmlformats.org/officeDocument/2006/relationships/hyperlink" Target="https://rennamedia.com/wp-content/uploads/2023/11/MountainsideDec2023.pdf" TargetMode="External"/><Relationship Id="rId813" Type="http://schemas.openxmlformats.org/officeDocument/2006/relationships/hyperlink" Target="https://rennamedia.com/wp-content/uploads/2023/12/MountainsideJan2024.pdf" TargetMode="External"/><Relationship Id="rId814" Type="http://schemas.openxmlformats.org/officeDocument/2006/relationships/hyperlink" Target="https://rennamedia.com/wp-content/uploads/2024/01/MountainsideFeb2024.pdf" TargetMode="External"/><Relationship Id="rId815" Type="http://schemas.openxmlformats.org/officeDocument/2006/relationships/hyperlink" Target="https://rennamedia.com/wp-content/uploads/2024/02/MountainsideMar2024.pdf" TargetMode="External"/><Relationship Id="rId816" Type="http://schemas.openxmlformats.org/officeDocument/2006/relationships/hyperlink" Target="https://rennamedia.com/wp-content/uploads/2024/03/MountainsideApr2024.pdf" TargetMode="External"/><Relationship Id="rId817" Type="http://schemas.openxmlformats.org/officeDocument/2006/relationships/hyperlink" Target="https://rennamedia.com/wp-content/uploads/2024/04/MountainsideMay2024.pdf" TargetMode="External"/><Relationship Id="rId818" Type="http://schemas.openxmlformats.org/officeDocument/2006/relationships/hyperlink" Target="https://rennamedia.com/wp-content/uploads/2024/05/MountainsideJune2024.pdf" TargetMode="External"/><Relationship Id="rId819" Type="http://schemas.openxmlformats.org/officeDocument/2006/relationships/hyperlink" Target="https://rennamedia.com/wp-content/uploads/2024/06/MountainsideJuly2024.pdf" TargetMode="External"/><Relationship Id="rId820" Type="http://schemas.openxmlformats.org/officeDocument/2006/relationships/hyperlink" Target="https://rennamedia.com/wp-content/uploads/2024/07/MountainsideAugust2024.pdf" TargetMode="External"/><Relationship Id="rId821" Type="http://schemas.openxmlformats.org/officeDocument/2006/relationships/hyperlink" Target="https://rennamedia.com/wp-content/uploads/2024/08/MountainsideSeptember2024.pdf" TargetMode="External"/><Relationship Id="rId822" Type="http://schemas.openxmlformats.org/officeDocument/2006/relationships/hyperlink" Target="https://rennamedia.com/wp-content/uploads/2024/09/MountainsideOctober2024.pdf" TargetMode="External"/><Relationship Id="rId823" Type="http://schemas.openxmlformats.org/officeDocument/2006/relationships/hyperlink" Target="https://rennamedia.com/wp-content/uploads/2024/10/MountainsideNovember2024.pdf" TargetMode="External"/><Relationship Id="rId824" Type="http://schemas.openxmlformats.org/officeDocument/2006/relationships/hyperlink" Target="https://rennamedia.com/wp-content/uploads/2024/11/MountainsideDecember2024.pdf" TargetMode="External"/><Relationship Id="rId825" Type="http://schemas.openxmlformats.org/officeDocument/2006/relationships/hyperlink" Target="https://rennamedia.com/wp-content/uploads/2025/01/MountainsideJanuary2025.pdf" TargetMode="External"/><Relationship Id="rId826" Type="http://schemas.openxmlformats.org/officeDocument/2006/relationships/hyperlink" Target="https://rennamedia.com/wp-content/uploads/2025/02/MountainsideFebruary2025.pdf" TargetMode="External"/><Relationship Id="rId827" Type="http://schemas.openxmlformats.org/officeDocument/2006/relationships/hyperlink" Target="https://rennamedia.com/wp-content/uploads/2025/02/MountainsideMarch2025.pdf" TargetMode="External"/><Relationship Id="rId828" Type="http://schemas.openxmlformats.org/officeDocument/2006/relationships/hyperlink" Target="https://rennamedia.com/wp-content/uploads/2025/03/MountainsideApril2025.pdf" TargetMode="External"/><Relationship Id="rId829" Type="http://schemas.openxmlformats.org/officeDocument/2006/relationships/hyperlink" Target="https://rennamedia.com/wp-content/uploads/2025/04/MountainsideMay2025.pdf" TargetMode="External"/><Relationship Id="rId830" Type="http://schemas.openxmlformats.org/officeDocument/2006/relationships/hyperlink" Target="https://rennamedia.com/wp-content/uploads/2025/05/MountainsideJune2025.pdf" TargetMode="External"/><Relationship Id="rId831" Type="http://schemas.openxmlformats.org/officeDocument/2006/relationships/hyperlink" Target="https://rennamedia.com/wp-content/uploads/2025/06/MountainsideJuly2025.pdf" TargetMode="External"/><Relationship Id="rId832" Type="http://schemas.openxmlformats.org/officeDocument/2006/relationships/hyperlink" Target="https://rennamedia.com/wp-content/uploads/2025/07/MountainsideAugust2025.pdf" TargetMode="External"/><Relationship Id="rId833" Type="http://schemas.openxmlformats.org/officeDocument/2006/relationships/hyperlink" Target="https://rennamedia.com/wp-content/uploads/2025/08/MountainsideSeptember2025.pdf" TargetMode="External"/><Relationship Id="rId834" Type="http://schemas.openxmlformats.org/officeDocument/2006/relationships/hyperlink" Target="https://rennamedia.com/wp-content/uploads/2025/09/MountainsideOctober2025.pdf" TargetMode="External"/><Relationship Id="rId835" Type="http://schemas.openxmlformats.org/officeDocument/2006/relationships/hyperlink" Target="https://rennamedia.com/wp-content/uploads/2025/10/MountainsideNovember2025.pdf" TargetMode="External"/><Relationship Id="rId836" Type="http://schemas.openxmlformats.org/officeDocument/2006/relationships/hyperlink" Target="https://rennamedia.com/wp-content/uploads/2025/11/MountainsideDecember2025.pdf" TargetMode="External"/><Relationship Id="rId837" Type="http://schemas.openxmlformats.org/officeDocument/2006/relationships/hyperlink" Target="https://rennamedia.com/wp-content/uploads/2025/12/MountainsideJanuary2026.pdf" TargetMode="External"/><Relationship Id="rId838" Type="http://schemas.openxmlformats.org/officeDocument/2006/relationships/hyperlink" Target="https://rennamedia.com/wp-content/uploads/2026/01/MountainsideFebruary2026.pdf" TargetMode="External"/><Relationship Id="rId839" Type="http://schemas.openxmlformats.org/officeDocument/2006/relationships/hyperlink" Target="https://rennamedia.com/wp-content/uploads/2026/02/MountainsideMarch2026.pdf" TargetMode="External"/><Relationship Id="rId840" Type="http://schemas.openxmlformats.org/officeDocument/2006/relationships/hyperlink" Target="https://rennamedia.com/wp-content/uploads/2026/03/MountainsideApril2026.pdf" TargetMode="External"/><Relationship Id="rId841" Type="http://schemas.openxmlformats.org/officeDocument/2006/relationships/hyperlink" Target="https://rennamedia.com/wp-content/uploads/2026/04/MountainsideMay2026.pdf" TargetMode="External"/><Relationship Id="rId842" Type="http://schemas.openxmlformats.org/officeDocument/2006/relationships/hyperlink" Target="https://rennamedia.com/wp-content/uploads/2024/11/MorristownMonthlyDecember2024.pdf" TargetMode="External"/><Relationship Id="rId843" Type="http://schemas.openxmlformats.org/officeDocument/2006/relationships/hyperlink" Target="https://rennamedia.com/wp-content/uploads/2024/12/MorristownMonthlyJanuary2025.pdf" TargetMode="External"/><Relationship Id="rId844" Type="http://schemas.openxmlformats.org/officeDocument/2006/relationships/hyperlink" Target="https://rennamedia.com/wp-content/uploads/2025/02/MorristownMonthlyFebruary2025.pdf" TargetMode="External"/><Relationship Id="rId845" Type="http://schemas.openxmlformats.org/officeDocument/2006/relationships/hyperlink" Target="https://rennamedia.com/wp-content/uploads/2025/02/MorristownMonthlyMarch2025.pdf" TargetMode="External"/><Relationship Id="rId846" Type="http://schemas.openxmlformats.org/officeDocument/2006/relationships/hyperlink" Target="https://rennamedia.com/wp-content/uploads/2025/03/MorristownMonthlyApril2025.pdf" TargetMode="External"/><Relationship Id="rId847" Type="http://schemas.openxmlformats.org/officeDocument/2006/relationships/hyperlink" Target="https://rennamedia.com/wp-content/uploads/2025/04/MorristownMonthlyMay2025.pdf" TargetMode="External"/><Relationship Id="rId848" Type="http://schemas.openxmlformats.org/officeDocument/2006/relationships/hyperlink" Target="https://rennamedia.com/wp-content/uploads/2025/05/MorristownMonthlyJune2025.pdf" TargetMode="External"/><Relationship Id="rId849" Type="http://schemas.openxmlformats.org/officeDocument/2006/relationships/hyperlink" Target="https://rennamedia.com/wp-content/uploads/2025/06/MorristownMonthlyJuly2025b.pdf" TargetMode="External"/><Relationship Id="rId850" Type="http://schemas.openxmlformats.org/officeDocument/2006/relationships/hyperlink" Target="https://rennamedia.com/wp-content/uploads/2025/07/MorristownMonthlyAugust2025.pdf" TargetMode="External"/><Relationship Id="rId851" Type="http://schemas.openxmlformats.org/officeDocument/2006/relationships/hyperlink" Target="https://rennamedia.com/wp-content/uploads/2025/08/MorristownMonthlySeptember2025.pdf" TargetMode="External"/><Relationship Id="rId852" Type="http://schemas.openxmlformats.org/officeDocument/2006/relationships/hyperlink" Target="https://rennamedia.com/wp-content/uploads/2025/09/MorristownMonthlyOctober2025.pdf" TargetMode="External"/><Relationship Id="rId853" Type="http://schemas.openxmlformats.org/officeDocument/2006/relationships/hyperlink" Target="https://rennamedia.com/wp-content/uploads/2025/10/MorristownMonthlyNovember2025.pdf" TargetMode="External"/><Relationship Id="rId854" Type="http://schemas.openxmlformats.org/officeDocument/2006/relationships/hyperlink" Target="https://rennamedia.com/wp-content/uploads/2025/11/MorristownMonthlyDecember2025.pdf" TargetMode="External"/><Relationship Id="rId855" Type="http://schemas.openxmlformats.org/officeDocument/2006/relationships/hyperlink" Target="https://rennamedia.com/wp-content/uploads/2025/12/MorristownMonthlyJanuary2026.pdf" TargetMode="External"/><Relationship Id="rId856" Type="http://schemas.openxmlformats.org/officeDocument/2006/relationships/hyperlink" Target="https://rennamedia.com/wp-content/uploads/2026/01/MorristownMonthlyFebruary2026.pdf" TargetMode="External"/><Relationship Id="rId857" Type="http://schemas.openxmlformats.org/officeDocument/2006/relationships/hyperlink" Target="https://rennamedia.com/wp-content/uploads/2026/02/MorristownMonthlyMarch2026.pdf" TargetMode="External"/><Relationship Id="rId858" Type="http://schemas.openxmlformats.org/officeDocument/2006/relationships/hyperlink" Target="https://rennamedia.com/wp-content/uploads/2026/03/MorristownMonthlyApril2026.pdf" TargetMode="External"/><Relationship Id="rId859" Type="http://schemas.openxmlformats.org/officeDocument/2006/relationships/hyperlink" Target="https://rennamedia.com/wp-content/uploads/2026/04/MorristownMonthlyMay2026.pdf" TargetMode="External"/><Relationship Id="rId860" Type="http://schemas.openxmlformats.org/officeDocument/2006/relationships/hyperlink" Target="https://rennamedia.com/wp-content/uploads/2024/11/MorrisTownshipTimesDecember2024.pdf" TargetMode="External"/><Relationship Id="rId861" Type="http://schemas.openxmlformats.org/officeDocument/2006/relationships/hyperlink" Target="https://rennamedia.com/wp-content/uploads/2024/12/MorrisTownshipTimesJanuary2025.pdf" TargetMode="External"/><Relationship Id="rId862" Type="http://schemas.openxmlformats.org/officeDocument/2006/relationships/hyperlink" Target="https://rennamedia.com/wp-content/uploads/2025/02/MorrisTownshipTimesFebruary2025.pdf" TargetMode="External"/><Relationship Id="rId863" Type="http://schemas.openxmlformats.org/officeDocument/2006/relationships/hyperlink" Target="https://rennamedia.com/wp-content/uploads/2025/02/MorrisTownshipTimesMarch2025.pdf" TargetMode="External"/><Relationship Id="rId864" Type="http://schemas.openxmlformats.org/officeDocument/2006/relationships/hyperlink" Target="https://rennamedia.com/wp-content/uploads/2025/03/MorrisTownshipTimesApril2025.pdf" TargetMode="External"/><Relationship Id="rId865" Type="http://schemas.openxmlformats.org/officeDocument/2006/relationships/hyperlink" Target="https://rennamedia.com/wp-content/uploads/2025/04/MorrisTownshipTimesMay2025.pdf" TargetMode="External"/><Relationship Id="rId866" Type="http://schemas.openxmlformats.org/officeDocument/2006/relationships/hyperlink" Target="https://rennamedia.com/wp-content/uploads/2025/05/MorrisTownshipTimesJune2025.pdf" TargetMode="External"/><Relationship Id="rId867" Type="http://schemas.openxmlformats.org/officeDocument/2006/relationships/hyperlink" Target="https://rennamedia.com/wp-content/uploads/2025/06/MorrisTownshipTimesJuly2025b.pdf" TargetMode="External"/><Relationship Id="rId868" Type="http://schemas.openxmlformats.org/officeDocument/2006/relationships/hyperlink" Target="https://rennamedia.com/wp-content/uploads/2025/07/MorrisTownshipTimesAugust2025.pdf" TargetMode="External"/><Relationship Id="rId869" Type="http://schemas.openxmlformats.org/officeDocument/2006/relationships/hyperlink" Target="https://rennamedia.com/wp-content/uploads/2025/08/MorrisTownshipTimesSeptember2025.pdf" TargetMode="External"/><Relationship Id="rId870" Type="http://schemas.openxmlformats.org/officeDocument/2006/relationships/hyperlink" Target="https://rennamedia.com/wp-content/uploads/2025/09/MorrisTownshipTimesOctober2025.pdf" TargetMode="External"/><Relationship Id="rId871" Type="http://schemas.openxmlformats.org/officeDocument/2006/relationships/hyperlink" Target="https://rennamedia.com/wp-content/uploads/2025/10/MorrisTownshipTimesNovember2025.pdf" TargetMode="External"/><Relationship Id="rId872" Type="http://schemas.openxmlformats.org/officeDocument/2006/relationships/hyperlink" Target="https://rennamedia.com/wp-content/uploads/2025/11/MorrisTownshipTimesDecember2025.pdf" TargetMode="External"/><Relationship Id="rId873" Type="http://schemas.openxmlformats.org/officeDocument/2006/relationships/hyperlink" Target="https://rennamedia.com/wp-content/uploads/2025/12/MorrisTownshipTimesJanuary2026.pdf" TargetMode="External"/><Relationship Id="rId874" Type="http://schemas.openxmlformats.org/officeDocument/2006/relationships/hyperlink" Target="https://rennamedia.com/wp-content/uploads/2026/01/MorrisTownshipTimesFebruary2026.pdf" TargetMode="External"/><Relationship Id="rId875" Type="http://schemas.openxmlformats.org/officeDocument/2006/relationships/hyperlink" Target="https://rennamedia.com/wp-content/uploads/2026/02/MorrisTownshipTimesMarch2026.pdf" TargetMode="External"/><Relationship Id="rId876" Type="http://schemas.openxmlformats.org/officeDocument/2006/relationships/hyperlink" Target="https://rennamedia.com/wp-content/uploads/2026/03/MorrisTownshipTimesApril2026.pdf" TargetMode="External"/><Relationship Id="rId877" Type="http://schemas.openxmlformats.org/officeDocument/2006/relationships/hyperlink" Target="https://rennamedia.com/wp-content/uploads/2026/04/MorrisTownshipTimesMay2026.pdf" TargetMode="External"/><Relationship Id="rId878" Type="http://schemas.openxmlformats.org/officeDocument/2006/relationships/hyperlink" Target="https://rennamedia.com/wp-content/uploads/2021/12/NewProvidenceJanuary2022.pdf" TargetMode="External"/><Relationship Id="rId879" Type="http://schemas.openxmlformats.org/officeDocument/2006/relationships/hyperlink" Target="https://rennamedia.com/wp-content/uploads/2022/01/NewProvidenceFebruary2022.pdf" TargetMode="External"/><Relationship Id="rId880" Type="http://schemas.openxmlformats.org/officeDocument/2006/relationships/hyperlink" Target="https://rennamedia.com/wp-content/uploads/2022/02/NewProvidenceMarch2022.pdf" TargetMode="External"/><Relationship Id="rId881" Type="http://schemas.openxmlformats.org/officeDocument/2006/relationships/hyperlink" Target="https://rennamedia.com/wp-content/uploads/2022/03/NewProvidenceApril2022.pdf" TargetMode="External"/><Relationship Id="rId882" Type="http://schemas.openxmlformats.org/officeDocument/2006/relationships/hyperlink" Target="https://rennamedia.com/wp-content/uploads/2022/04/NewProvidenceMay2022.pdf" TargetMode="External"/><Relationship Id="rId883" Type="http://schemas.openxmlformats.org/officeDocument/2006/relationships/hyperlink" Target="https://rennamedia.com/wp-content/uploads/2022/05/NewProvidenceJune2022.pdf" TargetMode="External"/><Relationship Id="rId884" Type="http://schemas.openxmlformats.org/officeDocument/2006/relationships/hyperlink" Target="https://rennamedia.com/wp-content/uploads/2022/06/NewProvidenceJuly2022.pdf" TargetMode="External"/><Relationship Id="rId885" Type="http://schemas.openxmlformats.org/officeDocument/2006/relationships/hyperlink" Target="https://rennamedia.com/wp-content/uploads/2022/07/NewProvidenceAugust2022.pdf" TargetMode="External"/><Relationship Id="rId886" Type="http://schemas.openxmlformats.org/officeDocument/2006/relationships/hyperlink" Target="https://rennamedia.com/wp-content/uploads/2022/09/NewProvidenceSeptember2022.pdf" TargetMode="External"/><Relationship Id="rId887" Type="http://schemas.openxmlformats.org/officeDocument/2006/relationships/hyperlink" Target="https://rennamedia.com/wp-content/uploads/2022/10/NewProvidenceOctober2022.pdf" TargetMode="External"/><Relationship Id="rId888" Type="http://schemas.openxmlformats.org/officeDocument/2006/relationships/hyperlink" Target="https://rennamedia.com/wp-content/uploads/2022/11/NewProvidenceNovember2022.pdf" TargetMode="External"/><Relationship Id="rId889" Type="http://schemas.openxmlformats.org/officeDocument/2006/relationships/hyperlink" Target="https://rennamedia.com/wp-content/uploads/2022/11/NewProvidenceDecember2022.pdf" TargetMode="External"/><Relationship Id="rId890" Type="http://schemas.openxmlformats.org/officeDocument/2006/relationships/hyperlink" Target="https://rennamedia.com/wp-content/uploads/2022/12/NewProvidenceJanuary2023.pdf" TargetMode="External"/><Relationship Id="rId891" Type="http://schemas.openxmlformats.org/officeDocument/2006/relationships/hyperlink" Target="https://rennamedia.com/wp-content/uploads/2023/01/NewProvidenceFebruary2023.pdf" TargetMode="External"/><Relationship Id="rId892" Type="http://schemas.openxmlformats.org/officeDocument/2006/relationships/hyperlink" Target="https://rennamedia.com/wp-content/uploads/2023/02/NewProvidenceMarch2023.pdf" TargetMode="External"/><Relationship Id="rId893" Type="http://schemas.openxmlformats.org/officeDocument/2006/relationships/hyperlink" Target="https://rennamedia.com/wp-content/uploads/2023/03/NewProvidenceApril2023.pdf" TargetMode="External"/><Relationship Id="rId894" Type="http://schemas.openxmlformats.org/officeDocument/2006/relationships/hyperlink" Target="https://rennamedia.com/wp-content/uploads/2023/04/NewProvidenceMay2023.pdf" TargetMode="External"/><Relationship Id="rId895" Type="http://schemas.openxmlformats.org/officeDocument/2006/relationships/hyperlink" Target="https://rennamedia.com/wp-content/uploads/2023/05/NewProvidenceJune2023.pdf" TargetMode="External"/><Relationship Id="rId896" Type="http://schemas.openxmlformats.org/officeDocument/2006/relationships/hyperlink" Target="https://rennamedia.com/wp-content/uploads/2023/06/NewProvidenceJuly2023.pdf" TargetMode="External"/><Relationship Id="rId897" Type="http://schemas.openxmlformats.org/officeDocument/2006/relationships/hyperlink" Target="https://rennamedia.com/wp-content/uploads/2023/07/NewProvidenceAug2023.pdf" TargetMode="External"/><Relationship Id="rId898" Type="http://schemas.openxmlformats.org/officeDocument/2006/relationships/hyperlink" Target="https://rennamedia.com/wp-content/uploads/2023/08/NewProvidenceSep2023.pdf" TargetMode="External"/><Relationship Id="rId899" Type="http://schemas.openxmlformats.org/officeDocument/2006/relationships/hyperlink" Target="https://rennamedia.com/wp-content/uploads/2023/10/NewProvidenceOct2023.pdf" TargetMode="External"/><Relationship Id="rId900" Type="http://schemas.openxmlformats.org/officeDocument/2006/relationships/hyperlink" Target="https://rennamedia.com/wp-content/uploads/2023/10/NewProvidenceNov2023.pdf" TargetMode="External"/><Relationship Id="rId901" Type="http://schemas.openxmlformats.org/officeDocument/2006/relationships/hyperlink" Target="https://rennamedia.com/wp-content/uploads/2023/11/NewProvidenceDec2023.pdf" TargetMode="External"/><Relationship Id="rId902" Type="http://schemas.openxmlformats.org/officeDocument/2006/relationships/hyperlink" Target="https://rennamedia.com/wp-content/uploads/2023/12/NewProvidenceJan2024.pdf" TargetMode="External"/><Relationship Id="rId903" Type="http://schemas.openxmlformats.org/officeDocument/2006/relationships/hyperlink" Target="https://rennamedia.com/wp-content/uploads/2024/01/NewProvidenceFeb2024.pdf" TargetMode="External"/><Relationship Id="rId904" Type="http://schemas.openxmlformats.org/officeDocument/2006/relationships/hyperlink" Target="https://rennamedia.com/wp-content/uploads/2024/02/NewProvidenceMar2024.pdf" TargetMode="External"/><Relationship Id="rId905" Type="http://schemas.openxmlformats.org/officeDocument/2006/relationships/hyperlink" Target="https://rennamedia.com/wp-content/uploads/2024/03/NewProvidenceApr2024.pdf" TargetMode="External"/><Relationship Id="rId906" Type="http://schemas.openxmlformats.org/officeDocument/2006/relationships/hyperlink" Target="https://rennamedia.com/wp-content/uploads/2024/04/NewProvidenceMay2024.pdf" TargetMode="External"/><Relationship Id="rId907" Type="http://schemas.openxmlformats.org/officeDocument/2006/relationships/hyperlink" Target="https://rennamedia.com/wp-content/uploads/2024/05/NewProvidenceJune2024.pdf" TargetMode="External"/><Relationship Id="rId908" Type="http://schemas.openxmlformats.org/officeDocument/2006/relationships/hyperlink" Target="https://rennamedia.com/wp-content/uploads/2024/06/NewProvidenceJuly2024.pdf" TargetMode="External"/><Relationship Id="rId909" Type="http://schemas.openxmlformats.org/officeDocument/2006/relationships/hyperlink" Target="https://rennamedia.com/wp-content/uploads/2024/07/NewProvidenceAugust2024.pdf" TargetMode="External"/><Relationship Id="rId910" Type="http://schemas.openxmlformats.org/officeDocument/2006/relationships/hyperlink" Target="https://rennamedia.com/wp-content/uploads/2024/08/NewProvidenceSeptember2024.pdf" TargetMode="External"/><Relationship Id="rId911" Type="http://schemas.openxmlformats.org/officeDocument/2006/relationships/hyperlink" Target="https://rennamedia.com/wp-content/uploads/2024/09/NewProvidenceOctober2024.pdf" TargetMode="External"/><Relationship Id="rId912" Type="http://schemas.openxmlformats.org/officeDocument/2006/relationships/hyperlink" Target="https://rennamedia.com/wp-content/uploads/2024/10/NewProvidenceNovember2024.pdf" TargetMode="External"/><Relationship Id="rId913" Type="http://schemas.openxmlformats.org/officeDocument/2006/relationships/hyperlink" Target="https://rennamedia.com/wp-content/uploads/2024/11/NewProvidenceDecember2024.pdf" TargetMode="External"/><Relationship Id="rId914" Type="http://schemas.openxmlformats.org/officeDocument/2006/relationships/hyperlink" Target="https://rennamedia.com/wp-content/uploads/2024/12/NewProvidenceJanuary2025.pdf" TargetMode="External"/><Relationship Id="rId915" Type="http://schemas.openxmlformats.org/officeDocument/2006/relationships/hyperlink" Target="https://rennamedia.com/wp-content/uploads/2025/02/NewProvidenceFebruary2025.pdf" TargetMode="External"/><Relationship Id="rId916" Type="http://schemas.openxmlformats.org/officeDocument/2006/relationships/hyperlink" Target="https://rennamedia.com/wp-content/uploads/2025/02/NewProvidenceMarch2025.pdf" TargetMode="External"/><Relationship Id="rId917" Type="http://schemas.openxmlformats.org/officeDocument/2006/relationships/hyperlink" Target="https://rennamedia.com/wp-content/uploads/2025/03/NewProvidenceApril2025.pdf" TargetMode="External"/><Relationship Id="rId918" Type="http://schemas.openxmlformats.org/officeDocument/2006/relationships/hyperlink" Target="https://rennamedia.com/wp-content/uploads/2025/04/NewProvidenceMay2025.pdf" TargetMode="External"/><Relationship Id="rId919" Type="http://schemas.openxmlformats.org/officeDocument/2006/relationships/hyperlink" Target="https://rennamedia.com/wp-content/uploads/2025/05/NewProvidenceJune2025.pdf" TargetMode="External"/><Relationship Id="rId920" Type="http://schemas.openxmlformats.org/officeDocument/2006/relationships/hyperlink" Target="https://rennamedia.com/wp-content/uploads/2025/06/NewProvidenceJuly2025.pdf" TargetMode="External"/><Relationship Id="rId921" Type="http://schemas.openxmlformats.org/officeDocument/2006/relationships/hyperlink" Target="https://rennamedia.com/wp-content/uploads/2025/07/NewProvidenceAugust2025.pdf" TargetMode="External"/><Relationship Id="rId922" Type="http://schemas.openxmlformats.org/officeDocument/2006/relationships/hyperlink" Target="https://rennamedia.com/wp-content/uploads/2025/08/NewProvidenceSeptember2025.pdf" TargetMode="External"/><Relationship Id="rId923" Type="http://schemas.openxmlformats.org/officeDocument/2006/relationships/hyperlink" Target="https://rennamedia.com/wp-content/uploads/2025/09/NewProvidenceOctober2025.pdf" TargetMode="External"/><Relationship Id="rId924" Type="http://schemas.openxmlformats.org/officeDocument/2006/relationships/hyperlink" Target="https://rennamedia.com/wp-content/uploads/2025/10/NewProvidenceNovember2025.pdf" TargetMode="External"/><Relationship Id="rId925" Type="http://schemas.openxmlformats.org/officeDocument/2006/relationships/hyperlink" Target="https://rennamedia.com/wp-content/uploads/2025/11/NewProvidenceDecember2025.pdf" TargetMode="External"/><Relationship Id="rId926" Type="http://schemas.openxmlformats.org/officeDocument/2006/relationships/hyperlink" Target="https://rennamedia.com/wp-content/uploads/2025/12/NewProvidenceJanuary2026.pdf" TargetMode="External"/><Relationship Id="rId927" Type="http://schemas.openxmlformats.org/officeDocument/2006/relationships/hyperlink" Target="https://rennamedia.com/wp-content/uploads/2026/01/NewProvidenceFebruary2026.pdf" TargetMode="External"/><Relationship Id="rId928" Type="http://schemas.openxmlformats.org/officeDocument/2006/relationships/hyperlink" Target="https://rennamedia.com/wp-content/uploads/2026/02/NewProvidenceMarch2026.pdf" TargetMode="External"/><Relationship Id="rId929" Type="http://schemas.openxmlformats.org/officeDocument/2006/relationships/hyperlink" Target="https://rennamedia.com/wp-content/uploads/2026/03/NewProvidenceApril2026.pdf" TargetMode="External"/><Relationship Id="rId930" Type="http://schemas.openxmlformats.org/officeDocument/2006/relationships/hyperlink" Target="https://rennamedia.com/wp-content/uploads/2026/04/NewProvidenceMay2026.pdf" TargetMode="External"/><Relationship Id="rId931" Type="http://schemas.openxmlformats.org/officeDocument/2006/relationships/hyperlink" Target="https://rennamedia.com/wp-content/uploads/2021/12/RahwayJanuary2022.pdf" TargetMode="External"/><Relationship Id="rId932" Type="http://schemas.openxmlformats.org/officeDocument/2006/relationships/hyperlink" Target="https://rennamedia.com/wp-content/uploads/2022/01/RahwayFebruary2022.pdf" TargetMode="External"/><Relationship Id="rId933" Type="http://schemas.openxmlformats.org/officeDocument/2006/relationships/hyperlink" Target="https://rennamedia.com/wp-content/uploads/2022/02/RahwayMarch2022.pdf" TargetMode="External"/><Relationship Id="rId934" Type="http://schemas.openxmlformats.org/officeDocument/2006/relationships/hyperlink" Target="https://rennamedia.com/wp-content/uploads/2022/03/RahwayApril2022.pdf" TargetMode="External"/><Relationship Id="rId935" Type="http://schemas.openxmlformats.org/officeDocument/2006/relationships/hyperlink" Target="https://rennamedia.com/wp-content/uploads/2022/04/RahwayMay2022.pdf" TargetMode="External"/><Relationship Id="rId936" Type="http://schemas.openxmlformats.org/officeDocument/2006/relationships/hyperlink" Target="https://rennamedia.com/wp-content/uploads/2022/05/RahwayJune2022.pdf" TargetMode="External"/><Relationship Id="rId937" Type="http://schemas.openxmlformats.org/officeDocument/2006/relationships/hyperlink" Target="https://rennamedia.com/wp-content/uploads/2022/06/RahwayJuly2022.pdf" TargetMode="External"/><Relationship Id="rId938" Type="http://schemas.openxmlformats.org/officeDocument/2006/relationships/hyperlink" Target="https://rennamedia.com/wp-content/uploads/2022/07/RahwayAugust2022.pdf" TargetMode="External"/><Relationship Id="rId939" Type="http://schemas.openxmlformats.org/officeDocument/2006/relationships/hyperlink" Target="https://rennamedia.com/wp-content/uploads/2022/09/RahwaySeptember2022.pdf" TargetMode="External"/><Relationship Id="rId940" Type="http://schemas.openxmlformats.org/officeDocument/2006/relationships/hyperlink" Target="https://rennamedia.com/wp-content/uploads/2022/10/RahwayOctober2022.pdf" TargetMode="External"/><Relationship Id="rId941" Type="http://schemas.openxmlformats.org/officeDocument/2006/relationships/hyperlink" Target="https://rennamedia.com/wp-content/uploads/2022/11/RahwayNovember2022.pdf" TargetMode="External"/><Relationship Id="rId942" Type="http://schemas.openxmlformats.org/officeDocument/2006/relationships/hyperlink" Target="https://rennamedia.com/wp-content/uploads/2022/11/RahwayDecember2022.pdf" TargetMode="External"/><Relationship Id="rId943" Type="http://schemas.openxmlformats.org/officeDocument/2006/relationships/hyperlink" Target="https://rennamedia.com/wp-content/uploads/2022/12/RahwayJanuary2023.pdf" TargetMode="External"/><Relationship Id="rId944" Type="http://schemas.openxmlformats.org/officeDocument/2006/relationships/hyperlink" Target="https://rennamedia.com/wp-content/uploads/2023/01/RahwayFebruary2023.pdf" TargetMode="External"/><Relationship Id="rId945" Type="http://schemas.openxmlformats.org/officeDocument/2006/relationships/hyperlink" Target="https://rennamedia.com/wp-content/uploads/2023/02/RahwayMarch2023.pdf" TargetMode="External"/><Relationship Id="rId946" Type="http://schemas.openxmlformats.org/officeDocument/2006/relationships/hyperlink" Target="https://rennamedia.com/wp-content/uploads/2023/03/RahwayApril2023.pdf" TargetMode="External"/><Relationship Id="rId947" Type="http://schemas.openxmlformats.org/officeDocument/2006/relationships/hyperlink" Target="https://rennamedia.com/wp-content/uploads/2023/04/RahwayMay2023.pdf" TargetMode="External"/><Relationship Id="rId948" Type="http://schemas.openxmlformats.org/officeDocument/2006/relationships/hyperlink" Target="https://rennamedia.com/wp-content/uploads/2023/05/RahwayJune2023.pdf" TargetMode="External"/><Relationship Id="rId949" Type="http://schemas.openxmlformats.org/officeDocument/2006/relationships/hyperlink" Target="https://rennamedia.com/wp-content/uploads/2023/06/RahwayJuly2023.pdf" TargetMode="External"/><Relationship Id="rId950" Type="http://schemas.openxmlformats.org/officeDocument/2006/relationships/hyperlink" Target="https://rennamedia.com/wp-content/uploads/2023/07/RahwayAug2023.pdf" TargetMode="External"/><Relationship Id="rId951" Type="http://schemas.openxmlformats.org/officeDocument/2006/relationships/hyperlink" Target="https://rennamedia.com/wp-content/uploads/2023/08/RahwaySep2023.pdf" TargetMode="External"/><Relationship Id="rId952" Type="http://schemas.openxmlformats.org/officeDocument/2006/relationships/hyperlink" Target="https://rennamedia.com/wp-content/uploads/2023/09/RahwayOct2023.pdf" TargetMode="External"/><Relationship Id="rId953" Type="http://schemas.openxmlformats.org/officeDocument/2006/relationships/hyperlink" Target="https://rennamedia.com/wp-content/uploads/2023/10/RahwayNov2023.pdf" TargetMode="External"/><Relationship Id="rId954" Type="http://schemas.openxmlformats.org/officeDocument/2006/relationships/hyperlink" Target="https://rennamedia.com/wp-content/uploads/2023/11/RahwayDec2023.pdf" TargetMode="External"/><Relationship Id="rId955" Type="http://schemas.openxmlformats.org/officeDocument/2006/relationships/hyperlink" Target="https://rennamedia.com/wp-content/uploads/2023/12/RahwayJan2024.pdf" TargetMode="External"/><Relationship Id="rId956" Type="http://schemas.openxmlformats.org/officeDocument/2006/relationships/hyperlink" Target="https://rennamedia.com/wp-content/uploads/2024/02/RahwayFeb2024.pdf" TargetMode="External"/><Relationship Id="rId957" Type="http://schemas.openxmlformats.org/officeDocument/2006/relationships/hyperlink" Target="https://rennamedia.com/wp-content/uploads/2024/02/RahwayMar2024.pdf" TargetMode="External"/><Relationship Id="rId958" Type="http://schemas.openxmlformats.org/officeDocument/2006/relationships/hyperlink" Target="https://rennamedia.com/wp-content/uploads/2024/03/RahwayApr2024.pdf" TargetMode="External"/><Relationship Id="rId959" Type="http://schemas.openxmlformats.org/officeDocument/2006/relationships/hyperlink" Target="https://rennamedia.com/wp-content/uploads/2024/04/RahwayMay2024.pdf" TargetMode="External"/><Relationship Id="rId960" Type="http://schemas.openxmlformats.org/officeDocument/2006/relationships/hyperlink" Target="https://rennamedia.com/wp-content/uploads/2024/05/RahwayJune2024.pdf" TargetMode="External"/><Relationship Id="rId961" Type="http://schemas.openxmlformats.org/officeDocument/2006/relationships/hyperlink" Target="https://rennamedia.com/wp-content/uploads/2024/06/RahwayJuly2024.pdf" TargetMode="External"/><Relationship Id="rId962" Type="http://schemas.openxmlformats.org/officeDocument/2006/relationships/hyperlink" Target="https://rennamedia.com/wp-content/uploads/2024/07/RahwayAugust2024.pdf" TargetMode="External"/><Relationship Id="rId963" Type="http://schemas.openxmlformats.org/officeDocument/2006/relationships/hyperlink" Target="https://rennamedia.com/wp-content/uploads/2024/08/RahwaySeptember2024.pdf" TargetMode="External"/><Relationship Id="rId964" Type="http://schemas.openxmlformats.org/officeDocument/2006/relationships/hyperlink" Target="https://rennamedia.com/wp-content/uploads/2024/09/RahwayOctober2024.pdf" TargetMode="External"/><Relationship Id="rId965" Type="http://schemas.openxmlformats.org/officeDocument/2006/relationships/hyperlink" Target="https://rennamedia.com/wp-content/uploads/2024/10/RahwayNovember2024.pdf" TargetMode="External"/><Relationship Id="rId966" Type="http://schemas.openxmlformats.org/officeDocument/2006/relationships/hyperlink" Target="https://rennamedia.com/wp-content/uploads/2024/11/RahwayDecember2024.pdf" TargetMode="External"/><Relationship Id="rId967" Type="http://schemas.openxmlformats.org/officeDocument/2006/relationships/hyperlink" Target="https://rennamedia.com/wp-content/uploads/2024/12/RahwayJanuary2025.pdf" TargetMode="External"/><Relationship Id="rId968" Type="http://schemas.openxmlformats.org/officeDocument/2006/relationships/hyperlink" Target="https://rennamedia.com/wp-content/uploads/2025/02/RahwayFebruary2025.pdf" TargetMode="External"/><Relationship Id="rId969" Type="http://schemas.openxmlformats.org/officeDocument/2006/relationships/hyperlink" Target="https://rennamedia.com/wp-content/uploads/2025/02/RahwayMarch2025.pdf" TargetMode="External"/><Relationship Id="rId970" Type="http://schemas.openxmlformats.org/officeDocument/2006/relationships/hyperlink" Target="https://rennamedia.com/wp-content/uploads/2025/03/RahwayApril202.pdf" TargetMode="External"/><Relationship Id="rId971" Type="http://schemas.openxmlformats.org/officeDocument/2006/relationships/hyperlink" Target="https://rennamedia.com/wp-content/uploads/2025/04/RahwayMay2025.pdf" TargetMode="External"/><Relationship Id="rId972" Type="http://schemas.openxmlformats.org/officeDocument/2006/relationships/hyperlink" Target="https://rennamedia.com/wp-content/uploads/2025/05/RahwayJune2025.pdf" TargetMode="External"/><Relationship Id="rId973" Type="http://schemas.openxmlformats.org/officeDocument/2006/relationships/hyperlink" Target="https://rennamedia.com/wp-content/uploads/2025/06/RahwayJuly2025.pdf" TargetMode="External"/><Relationship Id="rId974" Type="http://schemas.openxmlformats.org/officeDocument/2006/relationships/hyperlink" Target="https://rennamedia.com/wp-content/uploads/2025/07/RahwayAugust2025.pdf" TargetMode="External"/><Relationship Id="rId975" Type="http://schemas.openxmlformats.org/officeDocument/2006/relationships/hyperlink" Target="https://rennamedia.com/wp-content/uploads/2025/08/RahwaySeptember2025.pdf" TargetMode="External"/><Relationship Id="rId976" Type="http://schemas.openxmlformats.org/officeDocument/2006/relationships/hyperlink" Target="https://rennamedia.com/wp-content/uploads/2025/09/RahwayOctober2025.pdf" TargetMode="External"/><Relationship Id="rId977" Type="http://schemas.openxmlformats.org/officeDocument/2006/relationships/hyperlink" Target="https://rennamedia.com/wp-content/uploads/2025/10/RahwayNovember2025.pdf" TargetMode="External"/><Relationship Id="rId978" Type="http://schemas.openxmlformats.org/officeDocument/2006/relationships/hyperlink" Target="https://rennamedia.com/wp-content/uploads/2025/11/RahwayDecember2025.pdf" TargetMode="External"/><Relationship Id="rId979" Type="http://schemas.openxmlformats.org/officeDocument/2006/relationships/hyperlink" Target="https://rennamedia.com/wp-content/uploads/2025/12/RahwayJanuary2026.pdf" TargetMode="External"/><Relationship Id="rId980" Type="http://schemas.openxmlformats.org/officeDocument/2006/relationships/hyperlink" Target="https://rennamedia.com/wp-content/uploads/2026/01/RahwayFebruary2026.pdf" TargetMode="External"/><Relationship Id="rId981" Type="http://schemas.openxmlformats.org/officeDocument/2006/relationships/hyperlink" Target="https://rennamedia.com/wp-content/uploads/2026/02/RahwayMarch2026.pdf" TargetMode="External"/><Relationship Id="rId982" Type="http://schemas.openxmlformats.org/officeDocument/2006/relationships/hyperlink" Target="https://rennamedia.com/wp-content/uploads/2026/03/RahwayApril2026.pdf" TargetMode="External"/><Relationship Id="rId983" Type="http://schemas.openxmlformats.org/officeDocument/2006/relationships/hyperlink" Target="https://rennamedia.com/wp-content/uploads/2026/04/RahwayMay2026.pdf" TargetMode="External"/><Relationship Id="rId984" Type="http://schemas.openxmlformats.org/officeDocument/2006/relationships/hyperlink" Target="https://rennamedia.com/wp-content/uploads/2024/11/LifeInRoselandDecember2024.pdf" TargetMode="External"/><Relationship Id="rId985" Type="http://schemas.openxmlformats.org/officeDocument/2006/relationships/hyperlink" Target="https://rennamedia.com/wp-content/uploads/2024/12/LifeInRoselandJanuary2025.pdf" TargetMode="External"/><Relationship Id="rId986" Type="http://schemas.openxmlformats.org/officeDocument/2006/relationships/hyperlink" Target="https://rennamedia.com/wp-content/uploads/2025/02/LifeInRoselandFebruary2025.pdf" TargetMode="External"/><Relationship Id="rId987" Type="http://schemas.openxmlformats.org/officeDocument/2006/relationships/hyperlink" Target="https://rennamedia.com/wp-content/uploads/2025/02/LifeInRoselandMarch2025.pdf" TargetMode="External"/><Relationship Id="rId988" Type="http://schemas.openxmlformats.org/officeDocument/2006/relationships/hyperlink" Target="https://rennamedia.com/wp-content/uploads/2025/03/LifeInRoselandApril2025.pdf" TargetMode="External"/><Relationship Id="rId989" Type="http://schemas.openxmlformats.org/officeDocument/2006/relationships/hyperlink" Target="https://rennamedia.com/wp-content/uploads/2025/04/LifeInRoselandMay2025.pdf" TargetMode="External"/><Relationship Id="rId990" Type="http://schemas.openxmlformats.org/officeDocument/2006/relationships/hyperlink" Target="https://rennamedia.com/wp-content/uploads/2025/05/LifeInRoselandJune2025.pdf" TargetMode="External"/><Relationship Id="rId991" Type="http://schemas.openxmlformats.org/officeDocument/2006/relationships/hyperlink" Target="https://rennamedia.com/wp-content/uploads/2025/06/LifeInRoselandJuly2025.pdf" TargetMode="External"/><Relationship Id="rId992" Type="http://schemas.openxmlformats.org/officeDocument/2006/relationships/hyperlink" Target="https://rennamedia.com/wp-content/uploads/2025/07/LifeInRoselandAugust2025.pdf" TargetMode="External"/><Relationship Id="rId993" Type="http://schemas.openxmlformats.org/officeDocument/2006/relationships/hyperlink" Target="https://rennamedia.com/wp-content/uploads/2025/08/LifeInRoselandSeptember2025.pdf" TargetMode="External"/><Relationship Id="rId994" Type="http://schemas.openxmlformats.org/officeDocument/2006/relationships/hyperlink" Target="https://rennamedia.com/wp-content/uploads/2025/09/LifeInRoselandOctober2025.pdf" TargetMode="External"/><Relationship Id="rId995" Type="http://schemas.openxmlformats.org/officeDocument/2006/relationships/hyperlink" Target="https://rennamedia.com/wp-content/uploads/2025/10/LifeInRoselandNovember2025.pdf" TargetMode="External"/><Relationship Id="rId996" Type="http://schemas.openxmlformats.org/officeDocument/2006/relationships/hyperlink" Target="https://rennamedia.com/wp-content/uploads/2025/11/LifeInRoselandDecember2025.pdf" TargetMode="External"/><Relationship Id="rId997" Type="http://schemas.openxmlformats.org/officeDocument/2006/relationships/hyperlink" Target="https://rennamedia.com/wp-content/uploads/2025/12/LifeInRoselandJanuary2026.pdf" TargetMode="External"/><Relationship Id="rId998" Type="http://schemas.openxmlformats.org/officeDocument/2006/relationships/hyperlink" Target="https://rennamedia.com/wp-content/uploads/2026/01/LifeInRoselandFebruary2026.pdf" TargetMode="External"/><Relationship Id="rId999" Type="http://schemas.openxmlformats.org/officeDocument/2006/relationships/hyperlink" Target="https://rennamedia.com/wp-content/uploads/2026/02/LifeInRoselandMarch2026.pdf" TargetMode="External"/><Relationship Id="rId1000" Type="http://schemas.openxmlformats.org/officeDocument/2006/relationships/hyperlink" Target="https://rennamedia.com/wp-content/uploads/2026/03/LifeInRoselandApril2026.pdf" TargetMode="External"/><Relationship Id="rId1001" Type="http://schemas.openxmlformats.org/officeDocument/2006/relationships/hyperlink" Target="https://rennamedia.com/wp-content/uploads/2026/04/LifeInRoselandMay2026.pdf" TargetMode="External"/><Relationship Id="rId1002" Type="http://schemas.openxmlformats.org/officeDocument/2006/relationships/hyperlink" Target="https://rennamedia.com/wp-content/uploads/2021/12/RoselleParkJanuary2022.pdf" TargetMode="External"/><Relationship Id="rId1003" Type="http://schemas.openxmlformats.org/officeDocument/2006/relationships/hyperlink" Target="https://rennamedia.com/wp-content/uploads/2022/01/RoselleParkFebruary2022.pdf" TargetMode="External"/><Relationship Id="rId1004" Type="http://schemas.openxmlformats.org/officeDocument/2006/relationships/hyperlink" Target="https://rennamedia.com/wp-content/uploads/2022/02/RoselleParkMarch2022.pdf" TargetMode="External"/><Relationship Id="rId1005" Type="http://schemas.openxmlformats.org/officeDocument/2006/relationships/hyperlink" Target="https://rennamedia.com/wp-content/uploads/2022/03/RoselleParkApril2022.pdf" TargetMode="External"/><Relationship Id="rId1006" Type="http://schemas.openxmlformats.org/officeDocument/2006/relationships/hyperlink" Target="https://rennamedia.com/wp-content/uploads/2022/04/RoselleParkMay2022.pdf" TargetMode="External"/><Relationship Id="rId1007" Type="http://schemas.openxmlformats.org/officeDocument/2006/relationships/hyperlink" Target="https://rennamedia.com/wp-content/uploads/2022/05/RoselleParkJune2022.pdf" TargetMode="External"/><Relationship Id="rId1008" Type="http://schemas.openxmlformats.org/officeDocument/2006/relationships/hyperlink" Target="https://rennamedia.com/wp-content/uploads/2022/06/RoselleParkJuly2022.pdf" TargetMode="External"/><Relationship Id="rId1009" Type="http://schemas.openxmlformats.org/officeDocument/2006/relationships/hyperlink" Target="https://rennamedia.com/wp-content/uploads/2022/07/RoselleParkAugust2022.pdf" TargetMode="External"/><Relationship Id="rId1010" Type="http://schemas.openxmlformats.org/officeDocument/2006/relationships/hyperlink" Target="https://rennamedia.com/wp-content/uploads/2022/09/RoselleParkSeptember2022.pdf" TargetMode="External"/><Relationship Id="rId1011" Type="http://schemas.openxmlformats.org/officeDocument/2006/relationships/hyperlink" Target="https://rennamedia.com/wp-content/uploads/2022/10/RoselleParkOctober2022.pdf" TargetMode="External"/><Relationship Id="rId1012" Type="http://schemas.openxmlformats.org/officeDocument/2006/relationships/hyperlink" Target="https://rennamedia.com/wp-content/uploads/2022/11/RoselleParkNovember2022.pdf" TargetMode="External"/><Relationship Id="rId1013" Type="http://schemas.openxmlformats.org/officeDocument/2006/relationships/hyperlink" Target="https://rennamedia.com/wp-content/uploads/2022/11/RoselleParkDecember2022.pdf" TargetMode="External"/><Relationship Id="rId1014" Type="http://schemas.openxmlformats.org/officeDocument/2006/relationships/hyperlink" Target="https://rennamedia.com/wp-content/uploads/2022/12/RoselleParkJanuary2023.pdf" TargetMode="External"/><Relationship Id="rId1015" Type="http://schemas.openxmlformats.org/officeDocument/2006/relationships/hyperlink" Target="https://rennamedia.com/wp-content/uploads/2023/01/RoselleParkFebruary2023.pdf" TargetMode="External"/><Relationship Id="rId1016" Type="http://schemas.openxmlformats.org/officeDocument/2006/relationships/hyperlink" Target="https://rennamedia.com/wp-content/uploads/2023/02/RoselleParkMarch2023.pdf" TargetMode="External"/><Relationship Id="rId1017" Type="http://schemas.openxmlformats.org/officeDocument/2006/relationships/hyperlink" Target="https://rennamedia.com/wp-content/uploads/2023/03/RoselleParkApril2023.pdf" TargetMode="External"/><Relationship Id="rId1018" Type="http://schemas.openxmlformats.org/officeDocument/2006/relationships/hyperlink" Target="https://rennamedia.com/wp-content/uploads/2023/04/RoselleParkMay2023.pdf" TargetMode="External"/><Relationship Id="rId1019" Type="http://schemas.openxmlformats.org/officeDocument/2006/relationships/hyperlink" Target="https://rennamedia.com/wp-content/uploads/2023/05/RoselleParkJune2023.pdf" TargetMode="External"/><Relationship Id="rId1020" Type="http://schemas.openxmlformats.org/officeDocument/2006/relationships/hyperlink" Target="https://rennamedia.com/wp-content/uploads/2023/06/RoselleParkJuly2023.pdf" TargetMode="External"/><Relationship Id="rId1021" Type="http://schemas.openxmlformats.org/officeDocument/2006/relationships/hyperlink" Target="https://rennamedia.com/wp-content/uploads/2023/07/RoselleParkAug2023.pdf" TargetMode="External"/><Relationship Id="rId1022" Type="http://schemas.openxmlformats.org/officeDocument/2006/relationships/hyperlink" Target="https://rennamedia.com/wp-content/uploads/2023/08/RoselleParkSep2023.pdf" TargetMode="External"/><Relationship Id="rId1023" Type="http://schemas.openxmlformats.org/officeDocument/2006/relationships/hyperlink" Target="https://rennamedia.com/wp-content/uploads/2023/09/RoselleParkOct2023.pdf" TargetMode="External"/><Relationship Id="rId1024" Type="http://schemas.openxmlformats.org/officeDocument/2006/relationships/hyperlink" Target="https://rennamedia.com/wp-content/uploads/2023/10/RoselleParkNov2023.pdf" TargetMode="External"/><Relationship Id="rId1025" Type="http://schemas.openxmlformats.org/officeDocument/2006/relationships/hyperlink" Target="https://rennamedia.com/wp-content/uploads/2023/11/RoselleParkDec2023.pdf" TargetMode="External"/><Relationship Id="rId1026" Type="http://schemas.openxmlformats.org/officeDocument/2006/relationships/hyperlink" Target="https://rennamedia.com/wp-content/uploads/2023/12/RoselleParkJan2024.pdf" TargetMode="External"/><Relationship Id="rId1027" Type="http://schemas.openxmlformats.org/officeDocument/2006/relationships/hyperlink" Target="https://rennamedia.com/wp-content/uploads/2024/01/RoselleParkFeb2024.pdf" TargetMode="External"/><Relationship Id="rId1028" Type="http://schemas.openxmlformats.org/officeDocument/2006/relationships/hyperlink" Target="https://rennamedia.com/wp-content/uploads/2024/02/RoselleParkMar2024.pdf" TargetMode="External"/><Relationship Id="rId1029" Type="http://schemas.openxmlformats.org/officeDocument/2006/relationships/hyperlink" Target="https://rennamedia.com/wp-content/uploads/2024/03/RoselleParkApr2024.pdf" TargetMode="External"/><Relationship Id="rId1030" Type="http://schemas.openxmlformats.org/officeDocument/2006/relationships/hyperlink" Target="https://rennamedia.com/wp-content/uploads/2024/04/RoselleParkMay2024.pdf" TargetMode="External"/><Relationship Id="rId1031" Type="http://schemas.openxmlformats.org/officeDocument/2006/relationships/hyperlink" Target="https://rennamedia.com/wp-content/uploads/2024/05/RoselleParkJune2024.pdf" TargetMode="External"/><Relationship Id="rId1032" Type="http://schemas.openxmlformats.org/officeDocument/2006/relationships/hyperlink" Target="https://rennamedia.com/wp-content/uploads/2024/06/RoselleParkJuly2024.pdf" TargetMode="External"/><Relationship Id="rId1033" Type="http://schemas.openxmlformats.org/officeDocument/2006/relationships/hyperlink" Target="https://rennamedia.com/wp-content/uploads/2024/07/RoselleParkAugust2024.pdf" TargetMode="External"/><Relationship Id="rId1034" Type="http://schemas.openxmlformats.org/officeDocument/2006/relationships/hyperlink" Target="https://rennamedia.com/wp-content/uploads/2024/08/RoselleParkSeptember2024.pdf" TargetMode="External"/><Relationship Id="rId1035" Type="http://schemas.openxmlformats.org/officeDocument/2006/relationships/hyperlink" Target="https://rennamedia.com/wp-content/uploads/2024/09/RoselleParkOctober2024.pdf" TargetMode="External"/><Relationship Id="rId1036" Type="http://schemas.openxmlformats.org/officeDocument/2006/relationships/hyperlink" Target="https://rennamedia.com/wp-content/uploads/2024/10/RoselleParkNovember2024.pdf" TargetMode="External"/><Relationship Id="rId1037" Type="http://schemas.openxmlformats.org/officeDocument/2006/relationships/hyperlink" Target="https://rennamedia.com/wp-content/uploads/2024/11/RoselleParkDecember2024.pdf" TargetMode="External"/><Relationship Id="rId1038" Type="http://schemas.openxmlformats.org/officeDocument/2006/relationships/hyperlink" Target="https://rennamedia.com/wp-content/uploads/2024/12/RoselleParkJanuary2025.pdf" TargetMode="External"/><Relationship Id="rId1039" Type="http://schemas.openxmlformats.org/officeDocument/2006/relationships/hyperlink" Target="https://rennamedia.com/wp-content/uploads/2025/02/RoselleParkFebruary2025.pdf" TargetMode="External"/><Relationship Id="rId1040" Type="http://schemas.openxmlformats.org/officeDocument/2006/relationships/hyperlink" Target="https://rennamedia.com/wp-content/uploads/2025/02/RoselleParkMarch2025.pdf" TargetMode="External"/><Relationship Id="rId1041" Type="http://schemas.openxmlformats.org/officeDocument/2006/relationships/hyperlink" Target="https://rennamedia.com/wp-content/uploads/2025/03/RoselleParkApril2025.pdf" TargetMode="External"/><Relationship Id="rId1042" Type="http://schemas.openxmlformats.org/officeDocument/2006/relationships/hyperlink" Target="https://rennamedia.com/wp-content/uploads/2025/04/RoselleParkMay2025.pdf" TargetMode="External"/><Relationship Id="rId1043" Type="http://schemas.openxmlformats.org/officeDocument/2006/relationships/hyperlink" Target="https://rennamedia.com/wp-content/uploads/2025/05/RoselleParkJune2025.pdf" TargetMode="External"/><Relationship Id="rId1044" Type="http://schemas.openxmlformats.org/officeDocument/2006/relationships/hyperlink" Target="https://rennamedia.com/wp-content/uploads/2025/06/RoselleParkJuly2025.pdf" TargetMode="External"/><Relationship Id="rId1045" Type="http://schemas.openxmlformats.org/officeDocument/2006/relationships/hyperlink" Target="https://rennamedia.com/wp-content/uploads/2025/07/RoselleParkAugust2025.pdf" TargetMode="External"/><Relationship Id="rId1046" Type="http://schemas.openxmlformats.org/officeDocument/2006/relationships/hyperlink" Target="https://rennamedia.com/wp-content/uploads/2025/08/RoselleParkSeptember2025.pdf" TargetMode="External"/><Relationship Id="rId1047" Type="http://schemas.openxmlformats.org/officeDocument/2006/relationships/hyperlink" Target="https://rennamedia.com/wp-content/uploads/2025/09/RoselleParkOctober2025.pdf" TargetMode="External"/><Relationship Id="rId1048" Type="http://schemas.openxmlformats.org/officeDocument/2006/relationships/hyperlink" Target="https://rennamedia.com/wp-content/uploads/2025/10/RoselleParkNovember2025.pdf" TargetMode="External"/><Relationship Id="rId1049" Type="http://schemas.openxmlformats.org/officeDocument/2006/relationships/hyperlink" Target="https://rennamedia.com/wp-content/uploads/2025/11/RoselleParkDecember2025.pdf" TargetMode="External"/><Relationship Id="rId1050" Type="http://schemas.openxmlformats.org/officeDocument/2006/relationships/hyperlink" Target="https://rennamedia.com/wp-content/uploads/2025/12/RoselleParkJanuary2026.pdf" TargetMode="External"/><Relationship Id="rId1051" Type="http://schemas.openxmlformats.org/officeDocument/2006/relationships/hyperlink" Target="https://rennamedia.com/wp-content/uploads/2026/01/RoselleParkFebruary2026.pdf" TargetMode="External"/><Relationship Id="rId1052" Type="http://schemas.openxmlformats.org/officeDocument/2006/relationships/hyperlink" Target="https://rennamedia.com/wp-content/uploads/2026/02/RoselleParkMarch2026.pdf" TargetMode="External"/><Relationship Id="rId1053" Type="http://schemas.openxmlformats.org/officeDocument/2006/relationships/hyperlink" Target="https://rennamedia.com/wp-content/uploads/2026/03/RoselleParkApril2026.pdf" TargetMode="External"/><Relationship Id="rId1054" Type="http://schemas.openxmlformats.org/officeDocument/2006/relationships/hyperlink" Target="https://rennamedia.com/wp-content/uploads/2026/04/RoselleParkMay2026.pdf" TargetMode="External"/><Relationship Id="rId1055" Type="http://schemas.openxmlformats.org/officeDocument/2006/relationships/hyperlink" Target="https://rennamedia.com/wp-content/uploads/2021/12/ScotchPlainsJanuary2022.pdf" TargetMode="External"/><Relationship Id="rId1056" Type="http://schemas.openxmlformats.org/officeDocument/2006/relationships/hyperlink" Target="https://rennamedia.com/wp-content/uploads/2022/01/ScotchPlainsFebruary2022.pdf" TargetMode="External"/><Relationship Id="rId1057" Type="http://schemas.openxmlformats.org/officeDocument/2006/relationships/hyperlink" Target="https://rennamedia.com/wp-content/uploads/2022/02/ScotchPlainsMarch2022.pdf" TargetMode="External"/><Relationship Id="rId1058" Type="http://schemas.openxmlformats.org/officeDocument/2006/relationships/hyperlink" Target="https://rennamedia.com/wp-content/uploads/2022/03/ScotchPlainsApril2022.pdf" TargetMode="External"/><Relationship Id="rId1059" Type="http://schemas.openxmlformats.org/officeDocument/2006/relationships/hyperlink" Target="https://rennamedia.com/wp-content/uploads/2022/04/ScotchPlainsMay2022.pdf" TargetMode="External"/><Relationship Id="rId1060" Type="http://schemas.openxmlformats.org/officeDocument/2006/relationships/hyperlink" Target="https://rennamedia.com/wp-content/uploads/2022/05/ScotchPlainsJune2022.pdf" TargetMode="External"/><Relationship Id="rId1061" Type="http://schemas.openxmlformats.org/officeDocument/2006/relationships/hyperlink" Target="https://rennamedia.com/wp-content/uploads/2022/06/ScotchPlainsJuly2022.pdf" TargetMode="External"/><Relationship Id="rId1062" Type="http://schemas.openxmlformats.org/officeDocument/2006/relationships/hyperlink" Target="https://rennamedia.com/wp-content/uploads/2022/07/ScotchPlainsAugust2022.pdf" TargetMode="External"/><Relationship Id="rId1063" Type="http://schemas.openxmlformats.org/officeDocument/2006/relationships/hyperlink" Target="https://rennamedia.com/wp-content/uploads/2022/09/ScotchPlainsSeptember2022.pdf" TargetMode="External"/><Relationship Id="rId1064" Type="http://schemas.openxmlformats.org/officeDocument/2006/relationships/hyperlink" Target="https://rennamedia.com/wp-content/uploads/2022/10/ScotchPlainsOctober2022.pdf" TargetMode="External"/><Relationship Id="rId1065" Type="http://schemas.openxmlformats.org/officeDocument/2006/relationships/hyperlink" Target="https://rennamedia.com/wp-content/uploads/2022/11/ScotchPlainsNovember2022.pdf" TargetMode="External"/><Relationship Id="rId1066" Type="http://schemas.openxmlformats.org/officeDocument/2006/relationships/hyperlink" Target="https://rennamedia.com/wp-content/uploads/2022/11/ScotchPlainsDecember2022.pdf" TargetMode="External"/><Relationship Id="rId1067" Type="http://schemas.openxmlformats.org/officeDocument/2006/relationships/hyperlink" Target="https://rennamedia.com/wp-content/uploads/2022/12/ScotchPlainsJanuary2023.pdf" TargetMode="External"/><Relationship Id="rId1068" Type="http://schemas.openxmlformats.org/officeDocument/2006/relationships/hyperlink" Target="https://rennamedia.com/wp-content/uploads/2023/01/ScotchPlainsFebruary2023.pdf" TargetMode="External"/><Relationship Id="rId1069" Type="http://schemas.openxmlformats.org/officeDocument/2006/relationships/hyperlink" Target="https://rennamedia.com/wp-content/uploads/2023/02/ScotchPlainsMarch2023.pdf" TargetMode="External"/><Relationship Id="rId1070" Type="http://schemas.openxmlformats.org/officeDocument/2006/relationships/hyperlink" Target="https://rennamedia.com/wp-content/uploads/2023/03/ScotchPlainsApril2023.pdf" TargetMode="External"/><Relationship Id="rId1071" Type="http://schemas.openxmlformats.org/officeDocument/2006/relationships/hyperlink" Target="https://rennamedia.com/wp-content/uploads/2023/04/ScotchPlainsMay2023.pdf" TargetMode="External"/><Relationship Id="rId1072" Type="http://schemas.openxmlformats.org/officeDocument/2006/relationships/hyperlink" Target="https://rennamedia.com/wp-content/uploads/2023/05/ScotchPlainsJune2023.pdf" TargetMode="External"/><Relationship Id="rId1073" Type="http://schemas.openxmlformats.org/officeDocument/2006/relationships/hyperlink" Target="https://rennamedia.com/wp-content/uploads/2023/06/ScotchPlainsJuly2023.pdf" TargetMode="External"/><Relationship Id="rId1074" Type="http://schemas.openxmlformats.org/officeDocument/2006/relationships/hyperlink" Target="https://rennamedia.com/wp-content/uploads/2023/07/ScotchPlainsAug2023.pdf" TargetMode="External"/><Relationship Id="rId1075" Type="http://schemas.openxmlformats.org/officeDocument/2006/relationships/hyperlink" Target="https://rennamedia.com/wp-content/uploads/2023/08/ScotchPlainsSep2023.pdf" TargetMode="External"/><Relationship Id="rId1076" Type="http://schemas.openxmlformats.org/officeDocument/2006/relationships/hyperlink" Target="https://rennamedia.com/wp-content/uploads/2023/09/ScotchPlainsOct2023.pdf" TargetMode="External"/><Relationship Id="rId1077" Type="http://schemas.openxmlformats.org/officeDocument/2006/relationships/hyperlink" Target="https://rennamedia.com/wp-content/uploads/2023/10/ScotchPlainsNov2023.pdf" TargetMode="External"/><Relationship Id="rId1078" Type="http://schemas.openxmlformats.org/officeDocument/2006/relationships/hyperlink" Target="https://rennamedia.com/wp-content/uploads/2023/11/ScotchPlainsDec2023.pdf" TargetMode="External"/><Relationship Id="rId1079" Type="http://schemas.openxmlformats.org/officeDocument/2006/relationships/hyperlink" Target="https://rennamedia.com/wp-content/uploads/2023/12/ScotchPlainsJan2024.pdf" TargetMode="External"/><Relationship Id="rId1080" Type="http://schemas.openxmlformats.org/officeDocument/2006/relationships/hyperlink" Target="https://rennamedia.com/wp-content/uploads/2024/01/ScotchPlainsFeb2024.pdf" TargetMode="External"/><Relationship Id="rId1081" Type="http://schemas.openxmlformats.org/officeDocument/2006/relationships/hyperlink" Target="https://rennamedia.com/wp-content/uploads/2024/02/ScotchPlainsMar2024.pdf" TargetMode="External"/><Relationship Id="rId1082" Type="http://schemas.openxmlformats.org/officeDocument/2006/relationships/hyperlink" Target="https://rennamedia.com/wp-content/uploads/2024/03/ScotchPlainsApr2024.pdf" TargetMode="External"/><Relationship Id="rId1083" Type="http://schemas.openxmlformats.org/officeDocument/2006/relationships/hyperlink" Target="https://rennamedia.com/wp-content/uploads/2024/04/ScotchPlainsMay2024.pdf" TargetMode="External"/><Relationship Id="rId1084" Type="http://schemas.openxmlformats.org/officeDocument/2006/relationships/hyperlink" Target="https://rennamedia.com/wp-content/uploads/2024/05/ScotchPlainsJune2024.pdf" TargetMode="External"/><Relationship Id="rId1085" Type="http://schemas.openxmlformats.org/officeDocument/2006/relationships/hyperlink" Target="https://rennamedia.com/wp-content/uploads/2024/06/ScotchPlainsJuly2024.pdf" TargetMode="External"/><Relationship Id="rId1086" Type="http://schemas.openxmlformats.org/officeDocument/2006/relationships/hyperlink" Target="https://rennamedia.com/wp-content/uploads/2024/07/ScotchPlainsAugust2024.pdf" TargetMode="External"/><Relationship Id="rId1087" Type="http://schemas.openxmlformats.org/officeDocument/2006/relationships/hyperlink" Target="https://rennamedia.com/wp-content/uploads/2024/08/ScotchPlainsSeptember2024.pdf" TargetMode="External"/><Relationship Id="rId1088" Type="http://schemas.openxmlformats.org/officeDocument/2006/relationships/hyperlink" Target="https://rennamedia.com/wp-content/uploads/2024/10/ScotchPlainsOctober2024x.pdf" TargetMode="External"/><Relationship Id="rId1089" Type="http://schemas.openxmlformats.org/officeDocument/2006/relationships/hyperlink" Target="https://rennamedia.com/wp-content/uploads/2024/10/ScotchPlainsNovember2024.pdf" TargetMode="External"/><Relationship Id="rId1090" Type="http://schemas.openxmlformats.org/officeDocument/2006/relationships/hyperlink" Target="https://rennamedia.com/wp-content/uploads/2024/11/ScotchPlainsDecember2024.pdf" TargetMode="External"/><Relationship Id="rId1091" Type="http://schemas.openxmlformats.org/officeDocument/2006/relationships/hyperlink" Target="https://rennamedia.com/wp-content/uploads/2024/12/ScotchPlainsJanuary2025.pdf" TargetMode="External"/><Relationship Id="rId1092" Type="http://schemas.openxmlformats.org/officeDocument/2006/relationships/hyperlink" Target="https://rennamedia.com/wp-content/uploads/2025/02/ScotchPlainsFebruary2025.pdf" TargetMode="External"/><Relationship Id="rId1093" Type="http://schemas.openxmlformats.org/officeDocument/2006/relationships/hyperlink" Target="https://rennamedia.com/wp-content/uploads/2025/02/ScotchPlainsMarch2025.pdf" TargetMode="External"/><Relationship Id="rId1094" Type="http://schemas.openxmlformats.org/officeDocument/2006/relationships/hyperlink" Target="https://rennamedia.com/wp-content/uploads/2025/03/ScotchPlainsApril2025.pdf" TargetMode="External"/><Relationship Id="rId1095" Type="http://schemas.openxmlformats.org/officeDocument/2006/relationships/hyperlink" Target="https://rennamedia.com/wp-content/uploads/2025/04/ScotchPlainsMay2025.pdf" TargetMode="External"/><Relationship Id="rId1096" Type="http://schemas.openxmlformats.org/officeDocument/2006/relationships/hyperlink" Target="https://rennamedia.com/wp-content/uploads/2025/05/ScotchPlainsJune2025.pdf" TargetMode="External"/><Relationship Id="rId1097" Type="http://schemas.openxmlformats.org/officeDocument/2006/relationships/hyperlink" Target="https://rennamedia.com/wp-content/uploads/2025/06/ScotchPlainsJuly2025.pdf" TargetMode="External"/><Relationship Id="rId1098" Type="http://schemas.openxmlformats.org/officeDocument/2006/relationships/hyperlink" Target="https://rennamedia.com/wp-content/uploads/2025/07/ScotchPlainsAugust2025.pdf" TargetMode="External"/><Relationship Id="rId1099" Type="http://schemas.openxmlformats.org/officeDocument/2006/relationships/hyperlink" Target="https://rennamedia.com/wp-content/uploads/2025/08/ScotchPlainsSeptember2025.pdf" TargetMode="External"/><Relationship Id="rId1100" Type="http://schemas.openxmlformats.org/officeDocument/2006/relationships/hyperlink" Target="https://rennamedia.com/wp-content/uploads/2025/09/ScotchPlainsOctober2025.pdf" TargetMode="External"/><Relationship Id="rId1101" Type="http://schemas.openxmlformats.org/officeDocument/2006/relationships/hyperlink" Target="https://rennamedia.com/wp-content/uploads/2025/10/ScotchPlainsNovember2025.pdf" TargetMode="External"/><Relationship Id="rId1102" Type="http://schemas.openxmlformats.org/officeDocument/2006/relationships/hyperlink" Target="https://rennamedia.com/wp-content/uploads/2025/11/ScotchPlainsDecember2025.pdf" TargetMode="External"/><Relationship Id="rId1103" Type="http://schemas.openxmlformats.org/officeDocument/2006/relationships/hyperlink" Target="https://rennamedia.com/wp-content/uploads/2025/12/ScotchPlainsJanuary2026.pdf" TargetMode="External"/><Relationship Id="rId1104" Type="http://schemas.openxmlformats.org/officeDocument/2006/relationships/hyperlink" Target="https://rennamedia.com/wp-content/uploads/2026/01/ScotchPlainsFebruary2026.pdf" TargetMode="External"/><Relationship Id="rId1105" Type="http://schemas.openxmlformats.org/officeDocument/2006/relationships/hyperlink" Target="https://rennamedia.com/wp-content/uploads/2026/02/ScotchPlainsMarch2026.pdf" TargetMode="External"/><Relationship Id="rId1106" Type="http://schemas.openxmlformats.org/officeDocument/2006/relationships/hyperlink" Target="https://rennamedia.com/wp-content/uploads/2026/03/ScotchPlainsApril2026.pdf" TargetMode="External"/><Relationship Id="rId1107" Type="http://schemas.openxmlformats.org/officeDocument/2006/relationships/hyperlink" Target="https://rennamedia.com/wp-content/uploads/2026/04/ScotchPlainsMay2026.pdf" TargetMode="External"/><Relationship Id="rId1108" Type="http://schemas.openxmlformats.org/officeDocument/2006/relationships/hyperlink" Target="https://rennamedia.com/wp-content/uploads/2021/12/UnionJanuary2022.pdf" TargetMode="External"/><Relationship Id="rId1109" Type="http://schemas.openxmlformats.org/officeDocument/2006/relationships/hyperlink" Target="https://rennamedia.com/wp-content/uploads/2022/01/UnionFebruary2022.pdf" TargetMode="External"/><Relationship Id="rId1110" Type="http://schemas.openxmlformats.org/officeDocument/2006/relationships/hyperlink" Target="https://rennamedia.com/wp-content/uploads/2022/02/UnionMarch2022.pdf" TargetMode="External"/><Relationship Id="rId1111" Type="http://schemas.openxmlformats.org/officeDocument/2006/relationships/hyperlink" Target="https://rennamedia.com/wp-content/uploads/2022/03/UnionApril2022.pdf" TargetMode="External"/><Relationship Id="rId1112" Type="http://schemas.openxmlformats.org/officeDocument/2006/relationships/hyperlink" Target="https://rennamedia.com/wp-content/uploads/2022/04/UnionMay2022.pdf" TargetMode="External"/><Relationship Id="rId1113" Type="http://schemas.openxmlformats.org/officeDocument/2006/relationships/hyperlink" Target="https://rennamedia.com/wp-content/uploads/2022/05/UnionJune2022.pdf" TargetMode="External"/><Relationship Id="rId1114" Type="http://schemas.openxmlformats.org/officeDocument/2006/relationships/hyperlink" Target="https://rennamedia.com/wp-content/uploads/2022/06/UnionJuly2022.pdf" TargetMode="External"/><Relationship Id="rId1115" Type="http://schemas.openxmlformats.org/officeDocument/2006/relationships/hyperlink" Target="https://rennamedia.com/wp-content/uploads/2022/07/UnionAugust2022.pdf" TargetMode="External"/><Relationship Id="rId1116" Type="http://schemas.openxmlformats.org/officeDocument/2006/relationships/hyperlink" Target="https://rennamedia.com/wp-content/uploads/2022/09/UnionSeptember2022.pdf" TargetMode="External"/><Relationship Id="rId1117" Type="http://schemas.openxmlformats.org/officeDocument/2006/relationships/hyperlink" Target="https://rennamedia.com/wp-content/uploads/2022/10/UnionOctober2022.pdf" TargetMode="External"/><Relationship Id="rId1118" Type="http://schemas.openxmlformats.org/officeDocument/2006/relationships/hyperlink" Target="https://rennamedia.com/wp-content/uploads/2022/11/UnionNovember2022.pdf" TargetMode="External"/><Relationship Id="rId1119" Type="http://schemas.openxmlformats.org/officeDocument/2006/relationships/hyperlink" Target="https://rennamedia.com/wp-content/uploads/2022/11/UnionDecember2022.pdf" TargetMode="External"/><Relationship Id="rId1120" Type="http://schemas.openxmlformats.org/officeDocument/2006/relationships/hyperlink" Target="https://rennamedia.com/wp-content/uploads/2022/12/UnionJanuary2023.pdf" TargetMode="External"/><Relationship Id="rId1121" Type="http://schemas.openxmlformats.org/officeDocument/2006/relationships/hyperlink" Target="https://rennamedia.com/wp-content/uploads/2023/01/UnionFebruary2023.pdf" TargetMode="External"/><Relationship Id="rId1122" Type="http://schemas.openxmlformats.org/officeDocument/2006/relationships/hyperlink" Target="https://rennamedia.com/wp-content/uploads/2023/02/UnionMarch2023.pdf" TargetMode="External"/><Relationship Id="rId1123" Type="http://schemas.openxmlformats.org/officeDocument/2006/relationships/hyperlink" Target="https://rennamedia.com/wp-content/uploads/2023/03/UnionApril2023.pdf" TargetMode="External"/><Relationship Id="rId1124" Type="http://schemas.openxmlformats.org/officeDocument/2006/relationships/hyperlink" Target="https://rennamedia.com/wp-content/uploads/2023/04/UnionMay2023.pdf" TargetMode="External"/><Relationship Id="rId1125" Type="http://schemas.openxmlformats.org/officeDocument/2006/relationships/hyperlink" Target="https://rennamedia.com/wp-content/uploads/2023/05/UnionJune2023.pdf" TargetMode="External"/><Relationship Id="rId1126" Type="http://schemas.openxmlformats.org/officeDocument/2006/relationships/hyperlink" Target="https://rennamedia.com/wp-content/uploads/2023/06/UnionJuly2023.pdf" TargetMode="External"/><Relationship Id="rId1127" Type="http://schemas.openxmlformats.org/officeDocument/2006/relationships/hyperlink" Target="https://rennamedia.com/wp-content/uploads/2023/07/UnionAug2023.pdf" TargetMode="External"/><Relationship Id="rId1128" Type="http://schemas.openxmlformats.org/officeDocument/2006/relationships/hyperlink" Target="https://rennamedia.com/wp-content/uploads/2023/08/UnionSep2023.pdf" TargetMode="External"/><Relationship Id="rId1129" Type="http://schemas.openxmlformats.org/officeDocument/2006/relationships/hyperlink" Target="https://rennamedia.com/wp-content/uploads/2023/09/UnionOct2023.pdf" TargetMode="External"/><Relationship Id="rId1130" Type="http://schemas.openxmlformats.org/officeDocument/2006/relationships/hyperlink" Target="https://rennamedia.com/wp-content/uploads/2023/10/UnionNov2023.pdf" TargetMode="External"/><Relationship Id="rId1131" Type="http://schemas.openxmlformats.org/officeDocument/2006/relationships/hyperlink" Target="https://rennamedia.com/wp-content/uploads/2023/11/UnionDec2023.pdf" TargetMode="External"/><Relationship Id="rId1132" Type="http://schemas.openxmlformats.org/officeDocument/2006/relationships/hyperlink" Target="https://rennamedia.com/wp-content/uploads/2023/12/UnionJan2024.pdf" TargetMode="External"/><Relationship Id="rId1133" Type="http://schemas.openxmlformats.org/officeDocument/2006/relationships/hyperlink" Target="https://rennamedia.com/wp-content/uploads/2024/01/UnionFeb2024.pdf" TargetMode="External"/><Relationship Id="rId1134" Type="http://schemas.openxmlformats.org/officeDocument/2006/relationships/hyperlink" Target="https://rennamedia.com/wp-content/uploads/2024/02/UnionMar2024.pdf" TargetMode="External"/><Relationship Id="rId1135" Type="http://schemas.openxmlformats.org/officeDocument/2006/relationships/hyperlink" Target="https://rennamedia.com/wp-content/uploads/2024/03/UnionApr2024.pdf" TargetMode="External"/><Relationship Id="rId1136" Type="http://schemas.openxmlformats.org/officeDocument/2006/relationships/hyperlink" Target="https://rennamedia.com/wp-content/uploads/2024/04/UnionMay2024.pdf" TargetMode="External"/><Relationship Id="rId1137" Type="http://schemas.openxmlformats.org/officeDocument/2006/relationships/hyperlink" Target="https://rennamedia.com/wp-content/uploads/2024/05/UnionJune2024.pdf" TargetMode="External"/><Relationship Id="rId1138" Type="http://schemas.openxmlformats.org/officeDocument/2006/relationships/hyperlink" Target="https://rennamedia.com/wp-content/uploads/2024/06/UnionJuly2024.pdf" TargetMode="External"/><Relationship Id="rId1139" Type="http://schemas.openxmlformats.org/officeDocument/2006/relationships/hyperlink" Target="https://rennamedia.com/wp-content/uploads/2024/07/UnionAugust2024.pdf" TargetMode="External"/><Relationship Id="rId1140" Type="http://schemas.openxmlformats.org/officeDocument/2006/relationships/hyperlink" Target="https://rennamedia.com/wp-content/uploads/2024/08/UnionSeptember2024.pdf" TargetMode="External"/><Relationship Id="rId1141" Type="http://schemas.openxmlformats.org/officeDocument/2006/relationships/hyperlink" Target="https://rennamedia.com/wp-content/uploads/2024/09/UnionOctober2024.pdf" TargetMode="External"/><Relationship Id="rId1142" Type="http://schemas.openxmlformats.org/officeDocument/2006/relationships/hyperlink" Target="https://rennamedia.com/wp-content/uploads/2024/10/UnionNovember2024.pdf" TargetMode="External"/><Relationship Id="rId1143" Type="http://schemas.openxmlformats.org/officeDocument/2006/relationships/hyperlink" Target="https://rennamedia.com/wp-content/uploads/2024/11/UnionDecember2024.pdf" TargetMode="External"/><Relationship Id="rId1144" Type="http://schemas.openxmlformats.org/officeDocument/2006/relationships/hyperlink" Target="https://rennamedia.com/wp-content/uploads/2024/12/UnionJanuary2025.pdf" TargetMode="External"/><Relationship Id="rId1145" Type="http://schemas.openxmlformats.org/officeDocument/2006/relationships/hyperlink" Target="https://rennamedia.com/wp-content/uploads/2025/02/UnionFebruary2025.pdf" TargetMode="External"/><Relationship Id="rId1146" Type="http://schemas.openxmlformats.org/officeDocument/2006/relationships/hyperlink" Target="https://rennamedia.com/wp-content/uploads/2025/02/UnionMarch2025.pdf" TargetMode="External"/><Relationship Id="rId1147" Type="http://schemas.openxmlformats.org/officeDocument/2006/relationships/hyperlink" Target="https://rennamedia.com/wp-content/uploads/2025/03/UnionApril2025.pdf" TargetMode="External"/><Relationship Id="rId1148" Type="http://schemas.openxmlformats.org/officeDocument/2006/relationships/hyperlink" Target="https://rennamedia.com/wp-content/uploads/2025/04/UnionMay2025.pdf" TargetMode="External"/><Relationship Id="rId1149" Type="http://schemas.openxmlformats.org/officeDocument/2006/relationships/hyperlink" Target="https://rennamedia.com/wp-content/uploads/2025/05/UnionJune2025.pdf" TargetMode="External"/><Relationship Id="rId1150" Type="http://schemas.openxmlformats.org/officeDocument/2006/relationships/hyperlink" Target="https://rennamedia.com/wp-content/uploads/2025/06/UnionJuly2025.pdf" TargetMode="External"/><Relationship Id="rId1151" Type="http://schemas.openxmlformats.org/officeDocument/2006/relationships/hyperlink" Target="https://rennamedia.com/wp-content/uploads/2025/07/UnionAugust2025.pdf" TargetMode="External"/><Relationship Id="rId1152" Type="http://schemas.openxmlformats.org/officeDocument/2006/relationships/hyperlink" Target="https://rennamedia.com/wp-content/uploads/2025/08/UnionSeptember202.pdf" TargetMode="External"/><Relationship Id="rId1153" Type="http://schemas.openxmlformats.org/officeDocument/2006/relationships/hyperlink" Target="https://rennamedia.com/wp-content/uploads/2025/09/UnionOctober2025.pdf" TargetMode="External"/><Relationship Id="rId1154" Type="http://schemas.openxmlformats.org/officeDocument/2006/relationships/hyperlink" Target="https://rennamedia.com/wp-content/uploads/2025/10/UnionNovember2025.pdf" TargetMode="External"/><Relationship Id="rId1155" Type="http://schemas.openxmlformats.org/officeDocument/2006/relationships/hyperlink" Target="https://rennamedia.com/wp-content/uploads/2025/11/UnionNDecember2025.pdf" TargetMode="External"/><Relationship Id="rId1156" Type="http://schemas.openxmlformats.org/officeDocument/2006/relationships/hyperlink" Target="https://rennamedia.com/wp-content/uploads/2025/12/UnionJanuary2026.pdf" TargetMode="External"/><Relationship Id="rId1157" Type="http://schemas.openxmlformats.org/officeDocument/2006/relationships/hyperlink" Target="https://rennamedia.com/wp-content/uploads/2026/01/UnionFebruary2026.pdf" TargetMode="External"/><Relationship Id="rId1158" Type="http://schemas.openxmlformats.org/officeDocument/2006/relationships/hyperlink" Target="https://rennamedia.com/wp-content/uploads/2026/02/UnionMarch2026.pdf" TargetMode="External"/><Relationship Id="rId1159" Type="http://schemas.openxmlformats.org/officeDocument/2006/relationships/hyperlink" Target="https://rennamedia.com/wp-content/uploads/2026/04/UnionMay2026.pdf" TargetMode="External"/><Relationship Id="rId1160" Type="http://schemas.openxmlformats.org/officeDocument/2006/relationships/hyperlink" Target="https://rennamedia.com/wp-content/uploads/2021/12/SummitJanuary2022.pdf" TargetMode="External"/><Relationship Id="rId1161" Type="http://schemas.openxmlformats.org/officeDocument/2006/relationships/hyperlink" Target="https://rennamedia.com/wp-content/uploads/2022/01/SummitFebruary2022.pdf" TargetMode="External"/><Relationship Id="rId1162" Type="http://schemas.openxmlformats.org/officeDocument/2006/relationships/hyperlink" Target="https://rennamedia.com/wp-content/uploads/2022/02/SummitMarch2022.pdf" TargetMode="External"/><Relationship Id="rId1163" Type="http://schemas.openxmlformats.org/officeDocument/2006/relationships/hyperlink" Target="https://rennamedia.com/wp-content/uploads/2022/03/SummitApril2022.pdf" TargetMode="External"/><Relationship Id="rId1164" Type="http://schemas.openxmlformats.org/officeDocument/2006/relationships/hyperlink" Target="https://rennamedia.com/wp-content/uploads/2022/04/SummitMay2022.pdf" TargetMode="External"/><Relationship Id="rId1165" Type="http://schemas.openxmlformats.org/officeDocument/2006/relationships/hyperlink" Target="https://rennamedia.com/wp-content/uploads/2022/05/SummitJune2022.pdf" TargetMode="External"/><Relationship Id="rId1166" Type="http://schemas.openxmlformats.org/officeDocument/2006/relationships/hyperlink" Target="https://rennamedia.com/wp-content/uploads/2022/06/SummitJuly2022.pdf" TargetMode="External"/><Relationship Id="rId1167" Type="http://schemas.openxmlformats.org/officeDocument/2006/relationships/hyperlink" Target="https://rennamedia.com/wp-content/uploads/2022/07/SummitAugust2022.pdf" TargetMode="External"/><Relationship Id="rId1168" Type="http://schemas.openxmlformats.org/officeDocument/2006/relationships/hyperlink" Target="https://rennamedia.com/wp-content/uploads/2022/09/SummitSeptember2022.pdf" TargetMode="External"/><Relationship Id="rId1169" Type="http://schemas.openxmlformats.org/officeDocument/2006/relationships/hyperlink" Target="https://rennamedia.com/wp-content/uploads/2022/10/SummitOctober2022.pdf" TargetMode="External"/><Relationship Id="rId1170" Type="http://schemas.openxmlformats.org/officeDocument/2006/relationships/hyperlink" Target="https://rennamedia.com/wp-content/uploads/2022/11/SummitNovember2022.pdf" TargetMode="External"/><Relationship Id="rId1171" Type="http://schemas.openxmlformats.org/officeDocument/2006/relationships/hyperlink" Target="https://rennamedia.com/wp-content/uploads/2022/11/SummitDecember2022.pdf" TargetMode="External"/><Relationship Id="rId1172" Type="http://schemas.openxmlformats.org/officeDocument/2006/relationships/hyperlink" Target="https://rennamedia.com/wp-content/uploads/2022/12/SummitJanuary2023.pdf" TargetMode="External"/><Relationship Id="rId1173" Type="http://schemas.openxmlformats.org/officeDocument/2006/relationships/hyperlink" Target="https://rennamedia.com/wp-content/uploads/2023/01/SummitFebruary2023.pdf" TargetMode="External"/><Relationship Id="rId1174" Type="http://schemas.openxmlformats.org/officeDocument/2006/relationships/hyperlink" Target="https://rennamedia.com/wp-content/uploads/2023/02/SummitMarch2023.pdf" TargetMode="External"/><Relationship Id="rId1175" Type="http://schemas.openxmlformats.org/officeDocument/2006/relationships/hyperlink" Target="https://rennamedia.com/wp-content/uploads/2023/03/SummitApril2023.pdf" TargetMode="External"/><Relationship Id="rId1176" Type="http://schemas.openxmlformats.org/officeDocument/2006/relationships/hyperlink" Target="https://rennamedia.com/wp-content/uploads/2023/04/SummitMay2023.pdf" TargetMode="External"/><Relationship Id="rId1177" Type="http://schemas.openxmlformats.org/officeDocument/2006/relationships/hyperlink" Target="https://rennamedia.com/wp-content/uploads/2023/05/SummitJune2023.pdf" TargetMode="External"/><Relationship Id="rId1178" Type="http://schemas.openxmlformats.org/officeDocument/2006/relationships/hyperlink" Target="https://rennamedia.com/wp-content/uploads/2023/06/SummitJuly2023.pdf" TargetMode="External"/><Relationship Id="rId1179" Type="http://schemas.openxmlformats.org/officeDocument/2006/relationships/hyperlink" Target="https://rennamedia.com/wp-content/uploads/2023/07/SummitAug2023.pdf" TargetMode="External"/><Relationship Id="rId1180" Type="http://schemas.openxmlformats.org/officeDocument/2006/relationships/hyperlink" Target="https://rennamedia.com/wp-content/uploads/2023/08/SummitSep2023.pdf" TargetMode="External"/><Relationship Id="rId1181" Type="http://schemas.openxmlformats.org/officeDocument/2006/relationships/hyperlink" Target="https://rennamedia.com/wp-content/uploads/2023/09/SummitOct2023.pdf" TargetMode="External"/><Relationship Id="rId1182" Type="http://schemas.openxmlformats.org/officeDocument/2006/relationships/hyperlink" Target="https://rennamedia.com/wp-content/uploads/2023/10/SummitNov2023.pdf" TargetMode="External"/><Relationship Id="rId1183" Type="http://schemas.openxmlformats.org/officeDocument/2006/relationships/hyperlink" Target="https://rennamedia.com/wp-content/uploads/2023/11/SummitDec2023.pdf" TargetMode="External"/><Relationship Id="rId1184" Type="http://schemas.openxmlformats.org/officeDocument/2006/relationships/hyperlink" Target="https://rennamedia.com/wp-content/uploads/2023/12/SummitJan2024.pdf" TargetMode="External"/><Relationship Id="rId1185" Type="http://schemas.openxmlformats.org/officeDocument/2006/relationships/hyperlink" Target="https://rennamedia.com/wp-content/uploads/2024/01/SummitFeb2024.pdf" TargetMode="External"/><Relationship Id="rId1186" Type="http://schemas.openxmlformats.org/officeDocument/2006/relationships/hyperlink" Target="https://rennamedia.com/wp-content/uploads/2024/02/SummitMar2024.pdf" TargetMode="External"/><Relationship Id="rId1187" Type="http://schemas.openxmlformats.org/officeDocument/2006/relationships/hyperlink" Target="https://rennamedia.com/wp-content/uploads/2024/03/SummitApr2024.pdf" TargetMode="External"/><Relationship Id="rId1188" Type="http://schemas.openxmlformats.org/officeDocument/2006/relationships/hyperlink" Target="https://rennamedia.com/wp-content/uploads/2024/04/SummitMay2024.pdf" TargetMode="External"/><Relationship Id="rId1189" Type="http://schemas.openxmlformats.org/officeDocument/2006/relationships/hyperlink" Target="https://rennamedia.com/wp-content/uploads/2024/05/SummitJune2024.pdf" TargetMode="External"/><Relationship Id="rId1190" Type="http://schemas.openxmlformats.org/officeDocument/2006/relationships/hyperlink" Target="https://rennamedia.com/wp-content/uploads/2024/06/SummitJuly2024.pdf" TargetMode="External"/><Relationship Id="rId1191" Type="http://schemas.openxmlformats.org/officeDocument/2006/relationships/hyperlink" Target="https://rennamedia.com/wp-content/uploads/2024/07/SummitAugust2024.pdf" TargetMode="External"/><Relationship Id="rId1192" Type="http://schemas.openxmlformats.org/officeDocument/2006/relationships/hyperlink" Target="https://rennamedia.com/wp-content/uploads/2024/08/SummitSeptember2024.pdf" TargetMode="External"/><Relationship Id="rId1193" Type="http://schemas.openxmlformats.org/officeDocument/2006/relationships/hyperlink" Target="https://rennamedia.com/wp-content/uploads/2024/09/SummitOctober2024.pdf" TargetMode="External"/><Relationship Id="rId1194" Type="http://schemas.openxmlformats.org/officeDocument/2006/relationships/hyperlink" Target="https://rennamedia.com/wp-content/uploads/2024/10/SummitNovember2024.pdf" TargetMode="External"/><Relationship Id="rId1195" Type="http://schemas.openxmlformats.org/officeDocument/2006/relationships/hyperlink" Target="https://rennamedia.com/wp-content/uploads/2024/11/SummitDecember2024.pdf" TargetMode="External"/><Relationship Id="rId1196" Type="http://schemas.openxmlformats.org/officeDocument/2006/relationships/hyperlink" Target="https://rennamedia.com/wp-content/uploads/2024/12/SummitJanuary2025.pdf" TargetMode="External"/><Relationship Id="rId1197" Type="http://schemas.openxmlformats.org/officeDocument/2006/relationships/hyperlink" Target="https://rennamedia.com/wp-content/uploads/2025/02/SummitFebruary2025.pdf" TargetMode="External"/><Relationship Id="rId1198" Type="http://schemas.openxmlformats.org/officeDocument/2006/relationships/hyperlink" Target="https://rennamedia.com/wp-content/uploads/2025/02/SummitMarch2025.pdf" TargetMode="External"/><Relationship Id="rId1199" Type="http://schemas.openxmlformats.org/officeDocument/2006/relationships/hyperlink" Target="https://rennamedia.com/wp-content/uploads/2025/02/SummitMarch2025.pdf" TargetMode="External"/><Relationship Id="rId1200" Type="http://schemas.openxmlformats.org/officeDocument/2006/relationships/hyperlink" Target="https://rennamedia.com/wp-content/uploads/2025/04/SummitMay2025.pdf" TargetMode="External"/><Relationship Id="rId1201" Type="http://schemas.openxmlformats.org/officeDocument/2006/relationships/hyperlink" Target="https://rennamedia.com/wp-content/uploads/2025/05/SummitJune2025.pdf" TargetMode="External"/><Relationship Id="rId1202" Type="http://schemas.openxmlformats.org/officeDocument/2006/relationships/hyperlink" Target="https://rennamedia.com/wp-content/uploads/2025/06/SummitJuly2025.pdf" TargetMode="External"/><Relationship Id="rId1203" Type="http://schemas.openxmlformats.org/officeDocument/2006/relationships/hyperlink" Target="https://rennamedia.com/wp-content/uploads/2025/07/SummitAugust2025.pdf" TargetMode="External"/><Relationship Id="rId1204" Type="http://schemas.openxmlformats.org/officeDocument/2006/relationships/hyperlink" Target="https://rennamedia.com/wp-content/uploads/2025/08/SummitSeptember2025.pdf" TargetMode="External"/><Relationship Id="rId1205" Type="http://schemas.openxmlformats.org/officeDocument/2006/relationships/hyperlink" Target="https://rennamedia.com/wp-content/uploads/2025/09/SummitOctober2025.pdf" TargetMode="External"/><Relationship Id="rId1206" Type="http://schemas.openxmlformats.org/officeDocument/2006/relationships/hyperlink" Target="https://rennamedia.com/wp-content/uploads/2025/10/SummitNovember2025.pdf" TargetMode="External"/><Relationship Id="rId1207" Type="http://schemas.openxmlformats.org/officeDocument/2006/relationships/hyperlink" Target="https://rennamedia.com/wp-content/uploads/2025/11/SummitDecember2025.pdf" TargetMode="External"/><Relationship Id="rId1208" Type="http://schemas.openxmlformats.org/officeDocument/2006/relationships/hyperlink" Target="https://rennamedia.com/wp-content/uploads/2025/12/SummitJanuary2026.pdf" TargetMode="External"/><Relationship Id="rId1209" Type="http://schemas.openxmlformats.org/officeDocument/2006/relationships/hyperlink" Target="https://rennamedia.com/wp-content/uploads/2026/02/SummitFebruary2026.pdf" TargetMode="External"/><Relationship Id="rId1210" Type="http://schemas.openxmlformats.org/officeDocument/2006/relationships/hyperlink" Target="https://rennamedia.com/wp-content/uploads/2026/02/SummitMarch2026.pdf" TargetMode="External"/><Relationship Id="rId1211" Type="http://schemas.openxmlformats.org/officeDocument/2006/relationships/hyperlink" Target="https://rennamedia.com/wp-content/uploads/2026/03/SummitApril2026.pdf" TargetMode="External"/><Relationship Id="rId1212" Type="http://schemas.openxmlformats.org/officeDocument/2006/relationships/hyperlink" Target="https://rennamedia.com/wp-content/uploads/2026/04/SummitMay2026.pdf" TargetMode="External"/><Relationship Id="rId1213" Type="http://schemas.openxmlformats.org/officeDocument/2006/relationships/hyperlink" Target="https://rennamedia.com/wp-content/uploads/2021/12/WarrenJanuary2022.pdf" TargetMode="External"/><Relationship Id="rId1214" Type="http://schemas.openxmlformats.org/officeDocument/2006/relationships/hyperlink" Target="https://rennamedia.com/wp-content/uploads/2022/01/WarrenFebruary2022.pdf" TargetMode="External"/><Relationship Id="rId1215" Type="http://schemas.openxmlformats.org/officeDocument/2006/relationships/hyperlink" Target="https://rennamedia.com/wp-content/uploads/2022/02/WarrenMarch2022.pdf" TargetMode="External"/><Relationship Id="rId1216" Type="http://schemas.openxmlformats.org/officeDocument/2006/relationships/hyperlink" Target="https://rennamedia.com/wp-content/uploads/2022/03/WarrenApril2022.pdf" TargetMode="External"/><Relationship Id="rId1217" Type="http://schemas.openxmlformats.org/officeDocument/2006/relationships/hyperlink" Target="https://rennamedia.com/wp-content/uploads/2022/04/WarrenMay2022.pdf" TargetMode="External"/><Relationship Id="rId1218" Type="http://schemas.openxmlformats.org/officeDocument/2006/relationships/hyperlink" Target="https://rennamedia.com/wp-content/uploads/2022/05/WarrenJune2022.pdf" TargetMode="External"/><Relationship Id="rId1219" Type="http://schemas.openxmlformats.org/officeDocument/2006/relationships/hyperlink" Target="https://rennamedia.com/wp-content/uploads/2022/06/WarrenJuly2022.pdf" TargetMode="External"/><Relationship Id="rId1220" Type="http://schemas.openxmlformats.org/officeDocument/2006/relationships/hyperlink" Target="https://rennamedia.com/wp-content/uploads/2022/07/WarrenAugust2022.pdf" TargetMode="External"/><Relationship Id="rId1221" Type="http://schemas.openxmlformats.org/officeDocument/2006/relationships/hyperlink" Target="https://rennamedia.com/wp-content/uploads/2022/09/WarrenSeptember2022.pdf" TargetMode="External"/><Relationship Id="rId1222" Type="http://schemas.openxmlformats.org/officeDocument/2006/relationships/hyperlink" Target="https://rennamedia.com/wp-content/uploads/2022/10/WarrenOctober2022.pdf" TargetMode="External"/><Relationship Id="rId1223" Type="http://schemas.openxmlformats.org/officeDocument/2006/relationships/hyperlink" Target="https://rennamedia.com/wp-content/uploads/2022/11/WarrenNovember2022.pdf" TargetMode="External"/><Relationship Id="rId1224" Type="http://schemas.openxmlformats.org/officeDocument/2006/relationships/hyperlink" Target="https://rennamedia.com/wp-content/uploads/2022/11/WarrenDecember2022.pdf" TargetMode="External"/><Relationship Id="rId1225" Type="http://schemas.openxmlformats.org/officeDocument/2006/relationships/hyperlink" Target="https://rennamedia.com/wp-content/uploads/2022/12/WarrenJanuary2023.pdf" TargetMode="External"/><Relationship Id="rId1226" Type="http://schemas.openxmlformats.org/officeDocument/2006/relationships/hyperlink" Target="https://rennamedia.com/wp-content/uploads/2023/01/WarrenFebruary2023.pdf" TargetMode="External"/><Relationship Id="rId1227" Type="http://schemas.openxmlformats.org/officeDocument/2006/relationships/hyperlink" Target="https://rennamedia.com/wp-content/uploads/2023/02/WarrenMarch2023.pdf" TargetMode="External"/><Relationship Id="rId1228" Type="http://schemas.openxmlformats.org/officeDocument/2006/relationships/hyperlink" Target="https://rennamedia.com/wp-content/uploads/2023/03/WarrenApril2023.pdf" TargetMode="External"/><Relationship Id="rId1229" Type="http://schemas.openxmlformats.org/officeDocument/2006/relationships/hyperlink" Target="https://rennamedia.com/wp-content/uploads/2023/04/WarrenMay2023.pdf" TargetMode="External"/><Relationship Id="rId1230" Type="http://schemas.openxmlformats.org/officeDocument/2006/relationships/hyperlink" Target="https://rennamedia.com/wp-content/uploads/2023/05/WarrenJune2023.pdf" TargetMode="External"/><Relationship Id="rId1231" Type="http://schemas.openxmlformats.org/officeDocument/2006/relationships/hyperlink" Target="https://rennamedia.com/wp-content/uploads/2023/06/WarrenJuly2023.pdf" TargetMode="External"/><Relationship Id="rId1232" Type="http://schemas.openxmlformats.org/officeDocument/2006/relationships/hyperlink" Target="https://rennamedia.com/wp-content/uploads/2023/07/WarrenAug2023.pdf" TargetMode="External"/><Relationship Id="rId1233" Type="http://schemas.openxmlformats.org/officeDocument/2006/relationships/hyperlink" Target="https://rennamedia.com/wp-content/uploads/2023/08/WarrenSep2023.pdf" TargetMode="External"/><Relationship Id="rId1234" Type="http://schemas.openxmlformats.org/officeDocument/2006/relationships/hyperlink" Target="https://rennamedia.com/wp-content/uploads/2023/09/WarrenOct2023.pdf" TargetMode="External"/><Relationship Id="rId1235" Type="http://schemas.openxmlformats.org/officeDocument/2006/relationships/hyperlink" Target="https://rennamedia.com/wp-content/uploads/2023/10/WarrenNov2023.pdf" TargetMode="External"/><Relationship Id="rId1236" Type="http://schemas.openxmlformats.org/officeDocument/2006/relationships/hyperlink" Target="https://rennamedia.com/wp-content/uploads/2023/11/WarrenDec2023.pdf" TargetMode="External"/><Relationship Id="rId1237" Type="http://schemas.openxmlformats.org/officeDocument/2006/relationships/hyperlink" Target="https://rennamedia.com/wp-content/uploads/2023/12/WarrenJan2024.pdf" TargetMode="External"/><Relationship Id="rId1238" Type="http://schemas.openxmlformats.org/officeDocument/2006/relationships/hyperlink" Target="https://rennamedia.com/wp-content/uploads/2024/01/WarrenFeb2024.pdf" TargetMode="External"/><Relationship Id="rId1239" Type="http://schemas.openxmlformats.org/officeDocument/2006/relationships/hyperlink" Target="https://rennamedia.com/wp-content/uploads/2024/02/WarrenMar2024.pdf" TargetMode="External"/><Relationship Id="rId1240" Type="http://schemas.openxmlformats.org/officeDocument/2006/relationships/hyperlink" Target="https://rennamedia.com/wp-content/uploads/2024/03/WarrenApr2024.pdf" TargetMode="External"/><Relationship Id="rId1241" Type="http://schemas.openxmlformats.org/officeDocument/2006/relationships/hyperlink" Target="https://rennamedia.com/wp-content/uploads/2024/04/WarrenMay2024.pdf" TargetMode="External"/><Relationship Id="rId1242" Type="http://schemas.openxmlformats.org/officeDocument/2006/relationships/hyperlink" Target="https://rennamedia.com/wp-content/uploads/2024/05/WarrenJune2024.pdf" TargetMode="External"/><Relationship Id="rId1243" Type="http://schemas.openxmlformats.org/officeDocument/2006/relationships/hyperlink" Target="https://rennamedia.com/wp-content/uploads/2024/06/WarrenJuly2024.pdf" TargetMode="External"/><Relationship Id="rId1244" Type="http://schemas.openxmlformats.org/officeDocument/2006/relationships/hyperlink" Target="https://rennamedia.com/wp-content/uploads/2024/07/WarrenAugust2024.pdf" TargetMode="External"/><Relationship Id="rId1245" Type="http://schemas.openxmlformats.org/officeDocument/2006/relationships/hyperlink" Target="https://rennamedia.com/wp-content/uploads/2024/08/WarrenSeptember2024.pdf" TargetMode="External"/><Relationship Id="rId1246" Type="http://schemas.openxmlformats.org/officeDocument/2006/relationships/hyperlink" Target="https://rennamedia.com/wp-content/uploads/2024/09/WarrenOctober2024.pdf" TargetMode="External"/><Relationship Id="rId1247" Type="http://schemas.openxmlformats.org/officeDocument/2006/relationships/hyperlink" Target="https://rennamedia.com/wp-content/uploads/2024/10/WarrenNovember2024.pdf" TargetMode="External"/><Relationship Id="rId1248" Type="http://schemas.openxmlformats.org/officeDocument/2006/relationships/hyperlink" Target="https://rennamedia.com/wp-content/uploads/2024/11/WarrenDecember2024.pdf" TargetMode="External"/><Relationship Id="rId1249" Type="http://schemas.openxmlformats.org/officeDocument/2006/relationships/hyperlink" Target="https://rennamedia.com/wp-content/uploads/2024/12/WarrenJanuary2025.pdf" TargetMode="External"/><Relationship Id="rId1250" Type="http://schemas.openxmlformats.org/officeDocument/2006/relationships/hyperlink" Target="https://rennamedia.com/wp-content/uploads/2025/02/WarrenFebruary2025.pdf" TargetMode="External"/><Relationship Id="rId1251" Type="http://schemas.openxmlformats.org/officeDocument/2006/relationships/hyperlink" Target="https://rennamedia.com/wp-content/uploads/2025/02/WarrenMarch2025.pdf" TargetMode="External"/><Relationship Id="rId1252" Type="http://schemas.openxmlformats.org/officeDocument/2006/relationships/hyperlink" Target="https://rennamedia.com/wp-content/uploads/2025/03/WarrenApril2025.pdf" TargetMode="External"/><Relationship Id="rId1253" Type="http://schemas.openxmlformats.org/officeDocument/2006/relationships/hyperlink" Target="https://rennamedia.com/wp-content/uploads/2025/04/WarrenMay2025.pdf" TargetMode="External"/><Relationship Id="rId1254" Type="http://schemas.openxmlformats.org/officeDocument/2006/relationships/hyperlink" Target="https://rennamedia.com/wp-content/uploads/2025/05/WarrenJune2025.pdf" TargetMode="External"/><Relationship Id="rId1255" Type="http://schemas.openxmlformats.org/officeDocument/2006/relationships/hyperlink" Target="https://rennamedia.com/wp-content/uploads/2025/06/WarrenJuly2025.pdf" TargetMode="External"/><Relationship Id="rId1256" Type="http://schemas.openxmlformats.org/officeDocument/2006/relationships/hyperlink" Target="https://rennamedia.com/wp-content/uploads/2025/07/WarrenAugust2025.pdf" TargetMode="External"/><Relationship Id="rId1257" Type="http://schemas.openxmlformats.org/officeDocument/2006/relationships/hyperlink" Target="https://rennamedia.com/wp-content/uploads/2025/08/WarrenSeptember2025.pdf" TargetMode="External"/><Relationship Id="rId1258" Type="http://schemas.openxmlformats.org/officeDocument/2006/relationships/hyperlink" Target="https://rennamedia.com/wp-content/uploads/2025/09/WarrenOctober2025.pdf" TargetMode="External"/><Relationship Id="rId1259" Type="http://schemas.openxmlformats.org/officeDocument/2006/relationships/hyperlink" Target="https://rennamedia.com/wp-content/uploads/2025/10/WarrenNovember2025.pdf" TargetMode="External"/><Relationship Id="rId1260" Type="http://schemas.openxmlformats.org/officeDocument/2006/relationships/hyperlink" Target="https://rennamedia.com/wp-content/uploads/2025/11/WarrenDecember2025.pdf" TargetMode="External"/><Relationship Id="rId1261" Type="http://schemas.openxmlformats.org/officeDocument/2006/relationships/hyperlink" Target="https://rennamedia.com/wp-content/uploads/2025/12/WarrenJanuary2026.pdf" TargetMode="External"/><Relationship Id="rId1262" Type="http://schemas.openxmlformats.org/officeDocument/2006/relationships/hyperlink" Target="https://rennamedia.com/wp-content/uploads/2026/01/WarrenFebruary2026.pdf" TargetMode="External"/><Relationship Id="rId1263" Type="http://schemas.openxmlformats.org/officeDocument/2006/relationships/hyperlink" Target="https://rennamedia.com/wp-content/uploads/2026/02/WarrenMarch2026.pdf" TargetMode="External"/><Relationship Id="rId1264" Type="http://schemas.openxmlformats.org/officeDocument/2006/relationships/hyperlink" Target="https://rennamedia.com/wp-content/uploads/2026/03/WarrenApril2026.pdf" TargetMode="External"/><Relationship Id="rId1265" Type="http://schemas.openxmlformats.org/officeDocument/2006/relationships/hyperlink" Target="https://rennamedia.com/wp-content/uploads/2026/04/WarrenMay2026.pdf" TargetMode="External"/><Relationship Id="rId1266" Type="http://schemas.openxmlformats.org/officeDocument/2006/relationships/hyperlink" Target="https://rennamedia.com/wp-content/uploads/2021/12/WatchungJanuary2022.pdf" TargetMode="External"/><Relationship Id="rId1267" Type="http://schemas.openxmlformats.org/officeDocument/2006/relationships/hyperlink" Target="https://rennamedia.com/wp-content/uploads/2022/01/WatchungFebruary2022.pdf" TargetMode="External"/><Relationship Id="rId1268" Type="http://schemas.openxmlformats.org/officeDocument/2006/relationships/hyperlink" Target="https://rennamedia.com/wp-content/uploads/2022/02/WatchungMarch2022.pdf" TargetMode="External"/><Relationship Id="rId1269" Type="http://schemas.openxmlformats.org/officeDocument/2006/relationships/hyperlink" Target="https://rennamedia.com/wp-content/uploads/2022/03/WatchungApril2022.pdf" TargetMode="External"/><Relationship Id="rId1270" Type="http://schemas.openxmlformats.org/officeDocument/2006/relationships/hyperlink" Target="https://rennamedia.com/wp-content/uploads/2022/04/WatchungMay2022.pdf" TargetMode="External"/><Relationship Id="rId1271" Type="http://schemas.openxmlformats.org/officeDocument/2006/relationships/hyperlink" Target="https://rennamedia.com/wp-content/uploads/2022/05/WatchungJune2022.pdf" TargetMode="External"/><Relationship Id="rId1272" Type="http://schemas.openxmlformats.org/officeDocument/2006/relationships/hyperlink" Target="https://rennamedia.com/wp-content/uploads/2022/06/WatchungJuly2022.pdf" TargetMode="External"/><Relationship Id="rId1273" Type="http://schemas.openxmlformats.org/officeDocument/2006/relationships/hyperlink" Target="https://rennamedia.com/wp-content/uploads/2022/07/WatchungAugust2022.pdf" TargetMode="External"/><Relationship Id="rId1274" Type="http://schemas.openxmlformats.org/officeDocument/2006/relationships/hyperlink" Target="https://rennamedia.com/wp-content/uploads/2022/09/WatchungSeptember2022.pdf" TargetMode="External"/><Relationship Id="rId1275" Type="http://schemas.openxmlformats.org/officeDocument/2006/relationships/hyperlink" Target="https://rennamedia.com/wp-content/uploads/2022/10/WatchungOctober2022.pdf" TargetMode="External"/><Relationship Id="rId1276" Type="http://schemas.openxmlformats.org/officeDocument/2006/relationships/hyperlink" Target="https://rennamedia.com/wp-content/uploads/2022/11/WatchungNovember2022.pdf" TargetMode="External"/><Relationship Id="rId1277" Type="http://schemas.openxmlformats.org/officeDocument/2006/relationships/hyperlink" Target="https://rennamedia.com/wp-content/uploads/2022/11/WatchungDecember2022.pdf" TargetMode="External"/><Relationship Id="rId1278" Type="http://schemas.openxmlformats.org/officeDocument/2006/relationships/hyperlink" Target="https://rennamedia.com/wp-content/uploads/2022/12/WatchungJanuary2023.pdf" TargetMode="External"/><Relationship Id="rId1279" Type="http://schemas.openxmlformats.org/officeDocument/2006/relationships/hyperlink" Target="https://rennamedia.com/wp-content/uploads/2023/01/WatchungFebruary2023.pdf" TargetMode="External"/><Relationship Id="rId1280" Type="http://schemas.openxmlformats.org/officeDocument/2006/relationships/hyperlink" Target="https://rennamedia.com/wp-content/uploads/2023/02/WatchungMarch2023.pdf" TargetMode="External"/><Relationship Id="rId1281" Type="http://schemas.openxmlformats.org/officeDocument/2006/relationships/hyperlink" Target="https://rennamedia.com/wp-content/uploads/2023/03/WatchungApril2023.pdf" TargetMode="External"/><Relationship Id="rId1282" Type="http://schemas.openxmlformats.org/officeDocument/2006/relationships/hyperlink" Target="https://rennamedia.com/wp-content/uploads/2023/04/WatchungMay2023.pdf" TargetMode="External"/><Relationship Id="rId1283" Type="http://schemas.openxmlformats.org/officeDocument/2006/relationships/hyperlink" Target="https://rennamedia.com/wp-content/uploads/2023/05/WatchungJune2023.pdf" TargetMode="External"/><Relationship Id="rId1284" Type="http://schemas.openxmlformats.org/officeDocument/2006/relationships/hyperlink" Target="https://rennamedia.com/wp-content/uploads/2023/06/WatchungJuly2023.pdf" TargetMode="External"/><Relationship Id="rId1285" Type="http://schemas.openxmlformats.org/officeDocument/2006/relationships/hyperlink" Target="https://rennamedia.com/wp-content/uploads/2023/07/WatchungAug2023.pdf" TargetMode="External"/><Relationship Id="rId1286" Type="http://schemas.openxmlformats.org/officeDocument/2006/relationships/hyperlink" Target="https://rennamedia.com/wp-content/uploads/2023/08/WatchungSep2023.pdf" TargetMode="External"/><Relationship Id="rId1287" Type="http://schemas.openxmlformats.org/officeDocument/2006/relationships/hyperlink" Target="https://rennamedia.com/wp-content/uploads/2023/09/WatchungOct2023.pdf" TargetMode="External"/><Relationship Id="rId1288" Type="http://schemas.openxmlformats.org/officeDocument/2006/relationships/hyperlink" Target="https://rennamedia.com/wp-content/uploads/2023/10/WatchungNov2023.pdf" TargetMode="External"/><Relationship Id="rId1289" Type="http://schemas.openxmlformats.org/officeDocument/2006/relationships/hyperlink" Target="https://rennamedia.com/wp-content/uploads/2023/11/WatchungDec2023.pdf" TargetMode="External"/><Relationship Id="rId1290" Type="http://schemas.openxmlformats.org/officeDocument/2006/relationships/hyperlink" Target="https://rennamedia.com/wp-content/uploads/2023/12/WatchungJan2024.pdf" TargetMode="External"/><Relationship Id="rId1291" Type="http://schemas.openxmlformats.org/officeDocument/2006/relationships/hyperlink" Target="https://rennamedia.com/wp-content/uploads/2024/01/WatchungFeb2024.pdf" TargetMode="External"/><Relationship Id="rId1292" Type="http://schemas.openxmlformats.org/officeDocument/2006/relationships/hyperlink" Target="https://rennamedia.com/wp-content/uploads/2024/02/WatchungMar2024.pdf" TargetMode="External"/><Relationship Id="rId1293" Type="http://schemas.openxmlformats.org/officeDocument/2006/relationships/hyperlink" Target="https://rennamedia.com/wp-content/uploads/2024/03/WatchungApr2024.pdf" TargetMode="External"/><Relationship Id="rId1294" Type="http://schemas.openxmlformats.org/officeDocument/2006/relationships/hyperlink" Target="https://rennamedia.com/wp-content/uploads/2024/04/WatchungMay2024.pdf" TargetMode="External"/><Relationship Id="rId1295" Type="http://schemas.openxmlformats.org/officeDocument/2006/relationships/hyperlink" Target="https://rennamedia.com/wp-content/uploads/2024/05/WatchungJune2024.pdf" TargetMode="External"/><Relationship Id="rId1296" Type="http://schemas.openxmlformats.org/officeDocument/2006/relationships/hyperlink" Target="https://rennamedia.com/wp-content/uploads/2024/06/WatchungJuly2024.pdf" TargetMode="External"/><Relationship Id="rId1297" Type="http://schemas.openxmlformats.org/officeDocument/2006/relationships/hyperlink" Target="https://rennamedia.com/wp-content/uploads/2024/07/WatchungAugust2024.pdf" TargetMode="External"/><Relationship Id="rId1298" Type="http://schemas.openxmlformats.org/officeDocument/2006/relationships/hyperlink" Target="https://rennamedia.com/wp-content/uploads/2024/08/WatchungSeptember2024.pdf" TargetMode="External"/><Relationship Id="rId1299" Type="http://schemas.openxmlformats.org/officeDocument/2006/relationships/hyperlink" Target="https://rennamedia.com/wp-content/uploads/2024/09/WatchungOctober2024.pdf" TargetMode="External"/><Relationship Id="rId1300" Type="http://schemas.openxmlformats.org/officeDocument/2006/relationships/hyperlink" Target="https://rennamedia.com/wp-content/uploads/2024/10/WatchungNovember2024.pdf" TargetMode="External"/><Relationship Id="rId1301" Type="http://schemas.openxmlformats.org/officeDocument/2006/relationships/hyperlink" Target="https://rennamedia.com/wp-content/uploads/2024/11/WatchungDecember2024.pdf" TargetMode="External"/><Relationship Id="rId1302" Type="http://schemas.openxmlformats.org/officeDocument/2006/relationships/hyperlink" Target="https://rennamedia.com/wp-content/uploads/2024/12/WatchungJanuary2025.pdf" TargetMode="External"/><Relationship Id="rId1303" Type="http://schemas.openxmlformats.org/officeDocument/2006/relationships/hyperlink" Target="https://rennamedia.com/wp-content/uploads/2025/02/WatchungFebruary2025.pdf" TargetMode="External"/><Relationship Id="rId1304" Type="http://schemas.openxmlformats.org/officeDocument/2006/relationships/hyperlink" Target="https://rennamedia.com/wp-content/uploads/2025/02/WatchungMarch2025.pdf" TargetMode="External"/><Relationship Id="rId1305" Type="http://schemas.openxmlformats.org/officeDocument/2006/relationships/hyperlink" Target="https://rennamedia.com/wp-content/uploads/2025/03/WatchungApril2025.pdf" TargetMode="External"/><Relationship Id="rId1306" Type="http://schemas.openxmlformats.org/officeDocument/2006/relationships/hyperlink" Target="https://rennamedia.com/wp-content/uploads/2025/04/WatchungMay2025.pdf" TargetMode="External"/><Relationship Id="rId1307" Type="http://schemas.openxmlformats.org/officeDocument/2006/relationships/hyperlink" Target="https://rennamedia.com/wp-content/uploads/2025/05/WatchungJune2025.pdf" TargetMode="External"/><Relationship Id="rId1308" Type="http://schemas.openxmlformats.org/officeDocument/2006/relationships/hyperlink" Target="https://rennamedia.com/wp-content/uploads/2025/06/WatchungJuly2025.pdf" TargetMode="External"/><Relationship Id="rId1309" Type="http://schemas.openxmlformats.org/officeDocument/2006/relationships/hyperlink" Target="https://rennamedia.com/wp-content/uploads/2025/07/WatchungAugust2025.pdf" TargetMode="External"/><Relationship Id="rId1310" Type="http://schemas.openxmlformats.org/officeDocument/2006/relationships/hyperlink" Target="https://rennamedia.com/wp-content/uploads/2025/08/WatchungSeptember2025.pdf" TargetMode="External"/><Relationship Id="rId1311" Type="http://schemas.openxmlformats.org/officeDocument/2006/relationships/hyperlink" Target="https://rennamedia.com/wp-content/uploads/2025/09/WatchungOctober2025.pdf" TargetMode="External"/><Relationship Id="rId1312" Type="http://schemas.openxmlformats.org/officeDocument/2006/relationships/hyperlink" Target="https://rennamedia.com/wp-content/uploads/2025/10/WatchungNovember2025.pdf" TargetMode="External"/><Relationship Id="rId1313" Type="http://schemas.openxmlformats.org/officeDocument/2006/relationships/hyperlink" Target="https://rennamedia.com/wp-content/uploads/2025/11/WatchungDecember2025.pdf" TargetMode="External"/><Relationship Id="rId1314" Type="http://schemas.openxmlformats.org/officeDocument/2006/relationships/hyperlink" Target="https://rennamedia.com/wp-content/uploads/2025/12/WatchungJanuary2026.pdf" TargetMode="External"/><Relationship Id="rId1315" Type="http://schemas.openxmlformats.org/officeDocument/2006/relationships/hyperlink" Target="https://rennamedia.com/wp-content/uploads/2026/01/WatchungFebruary2026.pdf" TargetMode="External"/><Relationship Id="rId1316" Type="http://schemas.openxmlformats.org/officeDocument/2006/relationships/hyperlink" Target="https://rennamedia.com/wp-content/uploads/2026/02/WatchungMarch2026.pdf" TargetMode="External"/><Relationship Id="rId1317" Type="http://schemas.openxmlformats.org/officeDocument/2006/relationships/hyperlink" Target="https://rennamedia.com/wp-content/uploads/2026/03/WatchungApril2026.pdf" TargetMode="External"/><Relationship Id="rId1318" Type="http://schemas.openxmlformats.org/officeDocument/2006/relationships/hyperlink" Target="https://rennamedia.com/wp-content/uploads/2026/04/WatchungMay2026.pdf" TargetMode="External"/><Relationship Id="rId1319" Type="http://schemas.openxmlformats.org/officeDocument/2006/relationships/hyperlink" Target="https://rennamedia.com/wp-content/uploads/2021/12/WestfieldJanuary2022.pdf" TargetMode="External"/><Relationship Id="rId1320" Type="http://schemas.openxmlformats.org/officeDocument/2006/relationships/hyperlink" Target="https://rennamedia.com/wp-content/uploads/2022/01/WestfieldFebruary2022.pdf" TargetMode="External"/><Relationship Id="rId1321" Type="http://schemas.openxmlformats.org/officeDocument/2006/relationships/hyperlink" Target="https://rennamedia.com/wp-content/uploads/2022/02/WestfieldMarch2022.pdf" TargetMode="External"/><Relationship Id="rId1322" Type="http://schemas.openxmlformats.org/officeDocument/2006/relationships/hyperlink" Target="https://rennamedia.com/wp-content/uploads/2022/03/WestfieldApril2022.pdf" TargetMode="External"/><Relationship Id="rId1323" Type="http://schemas.openxmlformats.org/officeDocument/2006/relationships/hyperlink" Target="https://rennamedia.com/wp-content/uploads/2022/05/WestfieldMay2022issue.pdf" TargetMode="External"/><Relationship Id="rId1324" Type="http://schemas.openxmlformats.org/officeDocument/2006/relationships/hyperlink" Target="https://rennamedia.com/wp-content/uploads/2022/05/WestfieldJune2022.pdf" TargetMode="External"/><Relationship Id="rId1325" Type="http://schemas.openxmlformats.org/officeDocument/2006/relationships/hyperlink" Target="https://rennamedia.com/wp-content/uploads/2022/06/WestfieldJuly2022.pdf" TargetMode="External"/><Relationship Id="rId1326" Type="http://schemas.openxmlformats.org/officeDocument/2006/relationships/hyperlink" Target="https://rennamedia.com/wp-content/uploads/2022/07/WestfieldAugust2022.pdf" TargetMode="External"/><Relationship Id="rId1327" Type="http://schemas.openxmlformats.org/officeDocument/2006/relationships/hyperlink" Target="https://rennamedia.com/wp-content/uploads/2022/09/WestfieldSeptember2022.pdf" TargetMode="External"/><Relationship Id="rId1328" Type="http://schemas.openxmlformats.org/officeDocument/2006/relationships/hyperlink" Target="https://rennamedia.com/wp-content/uploads/2022/10/WestfieldOctober2022.pdf" TargetMode="External"/><Relationship Id="rId1329" Type="http://schemas.openxmlformats.org/officeDocument/2006/relationships/hyperlink" Target="https://rennamedia.com/wp-content/uploads/2022/11/WestfieldNovember2022.pdf" TargetMode="External"/><Relationship Id="rId1330" Type="http://schemas.openxmlformats.org/officeDocument/2006/relationships/hyperlink" Target="https://rennamedia.com/wp-content/uploads/2022/11/WestfieldDecember2022.pdf" TargetMode="External"/><Relationship Id="rId1331" Type="http://schemas.openxmlformats.org/officeDocument/2006/relationships/hyperlink" Target="https://rennamedia.com/wp-content/uploads/2022/12/WestfieldJanuary2023.pdf" TargetMode="External"/><Relationship Id="rId1332" Type="http://schemas.openxmlformats.org/officeDocument/2006/relationships/hyperlink" Target="https://rennamedia.com/wp-content/uploads/2023/01/WestfieldFebruary2023.pdf" TargetMode="External"/><Relationship Id="rId1333" Type="http://schemas.openxmlformats.org/officeDocument/2006/relationships/hyperlink" Target="https://rennamedia.com/wp-content/uploads/2023/02/WestfieldMarch2023.pdf" TargetMode="External"/><Relationship Id="rId1334" Type="http://schemas.openxmlformats.org/officeDocument/2006/relationships/hyperlink" Target="https://rennamedia.com/wp-content/uploads/2023/03/WestfieldApril2023.pdf" TargetMode="External"/><Relationship Id="rId1335" Type="http://schemas.openxmlformats.org/officeDocument/2006/relationships/hyperlink" Target="https://rennamedia.com/wp-content/uploads/2023/04/WestfieldMay2023.pdf" TargetMode="External"/><Relationship Id="rId1336" Type="http://schemas.openxmlformats.org/officeDocument/2006/relationships/hyperlink" Target="https://rennamedia.com/wp-content/uploads/2023/05/WestfieldJune2023.pdf" TargetMode="External"/><Relationship Id="rId1337" Type="http://schemas.openxmlformats.org/officeDocument/2006/relationships/hyperlink" Target="https://rennamedia.com/wp-content/uploads/2023/06/WestfieldJuly2023.pdf" TargetMode="External"/><Relationship Id="rId1338" Type="http://schemas.openxmlformats.org/officeDocument/2006/relationships/hyperlink" Target="https://rennamedia.com/wp-content/uploads/2023/07/WestfieldAug2023.pdf" TargetMode="External"/><Relationship Id="rId1339" Type="http://schemas.openxmlformats.org/officeDocument/2006/relationships/hyperlink" Target="https://rennamedia.com/wp-content/uploads/2023/08/WestfieldSep2023.pdf" TargetMode="External"/><Relationship Id="rId1340" Type="http://schemas.openxmlformats.org/officeDocument/2006/relationships/hyperlink" Target="https://rennamedia.com/wp-content/uploads/2023/10/WestfieldOct2023.pdf" TargetMode="External"/><Relationship Id="rId1341" Type="http://schemas.openxmlformats.org/officeDocument/2006/relationships/hyperlink" Target="https://rennamedia.com/wp-content/uploads/2023/10/WestfieldNov2023.pdf" TargetMode="External"/><Relationship Id="rId1342" Type="http://schemas.openxmlformats.org/officeDocument/2006/relationships/hyperlink" Target="https://rennamedia.com/wp-content/uploads/2023/11/WestfieldDec2023.pdf" TargetMode="External"/><Relationship Id="rId1343" Type="http://schemas.openxmlformats.org/officeDocument/2006/relationships/hyperlink" Target="https://rennamedia.com/wp-content/uploads/2023/12/WestfieldJan2024.pdf" TargetMode="External"/><Relationship Id="rId1344" Type="http://schemas.openxmlformats.org/officeDocument/2006/relationships/hyperlink" Target="https://rennamedia.com/wp-content/uploads/2024/01/WestfieldFeb2024.pdf" TargetMode="External"/><Relationship Id="rId1345" Type="http://schemas.openxmlformats.org/officeDocument/2006/relationships/hyperlink" Target="https://rennamedia.com/wp-content/uploads/2024/02/WestfieldMar2024.pdf" TargetMode="External"/><Relationship Id="rId1346" Type="http://schemas.openxmlformats.org/officeDocument/2006/relationships/hyperlink" Target="https://rennamedia.com/wp-content/uploads/2024/03/WestfieldApr2024.pdf" TargetMode="External"/><Relationship Id="rId1347" Type="http://schemas.openxmlformats.org/officeDocument/2006/relationships/hyperlink" Target="https://rennamedia.com/wp-content/uploads/2024/04/WestfieldMay2024.pdf" TargetMode="External"/><Relationship Id="rId1348" Type="http://schemas.openxmlformats.org/officeDocument/2006/relationships/hyperlink" Target="https://rennamedia.com/wp-content/uploads/2024/05/WestfieldJune2024.pdf" TargetMode="External"/><Relationship Id="rId1349" Type="http://schemas.openxmlformats.org/officeDocument/2006/relationships/hyperlink" Target="https://rennamedia.com/wp-content/uploads/2024/06/WestfieldJuly2024.pdf" TargetMode="External"/><Relationship Id="rId1350" Type="http://schemas.openxmlformats.org/officeDocument/2006/relationships/hyperlink" Target="https://rennamedia.com/wp-content/uploads/2024/07/WestfieldAugust2024.pdf" TargetMode="External"/><Relationship Id="rId1351" Type="http://schemas.openxmlformats.org/officeDocument/2006/relationships/hyperlink" Target="https://rennamedia.com/wp-content/uploads/2024/08/WestfieldSeptember2024.pdf" TargetMode="External"/><Relationship Id="rId1352" Type="http://schemas.openxmlformats.org/officeDocument/2006/relationships/hyperlink" Target="https://rennamedia.com/wp-content/uploads/2024/10/WestfieldOctober2024x.pdf" TargetMode="External"/><Relationship Id="rId1353" Type="http://schemas.openxmlformats.org/officeDocument/2006/relationships/hyperlink" Target="https://rennamedia.com/wp-content/uploads/2024/10/WestfieldNovember2024.pdf" TargetMode="External"/><Relationship Id="rId1354" Type="http://schemas.openxmlformats.org/officeDocument/2006/relationships/hyperlink" Target="https://rennamedia.com/wp-content/uploads/2024/11/WestfieldDecember2024.pdf" TargetMode="External"/><Relationship Id="rId1355" Type="http://schemas.openxmlformats.org/officeDocument/2006/relationships/hyperlink" Target="https://rennamedia.com/wp-content/uploads/2024/12/WestfieldJanuary2025.pdf" TargetMode="External"/><Relationship Id="rId1356" Type="http://schemas.openxmlformats.org/officeDocument/2006/relationships/hyperlink" Target="https://rennamedia.com/wp-content/uploads/2025/02/WestfieldFebruary2025.pdf" TargetMode="External"/><Relationship Id="rId1357" Type="http://schemas.openxmlformats.org/officeDocument/2006/relationships/hyperlink" Target="https://rennamedia.com/wp-content/uploads/2025/02/WestfieldMarch2025.pdf" TargetMode="External"/><Relationship Id="rId1358" Type="http://schemas.openxmlformats.org/officeDocument/2006/relationships/hyperlink" Target="https://rennamedia.com/wp-content/uploads/2025/03/WestfieldApril2025.pdf" TargetMode="External"/><Relationship Id="rId1359" Type="http://schemas.openxmlformats.org/officeDocument/2006/relationships/hyperlink" Target="https://rennamedia.com/wp-content/uploads/2025/04/WestfieldMay2025.pdf" TargetMode="External"/><Relationship Id="rId1360" Type="http://schemas.openxmlformats.org/officeDocument/2006/relationships/hyperlink" Target="https://rennamedia.com/wp-content/uploads/2025/05/WestfieldJune2025.pdf" TargetMode="External"/><Relationship Id="rId1361" Type="http://schemas.openxmlformats.org/officeDocument/2006/relationships/hyperlink" Target="https://rennamedia.com/wp-content/uploads/2025/06/WestfieldJuly2025.pdf" TargetMode="External"/><Relationship Id="rId1362" Type="http://schemas.openxmlformats.org/officeDocument/2006/relationships/hyperlink" Target="https://rennamedia.com/wp-content/uploads/2025/07/WestfieldAugust2025.pdf" TargetMode="External"/><Relationship Id="rId1363" Type="http://schemas.openxmlformats.org/officeDocument/2006/relationships/hyperlink" Target="https://rennamedia.com/wp-content/uploads/2025/08/WestfieldSeptember2025.pdf" TargetMode="External"/><Relationship Id="rId1364" Type="http://schemas.openxmlformats.org/officeDocument/2006/relationships/hyperlink" Target="https://rennamedia.com/wp-content/uploads/2025/09/WestfieldOctober2025.pdf" TargetMode="External"/><Relationship Id="rId1365" Type="http://schemas.openxmlformats.org/officeDocument/2006/relationships/hyperlink" Target="https://rennamedia.com/wp-content/uploads/2025/10/WestfieldNovember2025.pdf" TargetMode="External"/><Relationship Id="rId1366" Type="http://schemas.openxmlformats.org/officeDocument/2006/relationships/hyperlink" Target="https://rennamedia.com/wp-content/uploads/2025/11/WestfieldDecember2025.pdf" TargetMode="External"/><Relationship Id="rId1367" Type="http://schemas.openxmlformats.org/officeDocument/2006/relationships/hyperlink" Target="https://rennamedia.com/wp-content/uploads/2025/12/WestfieldJanuary2026.pdf" TargetMode="External"/><Relationship Id="rId1368" Type="http://schemas.openxmlformats.org/officeDocument/2006/relationships/hyperlink" Target="https://rennamedia.com/wp-content/uploads/2026/01/WestfieldFebruary2026.pdf" TargetMode="External"/><Relationship Id="rId1369" Type="http://schemas.openxmlformats.org/officeDocument/2006/relationships/hyperlink" Target="https://rennamedia.com/wp-content/uploads/2026/02/WestfieldMarch2026.pdf" TargetMode="External"/><Relationship Id="rId1370" Type="http://schemas.openxmlformats.org/officeDocument/2006/relationships/hyperlink" Target="https://rennamedia.com/wp-content/uploads/2026/03/WestfieldApril2026.pdf" TargetMode="External"/><Relationship Id="rId1371" Type="http://schemas.openxmlformats.org/officeDocument/2006/relationships/hyperlink" Target="https://rennamedia.com/wp-content/uploads/2026/04/WestfieldMay2026.pdf" TargetMode="External"/><Relationship Id="rId137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3" min="2" style="0" width="12"/>
    <col collapsed="false" customWidth="true" hidden="false" outlineLevel="0" max="34" min="34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60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3" t="s">
        <v>35</v>
      </c>
    </row>
    <row r="5" customFormat="false" ht="15" hidden="false" customHeight="false" outlineLevel="0" collapsed="false">
      <c r="A5" s="5" t="s">
        <v>36</v>
      </c>
      <c r="B5" s="6" t="n">
        <v>16</v>
      </c>
      <c r="C5" s="6" t="n">
        <v>20</v>
      </c>
      <c r="D5" s="6" t="n">
        <v>16</v>
      </c>
      <c r="E5" s="6" t="n">
        <v>20</v>
      </c>
      <c r="F5" s="7"/>
      <c r="G5" s="7"/>
      <c r="H5" s="6" t="n">
        <v>12</v>
      </c>
      <c r="I5" s="7"/>
      <c r="J5" s="6" t="n">
        <v>8</v>
      </c>
      <c r="K5" s="6" t="n">
        <v>8</v>
      </c>
      <c r="L5" s="7"/>
      <c r="M5" s="6" t="n">
        <v>12</v>
      </c>
      <c r="N5" s="6" t="n">
        <v>16</v>
      </c>
      <c r="O5" s="7"/>
      <c r="P5" s="6" t="n">
        <v>12</v>
      </c>
      <c r="Q5" s="6" t="n">
        <v>8</v>
      </c>
      <c r="R5" s="7"/>
      <c r="S5" s="6" t="n">
        <v>8</v>
      </c>
      <c r="T5" s="7"/>
      <c r="U5" s="7"/>
      <c r="V5" s="6" t="n">
        <v>16</v>
      </c>
      <c r="W5" s="6" t="n">
        <v>16</v>
      </c>
      <c r="X5" s="7"/>
      <c r="Y5" s="7"/>
      <c r="Z5" s="6" t="n">
        <v>12</v>
      </c>
      <c r="AA5" s="6" t="n">
        <v>16</v>
      </c>
      <c r="AB5" s="6" t="n">
        <v>12</v>
      </c>
      <c r="AC5" s="6" t="n">
        <v>20</v>
      </c>
      <c r="AD5" s="7"/>
      <c r="AE5" s="6" t="n">
        <v>12</v>
      </c>
      <c r="AF5" s="6" t="n">
        <v>12</v>
      </c>
      <c r="AG5" s="6" t="n">
        <v>20</v>
      </c>
      <c r="AH5" s="8" t="n">
        <f aca="false">SUM(B5:AG5)</f>
        <v>292</v>
      </c>
    </row>
    <row r="6" customFormat="false" ht="15" hidden="false" customHeight="false" outlineLevel="0" collapsed="false">
      <c r="A6" s="5" t="s">
        <v>37</v>
      </c>
      <c r="B6" s="6" t="n">
        <v>16</v>
      </c>
      <c r="C6" s="6" t="n">
        <v>16</v>
      </c>
      <c r="D6" s="6" t="n">
        <v>16</v>
      </c>
      <c r="E6" s="6" t="n">
        <v>16</v>
      </c>
      <c r="F6" s="7"/>
      <c r="G6" s="7"/>
      <c r="H6" s="6" t="n">
        <v>12</v>
      </c>
      <c r="I6" s="7"/>
      <c r="J6" s="6" t="n">
        <v>8</v>
      </c>
      <c r="K6" s="6" t="n">
        <v>8</v>
      </c>
      <c r="L6" s="7"/>
      <c r="M6" s="6" t="n">
        <v>12</v>
      </c>
      <c r="N6" s="6" t="n">
        <v>16</v>
      </c>
      <c r="O6" s="7"/>
      <c r="P6" s="6" t="n">
        <v>12</v>
      </c>
      <c r="Q6" s="6" t="n">
        <v>12</v>
      </c>
      <c r="R6" s="7"/>
      <c r="S6" s="6" t="n">
        <v>12</v>
      </c>
      <c r="T6" s="7"/>
      <c r="U6" s="7"/>
      <c r="V6" s="6" t="n">
        <v>20</v>
      </c>
      <c r="W6" s="6" t="n">
        <v>16</v>
      </c>
      <c r="X6" s="7"/>
      <c r="Y6" s="7"/>
      <c r="Z6" s="6" t="n">
        <v>12</v>
      </c>
      <c r="AA6" s="6" t="n">
        <v>16</v>
      </c>
      <c r="AB6" s="6" t="n">
        <v>12</v>
      </c>
      <c r="AC6" s="6" t="n">
        <v>20</v>
      </c>
      <c r="AD6" s="7"/>
      <c r="AE6" s="6" t="n">
        <v>12</v>
      </c>
      <c r="AF6" s="6" t="n">
        <v>12</v>
      </c>
      <c r="AG6" s="6" t="n">
        <v>20</v>
      </c>
      <c r="AH6" s="8" t="n">
        <f aca="false">SUM(B6:AG6)</f>
        <v>296</v>
      </c>
    </row>
    <row r="7" customFormat="false" ht="15" hidden="false" customHeight="false" outlineLevel="0" collapsed="false">
      <c r="A7" s="5" t="s">
        <v>38</v>
      </c>
      <c r="B7" s="6" t="n">
        <v>24</v>
      </c>
      <c r="C7" s="6" t="n">
        <v>24</v>
      </c>
      <c r="D7" s="6" t="n">
        <v>20</v>
      </c>
      <c r="E7" s="6" t="n">
        <v>24</v>
      </c>
      <c r="F7" s="7"/>
      <c r="G7" s="6" t="n">
        <v>12</v>
      </c>
      <c r="H7" s="6" t="n">
        <v>12</v>
      </c>
      <c r="I7" s="6" t="n">
        <v>12</v>
      </c>
      <c r="J7" s="6" t="n">
        <v>12</v>
      </c>
      <c r="K7" s="6" t="n">
        <v>12</v>
      </c>
      <c r="L7" s="7"/>
      <c r="M7" s="6" t="n">
        <v>16</v>
      </c>
      <c r="N7" s="6" t="n">
        <v>20</v>
      </c>
      <c r="O7" s="7"/>
      <c r="P7" s="6" t="n">
        <v>12</v>
      </c>
      <c r="Q7" s="6" t="n">
        <v>12</v>
      </c>
      <c r="R7" s="6" t="n">
        <v>16</v>
      </c>
      <c r="S7" s="6" t="n">
        <v>16</v>
      </c>
      <c r="T7" s="7"/>
      <c r="U7" s="7"/>
      <c r="V7" s="6" t="n">
        <v>20</v>
      </c>
      <c r="W7" s="6" t="n">
        <v>24</v>
      </c>
      <c r="X7" s="7"/>
      <c r="Y7" s="7"/>
      <c r="Z7" s="6" t="n">
        <v>16</v>
      </c>
      <c r="AA7" s="6" t="n">
        <v>20</v>
      </c>
      <c r="AB7" s="6" t="n">
        <v>16</v>
      </c>
      <c r="AC7" s="6" t="n">
        <v>24</v>
      </c>
      <c r="AD7" s="7"/>
      <c r="AE7" s="6" t="n">
        <v>16</v>
      </c>
      <c r="AF7" s="6" t="n">
        <v>12</v>
      </c>
      <c r="AG7" s="6" t="n">
        <v>24</v>
      </c>
      <c r="AH7" s="8" t="n">
        <f aca="false">SUM(B7:AG7)</f>
        <v>416</v>
      </c>
    </row>
    <row r="8" customFormat="false" ht="15" hidden="false" customHeight="false" outlineLevel="0" collapsed="false">
      <c r="A8" s="5" t="s">
        <v>39</v>
      </c>
      <c r="B8" s="6" t="n">
        <v>24</v>
      </c>
      <c r="C8" s="6" t="n">
        <v>24</v>
      </c>
      <c r="D8" s="6" t="n">
        <v>24</v>
      </c>
      <c r="E8" s="6" t="n">
        <v>28</v>
      </c>
      <c r="F8" s="7"/>
      <c r="G8" s="6" t="n">
        <v>16</v>
      </c>
      <c r="H8" s="6" t="n">
        <v>20</v>
      </c>
      <c r="I8" s="6" t="n">
        <v>16</v>
      </c>
      <c r="J8" s="6" t="n">
        <v>20</v>
      </c>
      <c r="K8" s="6" t="n">
        <v>16</v>
      </c>
      <c r="L8" s="7"/>
      <c r="M8" s="6" t="n">
        <v>20</v>
      </c>
      <c r="N8" s="6" t="n">
        <v>24</v>
      </c>
      <c r="O8" s="7"/>
      <c r="P8" s="6" t="n">
        <v>16</v>
      </c>
      <c r="Q8" s="6" t="n">
        <v>16</v>
      </c>
      <c r="R8" s="6" t="n">
        <v>20</v>
      </c>
      <c r="S8" s="6" t="n">
        <v>20</v>
      </c>
      <c r="T8" s="7"/>
      <c r="U8" s="7"/>
      <c r="V8" s="6" t="n">
        <v>20</v>
      </c>
      <c r="W8" s="6" t="n">
        <v>24</v>
      </c>
      <c r="X8" s="7"/>
      <c r="Y8" s="7"/>
      <c r="Z8" s="6" t="n">
        <v>20</v>
      </c>
      <c r="AA8" s="6" t="n">
        <v>28</v>
      </c>
      <c r="AB8" s="6" t="n">
        <v>20</v>
      </c>
      <c r="AC8" s="6" t="n">
        <v>28</v>
      </c>
      <c r="AD8" s="7"/>
      <c r="AE8" s="6" t="n">
        <v>20</v>
      </c>
      <c r="AF8" s="6" t="n">
        <v>16</v>
      </c>
      <c r="AG8" s="6" t="n">
        <v>32</v>
      </c>
      <c r="AH8" s="8" t="n">
        <f aca="false">SUM(B8:AG8)</f>
        <v>512</v>
      </c>
    </row>
    <row r="9" customFormat="false" ht="15" hidden="false" customHeight="false" outlineLevel="0" collapsed="false">
      <c r="A9" s="5" t="s">
        <v>40</v>
      </c>
      <c r="B9" s="6" t="n">
        <v>24</v>
      </c>
      <c r="C9" s="6" t="n">
        <v>28</v>
      </c>
      <c r="D9" s="6" t="n">
        <v>24</v>
      </c>
      <c r="E9" s="6" t="n">
        <v>32</v>
      </c>
      <c r="F9" s="7"/>
      <c r="G9" s="6" t="n">
        <v>16</v>
      </c>
      <c r="H9" s="6" t="n">
        <v>20</v>
      </c>
      <c r="I9" s="6" t="n">
        <v>12</v>
      </c>
      <c r="J9" s="6" t="n">
        <v>12</v>
      </c>
      <c r="K9" s="6" t="n">
        <v>16</v>
      </c>
      <c r="L9" s="7"/>
      <c r="M9" s="6" t="n">
        <v>20</v>
      </c>
      <c r="N9" s="6" t="n">
        <v>24</v>
      </c>
      <c r="O9" s="7"/>
      <c r="P9" s="6" t="n">
        <v>16</v>
      </c>
      <c r="Q9" s="6" t="n">
        <v>12</v>
      </c>
      <c r="R9" s="6" t="n">
        <v>20</v>
      </c>
      <c r="S9" s="6" t="n">
        <v>20</v>
      </c>
      <c r="T9" s="7"/>
      <c r="U9" s="7"/>
      <c r="V9" s="6" t="n">
        <v>24</v>
      </c>
      <c r="W9" s="6" t="n">
        <v>24</v>
      </c>
      <c r="X9" s="7"/>
      <c r="Y9" s="7"/>
      <c r="Z9" s="6" t="n">
        <v>16</v>
      </c>
      <c r="AA9" s="6" t="n">
        <v>28</v>
      </c>
      <c r="AB9" s="6" t="n">
        <v>16</v>
      </c>
      <c r="AC9" s="6" t="n">
        <v>28</v>
      </c>
      <c r="AD9" s="7"/>
      <c r="AE9" s="6" t="n">
        <v>20</v>
      </c>
      <c r="AF9" s="6" t="n">
        <v>16</v>
      </c>
      <c r="AG9" s="6" t="n">
        <v>36</v>
      </c>
      <c r="AH9" s="8" t="n">
        <f aca="false">SUM(B9:AG9)</f>
        <v>504</v>
      </c>
    </row>
    <row r="10" customFormat="false" ht="15" hidden="false" customHeight="false" outlineLevel="0" collapsed="false">
      <c r="A10" s="5" t="s">
        <v>41</v>
      </c>
      <c r="B10" s="6" t="n">
        <v>28</v>
      </c>
      <c r="C10" s="6" t="n">
        <v>24</v>
      </c>
      <c r="D10" s="6" t="n">
        <v>24</v>
      </c>
      <c r="E10" s="6" t="n">
        <v>28</v>
      </c>
      <c r="F10" s="7"/>
      <c r="G10" s="6" t="n">
        <v>12</v>
      </c>
      <c r="H10" s="6" t="n">
        <v>16</v>
      </c>
      <c r="I10" s="6" t="n">
        <v>16</v>
      </c>
      <c r="J10" s="6" t="n">
        <v>12</v>
      </c>
      <c r="K10" s="6" t="n">
        <v>16</v>
      </c>
      <c r="L10" s="7"/>
      <c r="M10" s="6" t="n">
        <v>16</v>
      </c>
      <c r="N10" s="6" t="n">
        <v>20</v>
      </c>
      <c r="O10" s="7"/>
      <c r="P10" s="6" t="n">
        <v>16</v>
      </c>
      <c r="Q10" s="6" t="n">
        <v>16</v>
      </c>
      <c r="R10" s="6" t="n">
        <v>24</v>
      </c>
      <c r="S10" s="6" t="n">
        <v>20</v>
      </c>
      <c r="T10" s="7"/>
      <c r="U10" s="7"/>
      <c r="V10" s="6" t="n">
        <v>24</v>
      </c>
      <c r="W10" s="6" t="n">
        <v>24</v>
      </c>
      <c r="X10" s="7"/>
      <c r="Y10" s="7"/>
      <c r="Z10" s="6" t="n">
        <v>16</v>
      </c>
      <c r="AA10" s="6" t="n">
        <v>24</v>
      </c>
      <c r="AB10" s="6" t="n">
        <v>16</v>
      </c>
      <c r="AC10" s="6" t="n">
        <v>28</v>
      </c>
      <c r="AD10" s="7"/>
      <c r="AE10" s="6" t="n">
        <v>20</v>
      </c>
      <c r="AF10" s="6" t="n">
        <v>16</v>
      </c>
      <c r="AG10" s="6" t="n">
        <v>32</v>
      </c>
      <c r="AH10" s="8" t="n">
        <f aca="false">SUM(B10:AG10)</f>
        <v>488</v>
      </c>
    </row>
    <row r="11" customFormat="false" ht="15" hidden="false" customHeight="false" outlineLevel="0" collapsed="false">
      <c r="A11" s="5" t="s">
        <v>42</v>
      </c>
      <c r="B11" s="6" t="n">
        <v>20</v>
      </c>
      <c r="C11" s="6" t="n">
        <v>20</v>
      </c>
      <c r="D11" s="6" t="n">
        <v>16</v>
      </c>
      <c r="E11" s="6" t="n">
        <v>24</v>
      </c>
      <c r="F11" s="7"/>
      <c r="G11" s="6" t="n">
        <v>12</v>
      </c>
      <c r="H11" s="6" t="n">
        <v>16</v>
      </c>
      <c r="I11" s="6" t="n">
        <v>12</v>
      </c>
      <c r="J11" s="6" t="n">
        <v>12</v>
      </c>
      <c r="K11" s="6" t="n">
        <v>12</v>
      </c>
      <c r="L11" s="7"/>
      <c r="M11" s="6" t="n">
        <v>12</v>
      </c>
      <c r="N11" s="6" t="n">
        <v>20</v>
      </c>
      <c r="O11" s="7"/>
      <c r="P11" s="6" t="n">
        <v>12</v>
      </c>
      <c r="Q11" s="6" t="n">
        <v>12</v>
      </c>
      <c r="R11" s="6" t="n">
        <v>16</v>
      </c>
      <c r="S11" s="6" t="n">
        <v>16</v>
      </c>
      <c r="T11" s="7"/>
      <c r="U11" s="7"/>
      <c r="V11" s="6" t="n">
        <v>16</v>
      </c>
      <c r="W11" s="6" t="n">
        <v>20</v>
      </c>
      <c r="X11" s="7"/>
      <c r="Y11" s="7"/>
      <c r="Z11" s="6" t="n">
        <v>12</v>
      </c>
      <c r="AA11" s="6" t="n">
        <v>20</v>
      </c>
      <c r="AB11" s="6" t="n">
        <v>16</v>
      </c>
      <c r="AC11" s="6" t="n">
        <v>20</v>
      </c>
      <c r="AD11" s="7"/>
      <c r="AE11" s="6" t="n">
        <v>16</v>
      </c>
      <c r="AF11" s="6" t="n">
        <v>12</v>
      </c>
      <c r="AG11" s="6" t="n">
        <v>24</v>
      </c>
      <c r="AH11" s="8" t="n">
        <f aca="false">SUM(B11:AG11)</f>
        <v>388</v>
      </c>
    </row>
    <row r="12" customFormat="false" ht="15" hidden="false" customHeight="false" outlineLevel="0" collapsed="false">
      <c r="A12" s="5" t="s">
        <v>43</v>
      </c>
      <c r="B12" s="6" t="n">
        <v>20</v>
      </c>
      <c r="C12" s="6" t="n">
        <v>16</v>
      </c>
      <c r="D12" s="6" t="n">
        <v>16</v>
      </c>
      <c r="E12" s="6" t="n">
        <v>24</v>
      </c>
      <c r="F12" s="7"/>
      <c r="G12" s="6" t="n">
        <v>12</v>
      </c>
      <c r="H12" s="6" t="n">
        <v>12</v>
      </c>
      <c r="I12" s="6" t="n">
        <v>12</v>
      </c>
      <c r="J12" s="6" t="n">
        <v>12</v>
      </c>
      <c r="K12" s="6" t="n">
        <v>12</v>
      </c>
      <c r="L12" s="7"/>
      <c r="M12" s="6" t="n">
        <v>12</v>
      </c>
      <c r="N12" s="6" t="n">
        <v>20</v>
      </c>
      <c r="O12" s="7"/>
      <c r="P12" s="6" t="n">
        <v>12</v>
      </c>
      <c r="Q12" s="6" t="n">
        <v>12</v>
      </c>
      <c r="R12" s="6" t="n">
        <v>20</v>
      </c>
      <c r="S12" s="6" t="n">
        <v>16</v>
      </c>
      <c r="T12" s="7"/>
      <c r="U12" s="7"/>
      <c r="V12" s="6" t="n">
        <v>16</v>
      </c>
      <c r="W12" s="6" t="n">
        <v>20</v>
      </c>
      <c r="X12" s="7"/>
      <c r="Y12" s="7"/>
      <c r="Z12" s="6" t="n">
        <v>12</v>
      </c>
      <c r="AA12" s="6" t="n">
        <v>20</v>
      </c>
      <c r="AB12" s="6" t="n">
        <v>12</v>
      </c>
      <c r="AC12" s="6" t="n">
        <v>20</v>
      </c>
      <c r="AD12" s="7"/>
      <c r="AE12" s="6" t="n">
        <v>16</v>
      </c>
      <c r="AF12" s="6" t="n">
        <v>12</v>
      </c>
      <c r="AG12" s="6" t="n">
        <v>24</v>
      </c>
      <c r="AH12" s="8" t="n">
        <f aca="false">SUM(B12:AG12)</f>
        <v>380</v>
      </c>
    </row>
    <row r="13" customFormat="false" ht="15" hidden="false" customHeight="false" outlineLevel="0" collapsed="false">
      <c r="A13" s="5" t="s">
        <v>44</v>
      </c>
      <c r="B13" s="6" t="n">
        <v>24</v>
      </c>
      <c r="C13" s="6" t="n">
        <v>28</v>
      </c>
      <c r="D13" s="6" t="n">
        <v>20</v>
      </c>
      <c r="E13" s="6" t="n">
        <v>28</v>
      </c>
      <c r="F13" s="7"/>
      <c r="G13" s="6" t="n">
        <v>12</v>
      </c>
      <c r="H13" s="6" t="n">
        <v>16</v>
      </c>
      <c r="I13" s="6" t="n">
        <v>12</v>
      </c>
      <c r="J13" s="6" t="n">
        <v>12</v>
      </c>
      <c r="K13" s="6" t="n">
        <v>16</v>
      </c>
      <c r="L13" s="7"/>
      <c r="M13" s="6" t="n">
        <v>16</v>
      </c>
      <c r="N13" s="6" t="n">
        <v>24</v>
      </c>
      <c r="O13" s="7"/>
      <c r="P13" s="6" t="n">
        <v>12</v>
      </c>
      <c r="Q13" s="6" t="n">
        <v>16</v>
      </c>
      <c r="R13" s="6" t="n">
        <v>20</v>
      </c>
      <c r="S13" s="6" t="n">
        <v>16</v>
      </c>
      <c r="T13" s="7"/>
      <c r="U13" s="7"/>
      <c r="V13" s="6" t="n">
        <v>24</v>
      </c>
      <c r="W13" s="6" t="n">
        <v>24</v>
      </c>
      <c r="X13" s="7"/>
      <c r="Y13" s="7"/>
      <c r="Z13" s="6" t="n">
        <v>16</v>
      </c>
      <c r="AA13" s="6" t="n">
        <v>24</v>
      </c>
      <c r="AB13" s="6" t="n">
        <v>16</v>
      </c>
      <c r="AC13" s="6" t="n">
        <v>24</v>
      </c>
      <c r="AD13" s="7"/>
      <c r="AE13" s="6" t="n">
        <v>16</v>
      </c>
      <c r="AF13" s="6" t="n">
        <v>16</v>
      </c>
      <c r="AG13" s="6" t="n">
        <v>36</v>
      </c>
      <c r="AH13" s="8" t="n">
        <f aca="false">SUM(B13:AG13)</f>
        <v>468</v>
      </c>
    </row>
    <row r="14" customFormat="false" ht="15" hidden="false" customHeight="false" outlineLevel="0" collapsed="false">
      <c r="A14" s="5" t="s">
        <v>45</v>
      </c>
      <c r="B14" s="6" t="n">
        <v>20</v>
      </c>
      <c r="C14" s="6" t="n">
        <v>24</v>
      </c>
      <c r="D14" s="6" t="n">
        <v>20</v>
      </c>
      <c r="E14" s="6" t="n">
        <v>28</v>
      </c>
      <c r="F14" s="7"/>
      <c r="G14" s="6" t="n">
        <v>16</v>
      </c>
      <c r="H14" s="6" t="n">
        <v>16</v>
      </c>
      <c r="I14" s="6" t="n">
        <v>12</v>
      </c>
      <c r="J14" s="6" t="n">
        <v>16</v>
      </c>
      <c r="K14" s="6" t="n">
        <v>16</v>
      </c>
      <c r="L14" s="7"/>
      <c r="M14" s="6" t="n">
        <v>16</v>
      </c>
      <c r="N14" s="6" t="n">
        <v>24</v>
      </c>
      <c r="O14" s="7"/>
      <c r="P14" s="6" t="n">
        <v>16</v>
      </c>
      <c r="Q14" s="6" t="n">
        <v>16</v>
      </c>
      <c r="R14" s="6" t="n">
        <v>20</v>
      </c>
      <c r="S14" s="6" t="n">
        <v>20</v>
      </c>
      <c r="T14" s="7"/>
      <c r="U14" s="7"/>
      <c r="V14" s="6" t="n">
        <v>20</v>
      </c>
      <c r="W14" s="6" t="n">
        <v>24</v>
      </c>
      <c r="X14" s="7"/>
      <c r="Y14" s="7"/>
      <c r="Z14" s="6" t="n">
        <v>16</v>
      </c>
      <c r="AA14" s="6" t="n">
        <v>24</v>
      </c>
      <c r="AB14" s="6" t="n">
        <v>20</v>
      </c>
      <c r="AC14" s="6" t="n">
        <v>24</v>
      </c>
      <c r="AD14" s="7"/>
      <c r="AE14" s="6" t="n">
        <v>20</v>
      </c>
      <c r="AF14" s="6" t="n">
        <v>20</v>
      </c>
      <c r="AG14" s="6" t="n">
        <v>28</v>
      </c>
      <c r="AH14" s="8" t="n">
        <f aca="false">SUM(B14:AG14)</f>
        <v>476</v>
      </c>
    </row>
    <row r="15" customFormat="false" ht="15" hidden="false" customHeight="false" outlineLevel="0" collapsed="false">
      <c r="A15" s="5" t="s">
        <v>46</v>
      </c>
      <c r="B15" s="6" t="n">
        <v>16</v>
      </c>
      <c r="C15" s="6" t="n">
        <v>24</v>
      </c>
      <c r="D15" s="6" t="n">
        <v>16</v>
      </c>
      <c r="E15" s="6" t="n">
        <v>24</v>
      </c>
      <c r="F15" s="7"/>
      <c r="G15" s="6" t="n">
        <v>12</v>
      </c>
      <c r="H15" s="6" t="n">
        <v>12</v>
      </c>
      <c r="I15" s="6" t="n">
        <v>12</v>
      </c>
      <c r="J15" s="6" t="n">
        <v>12</v>
      </c>
      <c r="K15" s="6" t="n">
        <v>12</v>
      </c>
      <c r="L15" s="7"/>
      <c r="M15" s="6" t="n">
        <v>16</v>
      </c>
      <c r="N15" s="6" t="n">
        <v>20</v>
      </c>
      <c r="O15" s="7"/>
      <c r="P15" s="6" t="n">
        <v>12</v>
      </c>
      <c r="Q15" s="6" t="n">
        <v>12</v>
      </c>
      <c r="R15" s="6" t="n">
        <v>16</v>
      </c>
      <c r="S15" s="6" t="n">
        <v>16</v>
      </c>
      <c r="T15" s="7"/>
      <c r="U15" s="7"/>
      <c r="V15" s="6" t="n">
        <v>16</v>
      </c>
      <c r="W15" s="6" t="n">
        <v>24</v>
      </c>
      <c r="X15" s="7"/>
      <c r="Y15" s="7"/>
      <c r="Z15" s="6" t="n">
        <v>16</v>
      </c>
      <c r="AA15" s="6" t="n">
        <v>20</v>
      </c>
      <c r="AB15" s="6" t="n">
        <v>16</v>
      </c>
      <c r="AC15" s="6" t="n">
        <v>20</v>
      </c>
      <c r="AD15" s="7"/>
      <c r="AE15" s="6" t="n">
        <v>16</v>
      </c>
      <c r="AF15" s="6" t="n">
        <v>16</v>
      </c>
      <c r="AG15" s="6" t="n">
        <v>24</v>
      </c>
      <c r="AH15" s="8" t="n">
        <f aca="false">SUM(B15:AG15)</f>
        <v>400</v>
      </c>
    </row>
    <row r="16" customFormat="false" ht="15" hidden="false" customHeight="false" outlineLevel="0" collapsed="false">
      <c r="A16" s="5" t="s">
        <v>47</v>
      </c>
      <c r="B16" s="6" t="n">
        <v>20</v>
      </c>
      <c r="C16" s="6" t="n">
        <v>28</v>
      </c>
      <c r="D16" s="6" t="n">
        <v>20</v>
      </c>
      <c r="E16" s="6" t="n">
        <v>32</v>
      </c>
      <c r="F16" s="7"/>
      <c r="G16" s="6" t="n">
        <v>16</v>
      </c>
      <c r="H16" s="6" t="n">
        <v>16</v>
      </c>
      <c r="I16" s="6" t="n">
        <v>16</v>
      </c>
      <c r="J16" s="6" t="n">
        <v>16</v>
      </c>
      <c r="K16" s="6" t="n">
        <v>19</v>
      </c>
      <c r="L16" s="7"/>
      <c r="M16" s="6" t="n">
        <v>16</v>
      </c>
      <c r="N16" s="6" t="n">
        <v>24</v>
      </c>
      <c r="O16" s="7"/>
      <c r="P16" s="6" t="n">
        <v>16</v>
      </c>
      <c r="Q16" s="6" t="n">
        <v>16</v>
      </c>
      <c r="R16" s="6" t="n">
        <v>24</v>
      </c>
      <c r="S16" s="6" t="n">
        <v>20</v>
      </c>
      <c r="T16" s="7"/>
      <c r="U16" s="7"/>
      <c r="V16" s="6" t="n">
        <v>28</v>
      </c>
      <c r="W16" s="6" t="n">
        <v>24</v>
      </c>
      <c r="X16" s="7"/>
      <c r="Y16" s="7"/>
      <c r="Z16" s="6" t="n">
        <v>20</v>
      </c>
      <c r="AA16" s="6" t="n">
        <v>28</v>
      </c>
      <c r="AB16" s="6" t="n">
        <v>20</v>
      </c>
      <c r="AC16" s="6" t="n">
        <v>24</v>
      </c>
      <c r="AD16" s="7"/>
      <c r="AE16" s="6" t="n">
        <v>20</v>
      </c>
      <c r="AF16" s="6" t="n">
        <v>16</v>
      </c>
      <c r="AG16" s="6" t="n">
        <v>32</v>
      </c>
      <c r="AH16" s="8" t="n">
        <f aca="false">SUM(B16:AG16)</f>
        <v>511</v>
      </c>
    </row>
    <row r="17" customFormat="false" ht="15" hidden="false" customHeight="false" outlineLevel="0" collapsed="false">
      <c r="A17" s="5" t="s">
        <v>48</v>
      </c>
      <c r="B17" s="6" t="n">
        <v>16</v>
      </c>
      <c r="C17" s="6" t="n">
        <v>24</v>
      </c>
      <c r="D17" s="6" t="n">
        <v>16</v>
      </c>
      <c r="E17" s="6" t="n">
        <v>28</v>
      </c>
      <c r="F17" s="7"/>
      <c r="G17" s="6" t="n">
        <v>12</v>
      </c>
      <c r="H17" s="6" t="n">
        <v>12</v>
      </c>
      <c r="I17" s="6" t="n">
        <v>12</v>
      </c>
      <c r="J17" s="6" t="n">
        <v>12</v>
      </c>
      <c r="K17" s="6" t="n">
        <v>12</v>
      </c>
      <c r="L17" s="7"/>
      <c r="M17" s="6" t="n">
        <v>12</v>
      </c>
      <c r="N17" s="6" t="n">
        <v>16</v>
      </c>
      <c r="O17" s="7"/>
      <c r="P17" s="6" t="n">
        <v>12</v>
      </c>
      <c r="Q17" s="6" t="n">
        <v>12</v>
      </c>
      <c r="R17" s="6" t="n">
        <v>16</v>
      </c>
      <c r="S17" s="6" t="n">
        <v>16</v>
      </c>
      <c r="T17" s="7"/>
      <c r="U17" s="7"/>
      <c r="V17" s="6" t="n">
        <v>16</v>
      </c>
      <c r="W17" s="6" t="n">
        <v>20</v>
      </c>
      <c r="X17" s="7"/>
      <c r="Y17" s="7"/>
      <c r="Z17" s="6" t="n">
        <v>12</v>
      </c>
      <c r="AA17" s="6" t="n">
        <v>20</v>
      </c>
      <c r="AB17" s="6" t="n">
        <v>12</v>
      </c>
      <c r="AC17" s="6" t="n">
        <v>20</v>
      </c>
      <c r="AD17" s="7"/>
      <c r="AE17" s="6" t="n">
        <v>12</v>
      </c>
      <c r="AF17" s="6" t="n">
        <v>12</v>
      </c>
      <c r="AG17" s="6" t="n">
        <v>24</v>
      </c>
      <c r="AH17" s="8" t="n">
        <f aca="false">SUM(B17:AG17)</f>
        <v>376</v>
      </c>
    </row>
    <row r="18" customFormat="false" ht="15" hidden="false" customHeight="false" outlineLevel="0" collapsed="false">
      <c r="A18" s="5" t="s">
        <v>49</v>
      </c>
      <c r="B18" s="6" t="n">
        <v>16</v>
      </c>
      <c r="C18" s="6" t="n">
        <v>20</v>
      </c>
      <c r="D18" s="6" t="n">
        <v>16</v>
      </c>
      <c r="E18" s="6" t="n">
        <v>20</v>
      </c>
      <c r="F18" s="7"/>
      <c r="G18" s="6" t="n">
        <v>12</v>
      </c>
      <c r="H18" s="6" t="n">
        <v>12</v>
      </c>
      <c r="I18" s="6" t="n">
        <v>8</v>
      </c>
      <c r="J18" s="6" t="n">
        <v>8</v>
      </c>
      <c r="K18" s="6" t="n">
        <v>12</v>
      </c>
      <c r="L18" s="7"/>
      <c r="M18" s="6" t="n">
        <v>12</v>
      </c>
      <c r="N18" s="6" t="n">
        <v>16</v>
      </c>
      <c r="O18" s="7"/>
      <c r="P18" s="6" t="n">
        <v>12</v>
      </c>
      <c r="Q18" s="6" t="n">
        <v>12</v>
      </c>
      <c r="R18" s="6" t="n">
        <v>16</v>
      </c>
      <c r="S18" s="6" t="n">
        <v>12</v>
      </c>
      <c r="T18" s="7"/>
      <c r="U18" s="7"/>
      <c r="V18" s="6" t="n">
        <v>16</v>
      </c>
      <c r="W18" s="6" t="n">
        <v>20</v>
      </c>
      <c r="X18" s="7"/>
      <c r="Y18" s="7"/>
      <c r="Z18" s="6" t="n">
        <v>12</v>
      </c>
      <c r="AA18" s="6" t="n">
        <v>20</v>
      </c>
      <c r="AB18" s="6" t="n">
        <v>12</v>
      </c>
      <c r="AC18" s="6" t="n">
        <v>20</v>
      </c>
      <c r="AD18" s="7"/>
      <c r="AE18" s="6" t="n">
        <v>12</v>
      </c>
      <c r="AF18" s="6" t="n">
        <v>12</v>
      </c>
      <c r="AG18" s="6" t="n">
        <v>24</v>
      </c>
      <c r="AH18" s="8" t="n">
        <f aca="false">SUM(B18:AG18)</f>
        <v>352</v>
      </c>
    </row>
    <row r="19" customFormat="false" ht="15" hidden="false" customHeight="false" outlineLevel="0" collapsed="false">
      <c r="A19" s="5" t="s">
        <v>50</v>
      </c>
      <c r="B19" s="6" t="n">
        <v>20</v>
      </c>
      <c r="C19" s="6" t="n">
        <v>24</v>
      </c>
      <c r="D19" s="6" t="n">
        <v>16</v>
      </c>
      <c r="E19" s="6" t="n">
        <v>24</v>
      </c>
      <c r="F19" s="7"/>
      <c r="G19" s="6" t="n">
        <v>16</v>
      </c>
      <c r="H19" s="6" t="n">
        <v>16</v>
      </c>
      <c r="I19" s="6" t="n">
        <v>8</v>
      </c>
      <c r="J19" s="6" t="n">
        <v>12</v>
      </c>
      <c r="K19" s="6" t="n">
        <v>12</v>
      </c>
      <c r="L19" s="7"/>
      <c r="M19" s="6" t="n">
        <v>16</v>
      </c>
      <c r="N19" s="6" t="n">
        <v>20</v>
      </c>
      <c r="O19" s="7"/>
      <c r="P19" s="6" t="n">
        <v>12</v>
      </c>
      <c r="Q19" s="6" t="n">
        <v>12</v>
      </c>
      <c r="R19" s="6" t="n">
        <v>20</v>
      </c>
      <c r="S19" s="6" t="n">
        <v>16</v>
      </c>
      <c r="T19" s="7"/>
      <c r="U19" s="7"/>
      <c r="V19" s="6" t="n">
        <v>20</v>
      </c>
      <c r="W19" s="6" t="n">
        <v>20</v>
      </c>
      <c r="X19" s="7"/>
      <c r="Y19" s="7"/>
      <c r="Z19" s="6" t="n">
        <v>16</v>
      </c>
      <c r="AA19" s="6" t="n">
        <v>20</v>
      </c>
      <c r="AB19" s="6" t="n">
        <v>16</v>
      </c>
      <c r="AC19" s="6" t="n">
        <v>24</v>
      </c>
      <c r="AD19" s="7"/>
      <c r="AE19" s="6" t="n">
        <v>12</v>
      </c>
      <c r="AF19" s="6" t="n">
        <v>16</v>
      </c>
      <c r="AG19" s="6" t="n">
        <v>28</v>
      </c>
      <c r="AH19" s="8" t="n">
        <f aca="false">SUM(B19:AG19)</f>
        <v>416</v>
      </c>
    </row>
    <row r="20" customFormat="false" ht="15" hidden="false" customHeight="false" outlineLevel="0" collapsed="false">
      <c r="A20" s="5" t="s">
        <v>51</v>
      </c>
      <c r="B20" s="6" t="n">
        <v>24</v>
      </c>
      <c r="C20" s="6" t="n">
        <v>24</v>
      </c>
      <c r="D20" s="6" t="n">
        <v>20</v>
      </c>
      <c r="E20" s="6" t="n">
        <v>28</v>
      </c>
      <c r="F20" s="7"/>
      <c r="G20" s="6" t="n">
        <v>12</v>
      </c>
      <c r="H20" s="6" t="n">
        <v>20</v>
      </c>
      <c r="I20" s="6" t="n">
        <v>12</v>
      </c>
      <c r="J20" s="6" t="n">
        <v>12</v>
      </c>
      <c r="K20" s="6" t="n">
        <v>12</v>
      </c>
      <c r="L20" s="7"/>
      <c r="M20" s="6" t="n">
        <v>16</v>
      </c>
      <c r="N20" s="6" t="n">
        <v>20</v>
      </c>
      <c r="O20" s="7"/>
      <c r="P20" s="6" t="n">
        <v>12</v>
      </c>
      <c r="Q20" s="6" t="n">
        <v>12</v>
      </c>
      <c r="R20" s="6" t="n">
        <v>24</v>
      </c>
      <c r="S20" s="6" t="n">
        <v>20</v>
      </c>
      <c r="T20" s="7"/>
      <c r="U20" s="7"/>
      <c r="V20" s="6" t="n">
        <v>24</v>
      </c>
      <c r="W20" s="6" t="n">
        <v>20</v>
      </c>
      <c r="X20" s="7"/>
      <c r="Y20" s="7"/>
      <c r="Z20" s="6" t="n">
        <v>16</v>
      </c>
      <c r="AA20" s="6" t="n">
        <v>28</v>
      </c>
      <c r="AB20" s="6" t="n">
        <v>16</v>
      </c>
      <c r="AC20" s="6" t="n">
        <v>24</v>
      </c>
      <c r="AD20" s="7"/>
      <c r="AE20" s="6" t="n">
        <v>16</v>
      </c>
      <c r="AF20" s="6" t="n">
        <v>12</v>
      </c>
      <c r="AG20" s="6" t="n">
        <v>32</v>
      </c>
      <c r="AH20" s="8" t="n">
        <f aca="false">SUM(B20:AG20)</f>
        <v>456</v>
      </c>
    </row>
    <row r="21" customFormat="false" ht="15" hidden="false" customHeight="false" outlineLevel="0" collapsed="false">
      <c r="A21" s="5" t="s">
        <v>52</v>
      </c>
      <c r="B21" s="6" t="n">
        <v>28</v>
      </c>
      <c r="C21" s="6" t="n">
        <v>28</v>
      </c>
      <c r="D21" s="6" t="n">
        <v>24</v>
      </c>
      <c r="E21" s="6" t="n">
        <v>32</v>
      </c>
      <c r="F21" s="7"/>
      <c r="G21" s="6" t="n">
        <v>16</v>
      </c>
      <c r="H21" s="6" t="n">
        <v>16</v>
      </c>
      <c r="I21" s="6" t="n">
        <v>16</v>
      </c>
      <c r="J21" s="6" t="n">
        <v>16</v>
      </c>
      <c r="K21" s="6" t="n">
        <v>12</v>
      </c>
      <c r="L21" s="7"/>
      <c r="M21" s="6" t="n">
        <v>16</v>
      </c>
      <c r="N21" s="6" t="n">
        <v>24</v>
      </c>
      <c r="O21" s="7"/>
      <c r="P21" s="6" t="n">
        <v>16</v>
      </c>
      <c r="Q21" s="6" t="n">
        <v>20</v>
      </c>
      <c r="R21" s="6" t="n">
        <v>20</v>
      </c>
      <c r="S21" s="6" t="n">
        <v>20</v>
      </c>
      <c r="T21" s="7"/>
      <c r="U21" s="7"/>
      <c r="V21" s="6" t="n">
        <v>28</v>
      </c>
      <c r="W21" s="6" t="n">
        <v>24</v>
      </c>
      <c r="X21" s="7"/>
      <c r="Y21" s="7"/>
      <c r="Z21" s="6" t="n">
        <v>16</v>
      </c>
      <c r="AA21" s="6" t="n">
        <v>28</v>
      </c>
      <c r="AB21" s="6" t="n">
        <v>16</v>
      </c>
      <c r="AC21" s="6" t="n">
        <v>28</v>
      </c>
      <c r="AD21" s="7"/>
      <c r="AE21" s="6" t="n">
        <v>20</v>
      </c>
      <c r="AF21" s="6" t="n">
        <v>16</v>
      </c>
      <c r="AG21" s="6" t="n">
        <v>32</v>
      </c>
      <c r="AH21" s="8" t="n">
        <f aca="false">SUM(B21:AG21)</f>
        <v>512</v>
      </c>
    </row>
    <row r="22" customFormat="false" ht="15" hidden="false" customHeight="false" outlineLevel="0" collapsed="false">
      <c r="A22" s="5" t="s">
        <v>53</v>
      </c>
      <c r="B22" s="6" t="n">
        <v>28</v>
      </c>
      <c r="C22" s="6" t="n">
        <v>28</v>
      </c>
      <c r="D22" s="6" t="n">
        <v>24</v>
      </c>
      <c r="E22" s="6" t="n">
        <v>32</v>
      </c>
      <c r="F22" s="7"/>
      <c r="G22" s="6" t="n">
        <v>16</v>
      </c>
      <c r="H22" s="6" t="n">
        <v>20</v>
      </c>
      <c r="I22" s="6" t="n">
        <v>16</v>
      </c>
      <c r="J22" s="6" t="n">
        <v>16</v>
      </c>
      <c r="K22" s="6" t="n">
        <v>16</v>
      </c>
      <c r="L22" s="7"/>
      <c r="M22" s="6" t="n">
        <v>20</v>
      </c>
      <c r="N22" s="6" t="n">
        <v>24</v>
      </c>
      <c r="O22" s="7"/>
      <c r="P22" s="6" t="n">
        <v>20</v>
      </c>
      <c r="Q22" s="6" t="n">
        <v>20</v>
      </c>
      <c r="R22" s="6" t="n">
        <v>24</v>
      </c>
      <c r="S22" s="6" t="n">
        <v>24</v>
      </c>
      <c r="T22" s="7"/>
      <c r="U22" s="7"/>
      <c r="V22" s="6" t="n">
        <v>24</v>
      </c>
      <c r="W22" s="6" t="n">
        <v>24</v>
      </c>
      <c r="X22" s="7"/>
      <c r="Y22" s="7"/>
      <c r="Z22" s="6" t="n">
        <v>20</v>
      </c>
      <c r="AA22" s="6" t="n">
        <v>32</v>
      </c>
      <c r="AB22" s="6" t="n">
        <v>20</v>
      </c>
      <c r="AC22" s="6" t="n">
        <v>28</v>
      </c>
      <c r="AD22" s="7"/>
      <c r="AE22" s="6" t="n">
        <v>20</v>
      </c>
      <c r="AF22" s="6" t="n">
        <v>20</v>
      </c>
      <c r="AG22" s="6" t="n">
        <v>32</v>
      </c>
      <c r="AH22" s="8" t="n">
        <f aca="false">SUM(B22:AG22)</f>
        <v>548</v>
      </c>
    </row>
    <row r="23" customFormat="false" ht="15" hidden="false" customHeight="false" outlineLevel="0" collapsed="false">
      <c r="A23" s="5" t="s">
        <v>54</v>
      </c>
      <c r="B23" s="6" t="n">
        <v>28</v>
      </c>
      <c r="C23" s="6" t="n">
        <v>28</v>
      </c>
      <c r="D23" s="6" t="n">
        <v>24</v>
      </c>
      <c r="E23" s="6" t="n">
        <v>28</v>
      </c>
      <c r="F23" s="7"/>
      <c r="G23" s="6" t="n">
        <v>16</v>
      </c>
      <c r="H23" s="6" t="n">
        <v>20</v>
      </c>
      <c r="I23" s="6" t="n">
        <v>16</v>
      </c>
      <c r="J23" s="6" t="n">
        <v>16</v>
      </c>
      <c r="K23" s="6" t="n">
        <v>16</v>
      </c>
      <c r="L23" s="7"/>
      <c r="M23" s="6" t="n">
        <v>20</v>
      </c>
      <c r="N23" s="6" t="n">
        <v>28</v>
      </c>
      <c r="O23" s="7"/>
      <c r="P23" s="6" t="n">
        <v>20</v>
      </c>
      <c r="Q23" s="6" t="n">
        <v>16</v>
      </c>
      <c r="R23" s="6" t="n">
        <v>24</v>
      </c>
      <c r="S23" s="6" t="n">
        <v>24</v>
      </c>
      <c r="T23" s="7"/>
      <c r="U23" s="7"/>
      <c r="V23" s="6" t="n">
        <v>24</v>
      </c>
      <c r="W23" s="6" t="n">
        <v>28</v>
      </c>
      <c r="X23" s="7"/>
      <c r="Y23" s="7"/>
      <c r="Z23" s="6" t="n">
        <v>20</v>
      </c>
      <c r="AA23" s="6" t="n">
        <v>32</v>
      </c>
      <c r="AB23" s="6" t="n">
        <v>16</v>
      </c>
      <c r="AC23" s="6" t="n">
        <v>28</v>
      </c>
      <c r="AD23" s="7"/>
      <c r="AE23" s="6" t="n">
        <v>20</v>
      </c>
      <c r="AF23" s="6" t="n">
        <v>20</v>
      </c>
      <c r="AG23" s="6" t="n">
        <v>36</v>
      </c>
      <c r="AH23" s="8" t="n">
        <f aca="false">SUM(B23:AG23)</f>
        <v>548</v>
      </c>
    </row>
    <row r="24" customFormat="false" ht="15" hidden="false" customHeight="false" outlineLevel="0" collapsed="false">
      <c r="A24" s="5" t="s">
        <v>55</v>
      </c>
      <c r="B24" s="6" t="n">
        <v>20</v>
      </c>
      <c r="C24" s="6" t="n">
        <v>24</v>
      </c>
      <c r="D24" s="6" t="n">
        <v>20</v>
      </c>
      <c r="E24" s="6" t="n">
        <v>24</v>
      </c>
      <c r="F24" s="7"/>
      <c r="G24" s="6" t="n">
        <v>12</v>
      </c>
      <c r="H24" s="6" t="n">
        <v>16</v>
      </c>
      <c r="I24" s="6" t="n">
        <v>12</v>
      </c>
      <c r="J24" s="6" t="n">
        <v>12</v>
      </c>
      <c r="K24" s="6" t="n">
        <v>12</v>
      </c>
      <c r="L24" s="7"/>
      <c r="M24" s="6" t="n">
        <v>16</v>
      </c>
      <c r="N24" s="6" t="n">
        <v>24</v>
      </c>
      <c r="O24" s="7"/>
      <c r="P24" s="6" t="n">
        <v>12</v>
      </c>
      <c r="Q24" s="6" t="n">
        <v>12</v>
      </c>
      <c r="R24" s="6" t="n">
        <v>20</v>
      </c>
      <c r="S24" s="6" t="n">
        <v>16</v>
      </c>
      <c r="T24" s="7"/>
      <c r="U24" s="7"/>
      <c r="V24" s="6" t="n">
        <v>16</v>
      </c>
      <c r="W24" s="6" t="n">
        <v>24</v>
      </c>
      <c r="X24" s="7"/>
      <c r="Y24" s="7"/>
      <c r="Z24" s="6" t="n">
        <v>16</v>
      </c>
      <c r="AA24" s="6" t="n">
        <v>24</v>
      </c>
      <c r="AB24" s="6" t="n">
        <v>16</v>
      </c>
      <c r="AC24" s="6" t="n">
        <v>24</v>
      </c>
      <c r="AD24" s="7"/>
      <c r="AE24" s="6" t="n">
        <v>16</v>
      </c>
      <c r="AF24" s="6" t="n">
        <v>16</v>
      </c>
      <c r="AG24" s="6" t="n">
        <v>32</v>
      </c>
      <c r="AH24" s="8" t="n">
        <f aca="false">SUM(B24:AG24)</f>
        <v>436</v>
      </c>
    </row>
    <row r="25" customFormat="false" ht="15" hidden="false" customHeight="false" outlineLevel="0" collapsed="false">
      <c r="A25" s="5" t="s">
        <v>56</v>
      </c>
      <c r="B25" s="6" t="n">
        <v>24</v>
      </c>
      <c r="C25" s="6" t="n">
        <v>28</v>
      </c>
      <c r="D25" s="6" t="n">
        <v>24</v>
      </c>
      <c r="E25" s="6" t="n">
        <v>28</v>
      </c>
      <c r="F25" s="7"/>
      <c r="G25" s="6" t="n">
        <v>16</v>
      </c>
      <c r="H25" s="6" t="n">
        <v>16</v>
      </c>
      <c r="I25" s="6" t="n">
        <v>16</v>
      </c>
      <c r="J25" s="6" t="n">
        <v>12</v>
      </c>
      <c r="K25" s="6" t="n">
        <v>12</v>
      </c>
      <c r="L25" s="7"/>
      <c r="M25" s="6" t="n">
        <v>20</v>
      </c>
      <c r="N25" s="6" t="n">
        <v>24</v>
      </c>
      <c r="O25" s="7"/>
      <c r="P25" s="6" t="n">
        <v>16</v>
      </c>
      <c r="Q25" s="6" t="n">
        <v>16</v>
      </c>
      <c r="R25" s="6" t="n">
        <v>24</v>
      </c>
      <c r="S25" s="6" t="n">
        <v>20</v>
      </c>
      <c r="T25" s="7"/>
      <c r="U25" s="7"/>
      <c r="V25" s="6" t="n">
        <v>28</v>
      </c>
      <c r="W25" s="6" t="n">
        <v>24</v>
      </c>
      <c r="X25" s="7"/>
      <c r="Y25" s="7"/>
      <c r="Z25" s="6" t="n">
        <v>16</v>
      </c>
      <c r="AA25" s="6" t="n">
        <v>28</v>
      </c>
      <c r="AB25" s="6" t="n">
        <v>16</v>
      </c>
      <c r="AC25" s="6" t="n">
        <v>28</v>
      </c>
      <c r="AD25" s="7"/>
      <c r="AE25" s="6" t="n">
        <v>20</v>
      </c>
      <c r="AF25" s="6" t="n">
        <v>16</v>
      </c>
      <c r="AG25" s="6" t="n">
        <v>36</v>
      </c>
      <c r="AH25" s="8" t="n">
        <f aca="false">SUM(B25:AG25)</f>
        <v>508</v>
      </c>
    </row>
    <row r="26" customFormat="false" ht="15" hidden="false" customHeight="false" outlineLevel="0" collapsed="false">
      <c r="A26" s="5" t="s">
        <v>57</v>
      </c>
      <c r="B26" s="6" t="n">
        <v>20</v>
      </c>
      <c r="C26" s="6" t="n">
        <v>24</v>
      </c>
      <c r="D26" s="6" t="n">
        <v>20</v>
      </c>
      <c r="E26" s="6" t="n">
        <v>24</v>
      </c>
      <c r="F26" s="7"/>
      <c r="G26" s="6" t="n">
        <v>12</v>
      </c>
      <c r="H26" s="6" t="n">
        <v>16</v>
      </c>
      <c r="I26" s="6" t="n">
        <v>16</v>
      </c>
      <c r="J26" s="6" t="n">
        <v>12</v>
      </c>
      <c r="K26" s="6" t="n">
        <v>12</v>
      </c>
      <c r="L26" s="7"/>
      <c r="M26" s="6" t="n">
        <v>16</v>
      </c>
      <c r="N26" s="6" t="n">
        <v>24</v>
      </c>
      <c r="O26" s="7"/>
      <c r="P26" s="6" t="n">
        <v>12</v>
      </c>
      <c r="Q26" s="6" t="n">
        <v>16</v>
      </c>
      <c r="R26" s="6" t="n">
        <v>16</v>
      </c>
      <c r="S26" s="6" t="n">
        <v>20</v>
      </c>
      <c r="T26" s="7"/>
      <c r="U26" s="7"/>
      <c r="V26" s="6" t="n">
        <v>20</v>
      </c>
      <c r="W26" s="6" t="n">
        <v>24</v>
      </c>
      <c r="X26" s="7"/>
      <c r="Y26" s="7"/>
      <c r="Z26" s="6" t="n">
        <v>16</v>
      </c>
      <c r="AA26" s="6" t="n">
        <v>28</v>
      </c>
      <c r="AB26" s="6" t="n">
        <v>16</v>
      </c>
      <c r="AC26" s="6" t="n">
        <v>20</v>
      </c>
      <c r="AD26" s="7"/>
      <c r="AE26" s="6" t="n">
        <v>16</v>
      </c>
      <c r="AF26" s="6" t="n">
        <v>12</v>
      </c>
      <c r="AG26" s="6" t="n">
        <v>28</v>
      </c>
      <c r="AH26" s="8" t="n">
        <f aca="false">SUM(B26:AG26)</f>
        <v>440</v>
      </c>
    </row>
    <row r="27" customFormat="false" ht="15" hidden="false" customHeight="false" outlineLevel="0" collapsed="false">
      <c r="A27" s="5" t="s">
        <v>58</v>
      </c>
      <c r="B27" s="6" t="n">
        <v>20</v>
      </c>
      <c r="C27" s="6" t="n">
        <v>24</v>
      </c>
      <c r="D27" s="6" t="n">
        <v>20</v>
      </c>
      <c r="E27" s="6" t="n">
        <v>28</v>
      </c>
      <c r="F27" s="7"/>
      <c r="G27" s="6" t="n">
        <v>16</v>
      </c>
      <c r="H27" s="6" t="n">
        <v>20</v>
      </c>
      <c r="I27" s="6" t="n">
        <v>16</v>
      </c>
      <c r="J27" s="6" t="n">
        <v>16</v>
      </c>
      <c r="K27" s="6" t="n">
        <v>16</v>
      </c>
      <c r="L27" s="7"/>
      <c r="M27" s="6" t="n">
        <v>16</v>
      </c>
      <c r="N27" s="6" t="n">
        <v>24</v>
      </c>
      <c r="O27" s="7"/>
      <c r="P27" s="6" t="n">
        <v>16</v>
      </c>
      <c r="Q27" s="6" t="n">
        <v>16</v>
      </c>
      <c r="R27" s="6" t="n">
        <v>20</v>
      </c>
      <c r="S27" s="6" t="n">
        <v>16</v>
      </c>
      <c r="T27" s="7"/>
      <c r="U27" s="7"/>
      <c r="V27" s="6" t="n">
        <v>20</v>
      </c>
      <c r="W27" s="6" t="n">
        <v>28</v>
      </c>
      <c r="X27" s="7"/>
      <c r="Y27" s="7"/>
      <c r="Z27" s="6" t="n">
        <v>16</v>
      </c>
      <c r="AA27" s="6" t="n">
        <v>28</v>
      </c>
      <c r="AB27" s="6" t="n">
        <v>16</v>
      </c>
      <c r="AC27" s="6" t="n">
        <v>24</v>
      </c>
      <c r="AD27" s="7"/>
      <c r="AE27" s="6" t="n">
        <v>16</v>
      </c>
      <c r="AF27" s="6" t="n">
        <v>16</v>
      </c>
      <c r="AG27" s="6" t="n">
        <v>28</v>
      </c>
      <c r="AH27" s="8" t="n">
        <f aca="false">SUM(B27:AG27)</f>
        <v>476</v>
      </c>
    </row>
    <row r="28" customFormat="false" ht="15" hidden="false" customHeight="false" outlineLevel="0" collapsed="false">
      <c r="A28" s="5" t="s">
        <v>59</v>
      </c>
      <c r="B28" s="6" t="n">
        <v>24</v>
      </c>
      <c r="C28" s="6" t="n">
        <v>24</v>
      </c>
      <c r="D28" s="6" t="n">
        <v>20</v>
      </c>
      <c r="E28" s="6" t="n">
        <v>28</v>
      </c>
      <c r="F28" s="7"/>
      <c r="G28" s="6" t="n">
        <v>16</v>
      </c>
      <c r="H28" s="6" t="n">
        <v>20</v>
      </c>
      <c r="I28" s="6" t="n">
        <v>16</v>
      </c>
      <c r="J28" s="6" t="n">
        <v>12</v>
      </c>
      <c r="K28" s="6" t="n">
        <v>12</v>
      </c>
      <c r="L28" s="7"/>
      <c r="M28" s="6" t="n">
        <v>16</v>
      </c>
      <c r="N28" s="6" t="n">
        <v>24</v>
      </c>
      <c r="O28" s="7"/>
      <c r="P28" s="6" t="n">
        <v>16</v>
      </c>
      <c r="Q28" s="6" t="n">
        <v>16</v>
      </c>
      <c r="R28" s="6" t="n">
        <v>20</v>
      </c>
      <c r="S28" s="6" t="n">
        <v>20</v>
      </c>
      <c r="T28" s="7"/>
      <c r="U28" s="7"/>
      <c r="V28" s="6" t="n">
        <v>20</v>
      </c>
      <c r="W28" s="6" t="n">
        <v>24</v>
      </c>
      <c r="X28" s="7"/>
      <c r="Y28" s="7"/>
      <c r="Z28" s="6" t="n">
        <v>16</v>
      </c>
      <c r="AA28" s="6" t="n">
        <v>28</v>
      </c>
      <c r="AB28" s="6" t="n">
        <v>16</v>
      </c>
      <c r="AC28" s="6" t="n">
        <v>24</v>
      </c>
      <c r="AD28" s="7"/>
      <c r="AE28" s="6" t="n">
        <v>16</v>
      </c>
      <c r="AF28" s="6" t="n">
        <v>16</v>
      </c>
      <c r="AG28" s="6" t="n">
        <v>32</v>
      </c>
      <c r="AH28" s="8" t="n">
        <f aca="false">SUM(B28:AG28)</f>
        <v>476</v>
      </c>
    </row>
    <row r="29" customFormat="false" ht="15" hidden="false" customHeight="false" outlineLevel="0" collapsed="false">
      <c r="A29" s="5" t="s">
        <v>60</v>
      </c>
      <c r="B29" s="6" t="n">
        <v>20</v>
      </c>
      <c r="C29" s="6" t="n">
        <v>20</v>
      </c>
      <c r="D29" s="6" t="n">
        <v>20</v>
      </c>
      <c r="E29" s="6" t="n">
        <v>24</v>
      </c>
      <c r="F29" s="7"/>
      <c r="G29" s="6" t="n">
        <v>12</v>
      </c>
      <c r="H29" s="6" t="n">
        <v>21</v>
      </c>
      <c r="I29" s="6" t="n">
        <v>12</v>
      </c>
      <c r="J29" s="6" t="n">
        <v>12</v>
      </c>
      <c r="K29" s="6" t="n">
        <v>12</v>
      </c>
      <c r="L29" s="7"/>
      <c r="M29" s="6" t="n">
        <v>12</v>
      </c>
      <c r="N29" s="6" t="n">
        <v>16</v>
      </c>
      <c r="O29" s="7"/>
      <c r="P29" s="6" t="n">
        <v>12</v>
      </c>
      <c r="Q29" s="6" t="n">
        <v>12</v>
      </c>
      <c r="R29" s="6" t="n">
        <v>20</v>
      </c>
      <c r="S29" s="6" t="n">
        <v>12</v>
      </c>
      <c r="T29" s="7"/>
      <c r="U29" s="7"/>
      <c r="V29" s="6" t="n">
        <v>20</v>
      </c>
      <c r="W29" s="6" t="n">
        <v>16</v>
      </c>
      <c r="X29" s="7"/>
      <c r="Y29" s="7"/>
      <c r="Z29" s="6" t="n">
        <v>12</v>
      </c>
      <c r="AA29" s="6" t="n">
        <v>24</v>
      </c>
      <c r="AB29" s="6" t="n">
        <v>12</v>
      </c>
      <c r="AC29" s="6" t="n">
        <v>20</v>
      </c>
      <c r="AD29" s="7"/>
      <c r="AE29" s="6" t="n">
        <v>16</v>
      </c>
      <c r="AF29" s="6" t="n">
        <v>12</v>
      </c>
      <c r="AG29" s="6" t="n">
        <v>28</v>
      </c>
      <c r="AH29" s="8" t="n">
        <f aca="false">SUM(B29:AG29)</f>
        <v>397</v>
      </c>
    </row>
    <row r="30" customFormat="false" ht="15" hidden="false" customHeight="false" outlineLevel="0" collapsed="false">
      <c r="A30" s="5" t="s">
        <v>61</v>
      </c>
      <c r="B30" s="6" t="n">
        <v>16</v>
      </c>
      <c r="C30" s="6" t="n">
        <v>16</v>
      </c>
      <c r="D30" s="6" t="n">
        <v>20</v>
      </c>
      <c r="E30" s="6" t="n">
        <v>24</v>
      </c>
      <c r="F30" s="7"/>
      <c r="G30" s="6" t="n">
        <v>12</v>
      </c>
      <c r="H30" s="6" t="n">
        <v>12</v>
      </c>
      <c r="I30" s="6" t="n">
        <v>12</v>
      </c>
      <c r="J30" s="6" t="n">
        <v>12</v>
      </c>
      <c r="K30" s="6" t="n">
        <v>12</v>
      </c>
      <c r="L30" s="7"/>
      <c r="M30" s="6" t="n">
        <v>12</v>
      </c>
      <c r="N30" s="6" t="n">
        <v>16</v>
      </c>
      <c r="O30" s="7"/>
      <c r="P30" s="6" t="n">
        <v>12</v>
      </c>
      <c r="Q30" s="6" t="n">
        <v>16</v>
      </c>
      <c r="R30" s="6" t="n">
        <v>20</v>
      </c>
      <c r="S30" s="6" t="n">
        <v>12</v>
      </c>
      <c r="T30" s="7"/>
      <c r="U30" s="7"/>
      <c r="V30" s="6" t="n">
        <v>16</v>
      </c>
      <c r="W30" s="6" t="n">
        <v>16</v>
      </c>
      <c r="X30" s="7"/>
      <c r="Y30" s="7"/>
      <c r="Z30" s="6" t="n">
        <v>12</v>
      </c>
      <c r="AA30" s="6" t="n">
        <v>20</v>
      </c>
      <c r="AB30" s="6" t="n">
        <v>12</v>
      </c>
      <c r="AC30" s="6" t="n">
        <v>20</v>
      </c>
      <c r="AD30" s="7"/>
      <c r="AE30" s="6" t="n">
        <v>12</v>
      </c>
      <c r="AF30" s="6" t="n">
        <v>12</v>
      </c>
      <c r="AG30" s="6" t="n">
        <v>24</v>
      </c>
      <c r="AH30" s="8" t="n">
        <f aca="false">SUM(B30:AG30)</f>
        <v>368</v>
      </c>
    </row>
    <row r="31" customFormat="false" ht="15" hidden="false" customHeight="false" outlineLevel="0" collapsed="false">
      <c r="A31" s="5" t="s">
        <v>62</v>
      </c>
      <c r="B31" s="6" t="n">
        <v>20</v>
      </c>
      <c r="C31" s="6" t="n">
        <v>20</v>
      </c>
      <c r="D31" s="6" t="n">
        <v>20</v>
      </c>
      <c r="E31" s="6" t="n">
        <v>24</v>
      </c>
      <c r="F31" s="7"/>
      <c r="G31" s="6" t="n">
        <v>12</v>
      </c>
      <c r="H31" s="6" t="n">
        <v>16</v>
      </c>
      <c r="I31" s="6" t="n">
        <v>12</v>
      </c>
      <c r="J31" s="6" t="n">
        <v>12</v>
      </c>
      <c r="K31" s="6" t="n">
        <v>16</v>
      </c>
      <c r="L31" s="7"/>
      <c r="M31" s="6" t="n">
        <v>12</v>
      </c>
      <c r="N31" s="6" t="n">
        <v>16</v>
      </c>
      <c r="O31" s="7"/>
      <c r="P31" s="6" t="n">
        <v>12</v>
      </c>
      <c r="Q31" s="6" t="n">
        <v>16</v>
      </c>
      <c r="R31" s="6" t="n">
        <v>20</v>
      </c>
      <c r="S31" s="6" t="n">
        <v>12</v>
      </c>
      <c r="T31" s="7"/>
      <c r="U31" s="7"/>
      <c r="V31" s="6" t="n">
        <v>20</v>
      </c>
      <c r="W31" s="6" t="n">
        <v>20</v>
      </c>
      <c r="X31" s="7"/>
      <c r="Y31" s="7"/>
      <c r="Z31" s="6" t="n">
        <v>12</v>
      </c>
      <c r="AA31" s="6" t="n">
        <v>20</v>
      </c>
      <c r="AB31" s="6" t="n">
        <v>12</v>
      </c>
      <c r="AC31" s="6" t="n">
        <v>24</v>
      </c>
      <c r="AD31" s="7"/>
      <c r="AE31" s="6" t="n">
        <v>16</v>
      </c>
      <c r="AF31" s="6" t="n">
        <v>16</v>
      </c>
      <c r="AG31" s="6" t="n">
        <v>24</v>
      </c>
      <c r="AH31" s="8" t="n">
        <f aca="false">SUM(B31:AG31)</f>
        <v>404</v>
      </c>
    </row>
    <row r="32" customFormat="false" ht="15" hidden="false" customHeight="false" outlineLevel="0" collapsed="false">
      <c r="A32" s="5" t="s">
        <v>63</v>
      </c>
      <c r="B32" s="6" t="n">
        <v>20</v>
      </c>
      <c r="C32" s="6" t="n">
        <v>24</v>
      </c>
      <c r="D32" s="6" t="n">
        <v>20</v>
      </c>
      <c r="E32" s="6" t="n">
        <v>32</v>
      </c>
      <c r="F32" s="7"/>
      <c r="G32" s="6" t="n">
        <v>16</v>
      </c>
      <c r="H32" s="6" t="n">
        <v>16</v>
      </c>
      <c r="I32" s="6" t="n">
        <v>12</v>
      </c>
      <c r="J32" s="6" t="n">
        <v>12</v>
      </c>
      <c r="K32" s="6" t="n">
        <v>16</v>
      </c>
      <c r="L32" s="7"/>
      <c r="M32" s="6" t="n">
        <v>16</v>
      </c>
      <c r="N32" s="6" t="n">
        <v>24</v>
      </c>
      <c r="O32" s="7"/>
      <c r="P32" s="6" t="n">
        <v>16</v>
      </c>
      <c r="Q32" s="6" t="n">
        <v>16</v>
      </c>
      <c r="R32" s="6" t="n">
        <v>20</v>
      </c>
      <c r="S32" s="6" t="n">
        <v>20</v>
      </c>
      <c r="T32" s="7"/>
      <c r="U32" s="7"/>
      <c r="V32" s="6" t="n">
        <v>24</v>
      </c>
      <c r="W32" s="6" t="n">
        <v>24</v>
      </c>
      <c r="X32" s="7"/>
      <c r="Y32" s="7"/>
      <c r="Z32" s="6" t="n">
        <v>16</v>
      </c>
      <c r="AA32" s="6" t="n">
        <v>28</v>
      </c>
      <c r="AB32" s="6" t="n">
        <v>16</v>
      </c>
      <c r="AC32" s="6" t="n">
        <v>24</v>
      </c>
      <c r="AD32" s="7"/>
      <c r="AE32" s="6" t="n">
        <v>20</v>
      </c>
      <c r="AF32" s="6" t="n">
        <v>16</v>
      </c>
      <c r="AG32" s="6" t="n">
        <v>32</v>
      </c>
      <c r="AH32" s="8" t="n">
        <f aca="false">SUM(B32:AG32)</f>
        <v>480</v>
      </c>
    </row>
    <row r="33" customFormat="false" ht="15" hidden="false" customHeight="false" outlineLevel="0" collapsed="false">
      <c r="A33" s="5" t="s">
        <v>64</v>
      </c>
      <c r="B33" s="6" t="n">
        <v>24</v>
      </c>
      <c r="C33" s="6" t="n">
        <v>28</v>
      </c>
      <c r="D33" s="6" t="n">
        <v>24</v>
      </c>
      <c r="E33" s="6" t="n">
        <v>32</v>
      </c>
      <c r="F33" s="7"/>
      <c r="G33" s="6" t="n">
        <v>16</v>
      </c>
      <c r="H33" s="6" t="n">
        <v>16</v>
      </c>
      <c r="I33" s="6" t="n">
        <v>16</v>
      </c>
      <c r="J33" s="6" t="n">
        <v>16</v>
      </c>
      <c r="K33" s="6" t="n">
        <v>16</v>
      </c>
      <c r="L33" s="7"/>
      <c r="M33" s="6" t="n">
        <v>16</v>
      </c>
      <c r="N33" s="6" t="n">
        <v>28</v>
      </c>
      <c r="O33" s="7"/>
      <c r="P33" s="6" t="n">
        <v>16</v>
      </c>
      <c r="Q33" s="6" t="n">
        <v>20</v>
      </c>
      <c r="R33" s="6" t="n">
        <v>28</v>
      </c>
      <c r="S33" s="6" t="n">
        <v>20</v>
      </c>
      <c r="T33" s="7"/>
      <c r="U33" s="7"/>
      <c r="V33" s="6" t="n">
        <v>28</v>
      </c>
      <c r="W33" s="6" t="n">
        <v>28</v>
      </c>
      <c r="X33" s="7"/>
      <c r="Y33" s="7"/>
      <c r="Z33" s="6" t="n">
        <v>16</v>
      </c>
      <c r="AA33" s="6" t="n">
        <v>28</v>
      </c>
      <c r="AB33" s="6" t="n">
        <v>16</v>
      </c>
      <c r="AC33" s="6" t="n">
        <v>28</v>
      </c>
      <c r="AD33" s="7"/>
      <c r="AE33" s="6" t="n">
        <v>20</v>
      </c>
      <c r="AF33" s="6" t="n">
        <v>16</v>
      </c>
      <c r="AG33" s="6" t="n">
        <v>36</v>
      </c>
      <c r="AH33" s="8" t="n">
        <f aca="false">SUM(B33:AG33)</f>
        <v>532</v>
      </c>
    </row>
    <row r="34" customFormat="false" ht="15" hidden="false" customHeight="false" outlineLevel="0" collapsed="false">
      <c r="A34" s="5" t="s">
        <v>65</v>
      </c>
      <c r="B34" s="6" t="n">
        <v>24</v>
      </c>
      <c r="C34" s="6" t="n">
        <v>24</v>
      </c>
      <c r="D34" s="6" t="n">
        <v>24</v>
      </c>
      <c r="E34" s="6" t="n">
        <v>24</v>
      </c>
      <c r="F34" s="7"/>
      <c r="G34" s="6" t="n">
        <v>12</v>
      </c>
      <c r="H34" s="6" t="n">
        <v>16</v>
      </c>
      <c r="I34" s="6" t="n">
        <v>16</v>
      </c>
      <c r="J34" s="6" t="n">
        <v>16</v>
      </c>
      <c r="K34" s="6" t="n">
        <v>16</v>
      </c>
      <c r="L34" s="7"/>
      <c r="M34" s="6" t="n">
        <v>16</v>
      </c>
      <c r="N34" s="6" t="n">
        <v>24</v>
      </c>
      <c r="O34" s="7"/>
      <c r="P34" s="6" t="n">
        <v>16</v>
      </c>
      <c r="Q34" s="6" t="n">
        <v>16</v>
      </c>
      <c r="R34" s="6" t="n">
        <v>24</v>
      </c>
      <c r="S34" s="6" t="n">
        <v>20</v>
      </c>
      <c r="T34" s="7"/>
      <c r="U34" s="7"/>
      <c r="V34" s="6" t="n">
        <v>24</v>
      </c>
      <c r="W34" s="6" t="n">
        <v>20</v>
      </c>
      <c r="X34" s="7"/>
      <c r="Y34" s="7"/>
      <c r="Z34" s="6" t="n">
        <v>16</v>
      </c>
      <c r="AA34" s="6" t="n">
        <v>28</v>
      </c>
      <c r="AB34" s="6" t="n">
        <v>16</v>
      </c>
      <c r="AC34" s="6" t="n">
        <v>24</v>
      </c>
      <c r="AD34" s="7"/>
      <c r="AE34" s="6" t="n">
        <v>16</v>
      </c>
      <c r="AF34" s="6" t="n">
        <v>16</v>
      </c>
      <c r="AG34" s="6" t="n">
        <v>28</v>
      </c>
      <c r="AH34" s="8" t="n">
        <f aca="false">SUM(B34:AG34)</f>
        <v>476</v>
      </c>
    </row>
    <row r="35" customFormat="false" ht="15" hidden="false" customHeight="false" outlineLevel="0" collapsed="false">
      <c r="A35" s="5" t="s">
        <v>66</v>
      </c>
      <c r="B35" s="6" t="n">
        <v>16</v>
      </c>
      <c r="C35" s="6" t="n">
        <v>24</v>
      </c>
      <c r="D35" s="6" t="n">
        <v>16</v>
      </c>
      <c r="E35" s="6" t="n">
        <v>24</v>
      </c>
      <c r="F35" s="7"/>
      <c r="G35" s="6" t="n">
        <v>12</v>
      </c>
      <c r="H35" s="6" t="n">
        <v>16</v>
      </c>
      <c r="I35" s="6" t="n">
        <v>12</v>
      </c>
      <c r="J35" s="6" t="n">
        <v>12</v>
      </c>
      <c r="K35" s="6" t="n">
        <v>12</v>
      </c>
      <c r="L35" s="7"/>
      <c r="M35" s="6" t="n">
        <v>12</v>
      </c>
      <c r="N35" s="6" t="n">
        <v>20</v>
      </c>
      <c r="O35" s="7"/>
      <c r="P35" s="6" t="n">
        <v>16</v>
      </c>
      <c r="Q35" s="6" t="n">
        <v>12</v>
      </c>
      <c r="R35" s="6" t="n">
        <v>16</v>
      </c>
      <c r="S35" s="6" t="n">
        <v>12</v>
      </c>
      <c r="T35" s="7"/>
      <c r="U35" s="7"/>
      <c r="V35" s="6" t="n">
        <v>16</v>
      </c>
      <c r="W35" s="6" t="n">
        <v>20</v>
      </c>
      <c r="X35" s="7"/>
      <c r="Y35" s="7"/>
      <c r="Z35" s="6" t="n">
        <v>12</v>
      </c>
      <c r="AA35" s="6" t="n">
        <v>24</v>
      </c>
      <c r="AB35" s="6" t="n">
        <v>12</v>
      </c>
      <c r="AC35" s="6" t="n">
        <v>20</v>
      </c>
      <c r="AD35" s="7"/>
      <c r="AE35" s="6" t="n">
        <v>16</v>
      </c>
      <c r="AF35" s="6" t="n">
        <v>16</v>
      </c>
      <c r="AG35" s="6" t="n">
        <v>28</v>
      </c>
      <c r="AH35" s="8" t="n">
        <f aca="false">SUM(B35:AG35)</f>
        <v>396</v>
      </c>
    </row>
    <row r="36" customFormat="false" ht="15" hidden="false" customHeight="false" outlineLevel="0" collapsed="false">
      <c r="A36" s="5" t="s">
        <v>67</v>
      </c>
      <c r="B36" s="6" t="n">
        <v>16</v>
      </c>
      <c r="C36" s="6" t="n">
        <v>20</v>
      </c>
      <c r="D36" s="6" t="n">
        <v>12</v>
      </c>
      <c r="E36" s="6" t="n">
        <v>16</v>
      </c>
      <c r="F36" s="7"/>
      <c r="G36" s="6" t="n">
        <v>8</v>
      </c>
      <c r="H36" s="6" t="n">
        <v>12</v>
      </c>
      <c r="I36" s="6" t="n">
        <v>8</v>
      </c>
      <c r="J36" s="6" t="n">
        <v>8</v>
      </c>
      <c r="K36" s="6" t="n">
        <v>12</v>
      </c>
      <c r="L36" s="7"/>
      <c r="M36" s="6" t="n">
        <v>12</v>
      </c>
      <c r="N36" s="6" t="n">
        <v>16</v>
      </c>
      <c r="O36" s="7"/>
      <c r="P36" s="6" t="n">
        <v>8</v>
      </c>
      <c r="Q36" s="6" t="n">
        <v>12</v>
      </c>
      <c r="R36" s="6" t="n">
        <v>12</v>
      </c>
      <c r="S36" s="6" t="n">
        <v>12</v>
      </c>
      <c r="T36" s="7"/>
      <c r="U36" s="7"/>
      <c r="V36" s="6" t="n">
        <v>16</v>
      </c>
      <c r="W36" s="6" t="n">
        <v>20</v>
      </c>
      <c r="X36" s="7"/>
      <c r="Y36" s="7"/>
      <c r="Z36" s="6" t="n">
        <v>12</v>
      </c>
      <c r="AA36" s="6" t="n">
        <v>20</v>
      </c>
      <c r="AB36" s="6" t="n">
        <v>12</v>
      </c>
      <c r="AC36" s="6" t="n">
        <v>20</v>
      </c>
      <c r="AD36" s="7"/>
      <c r="AE36" s="6" t="n">
        <v>12</v>
      </c>
      <c r="AF36" s="6" t="n">
        <v>12</v>
      </c>
      <c r="AG36" s="6" t="n">
        <v>20</v>
      </c>
      <c r="AH36" s="8" t="n">
        <f aca="false">SUM(B36:AG36)</f>
        <v>328</v>
      </c>
    </row>
    <row r="37" customFormat="false" ht="15" hidden="false" customHeight="false" outlineLevel="0" collapsed="false">
      <c r="A37" s="5" t="s">
        <v>68</v>
      </c>
      <c r="B37" s="6" t="n">
        <v>20</v>
      </c>
      <c r="C37" s="6" t="n">
        <v>24</v>
      </c>
      <c r="D37" s="6" t="n">
        <v>20</v>
      </c>
      <c r="E37" s="6" t="n">
        <v>24</v>
      </c>
      <c r="F37" s="7"/>
      <c r="G37" s="6" t="n">
        <v>12</v>
      </c>
      <c r="H37" s="6" t="n">
        <v>16</v>
      </c>
      <c r="I37" s="6" t="n">
        <v>12</v>
      </c>
      <c r="J37" s="6" t="n">
        <v>12</v>
      </c>
      <c r="K37" s="6" t="n">
        <v>12</v>
      </c>
      <c r="L37" s="7"/>
      <c r="M37" s="6" t="n">
        <v>16</v>
      </c>
      <c r="N37" s="6" t="n">
        <v>20</v>
      </c>
      <c r="O37" s="7"/>
      <c r="P37" s="6" t="n">
        <v>16</v>
      </c>
      <c r="Q37" s="6" t="n">
        <v>16</v>
      </c>
      <c r="R37" s="6" t="n">
        <v>20</v>
      </c>
      <c r="S37" s="6" t="n">
        <v>16</v>
      </c>
      <c r="T37" s="7"/>
      <c r="U37" s="7"/>
      <c r="V37" s="6" t="n">
        <v>20</v>
      </c>
      <c r="W37" s="6" t="n">
        <v>20</v>
      </c>
      <c r="X37" s="7"/>
      <c r="Y37" s="7"/>
      <c r="Z37" s="6" t="n">
        <v>12</v>
      </c>
      <c r="AA37" s="6" t="n">
        <v>24</v>
      </c>
      <c r="AB37" s="6" t="n">
        <v>12</v>
      </c>
      <c r="AC37" s="6" t="n">
        <v>24</v>
      </c>
      <c r="AD37" s="7"/>
      <c r="AE37" s="6" t="n">
        <v>16</v>
      </c>
      <c r="AF37" s="6" t="n">
        <v>16</v>
      </c>
      <c r="AG37" s="6" t="n">
        <v>28</v>
      </c>
      <c r="AH37" s="8" t="n">
        <f aca="false">SUM(B37:AG37)</f>
        <v>428</v>
      </c>
    </row>
    <row r="38" customFormat="false" ht="15" hidden="false" customHeight="false" outlineLevel="0" collapsed="false">
      <c r="A38" s="5" t="s">
        <v>69</v>
      </c>
      <c r="B38" s="6" t="n">
        <v>20</v>
      </c>
      <c r="C38" s="6" t="n">
        <v>24</v>
      </c>
      <c r="D38" s="6" t="n">
        <v>20</v>
      </c>
      <c r="E38" s="6" t="n">
        <v>24</v>
      </c>
      <c r="F38" s="7"/>
      <c r="G38" s="6" t="n">
        <v>12</v>
      </c>
      <c r="H38" s="6" t="n">
        <v>15</v>
      </c>
      <c r="I38" s="6" t="n">
        <v>16</v>
      </c>
      <c r="J38" s="6" t="n">
        <v>12</v>
      </c>
      <c r="K38" s="6" t="n">
        <v>12</v>
      </c>
      <c r="L38" s="7"/>
      <c r="M38" s="6" t="n">
        <v>12</v>
      </c>
      <c r="N38" s="6" t="n">
        <v>20</v>
      </c>
      <c r="O38" s="7"/>
      <c r="P38" s="6" t="n">
        <v>12</v>
      </c>
      <c r="Q38" s="6" t="n">
        <v>16</v>
      </c>
      <c r="R38" s="6" t="n">
        <v>20</v>
      </c>
      <c r="S38" s="6" t="n">
        <v>20</v>
      </c>
      <c r="T38" s="7"/>
      <c r="U38" s="7"/>
      <c r="V38" s="6" t="n">
        <v>24</v>
      </c>
      <c r="W38" s="6" t="n">
        <v>20</v>
      </c>
      <c r="X38" s="7"/>
      <c r="Y38" s="7"/>
      <c r="Z38" s="6" t="n">
        <v>12</v>
      </c>
      <c r="AA38" s="6" t="n">
        <v>23</v>
      </c>
      <c r="AB38" s="6" t="n">
        <v>12</v>
      </c>
      <c r="AC38" s="6" t="n">
        <v>24</v>
      </c>
      <c r="AD38" s="7"/>
      <c r="AE38" s="6" t="n">
        <v>16</v>
      </c>
      <c r="AF38" s="6" t="n">
        <v>16</v>
      </c>
      <c r="AG38" s="6" t="n">
        <v>27</v>
      </c>
      <c r="AH38" s="8" t="n">
        <f aca="false">SUM(B38:AG38)</f>
        <v>429</v>
      </c>
    </row>
    <row r="39" customFormat="false" ht="15" hidden="false" customHeight="false" outlineLevel="0" collapsed="false">
      <c r="A39" s="5" t="s">
        <v>70</v>
      </c>
      <c r="B39" s="6" t="n">
        <v>20</v>
      </c>
      <c r="C39" s="6" t="n">
        <v>20</v>
      </c>
      <c r="D39" s="6" t="n">
        <v>16</v>
      </c>
      <c r="E39" s="6" t="n">
        <v>20</v>
      </c>
      <c r="F39" s="7"/>
      <c r="G39" s="6" t="n">
        <v>12</v>
      </c>
      <c r="H39" s="6" t="n">
        <v>12</v>
      </c>
      <c r="I39" s="6" t="n">
        <v>16</v>
      </c>
      <c r="J39" s="6" t="n">
        <v>12</v>
      </c>
      <c r="K39" s="6" t="n">
        <v>16</v>
      </c>
      <c r="L39" s="7"/>
      <c r="M39" s="6" t="n">
        <v>12</v>
      </c>
      <c r="N39" s="6" t="n">
        <v>20</v>
      </c>
      <c r="O39" s="7"/>
      <c r="P39" s="7"/>
      <c r="Q39" s="6" t="n">
        <v>12</v>
      </c>
      <c r="R39" s="6" t="n">
        <v>20</v>
      </c>
      <c r="S39" s="6" t="n">
        <v>16</v>
      </c>
      <c r="T39" s="7"/>
      <c r="U39" s="7"/>
      <c r="V39" s="6" t="n">
        <v>20</v>
      </c>
      <c r="W39" s="6" t="n">
        <v>20</v>
      </c>
      <c r="X39" s="7"/>
      <c r="Y39" s="7"/>
      <c r="Z39" s="6" t="n">
        <v>12</v>
      </c>
      <c r="AA39" s="6" t="n">
        <v>20</v>
      </c>
      <c r="AB39" s="6" t="n">
        <v>12</v>
      </c>
      <c r="AC39" s="6" t="n">
        <v>20</v>
      </c>
      <c r="AD39" s="7"/>
      <c r="AE39" s="6" t="n">
        <v>16</v>
      </c>
      <c r="AF39" s="6" t="n">
        <v>16</v>
      </c>
      <c r="AG39" s="6" t="n">
        <v>24</v>
      </c>
      <c r="AH39" s="8" t="n">
        <f aca="false">SUM(B39:AG39)</f>
        <v>384</v>
      </c>
    </row>
    <row r="40" customFormat="false" ht="15" hidden="false" customHeight="false" outlineLevel="0" collapsed="false">
      <c r="A40" s="5" t="s">
        <v>71</v>
      </c>
      <c r="B40" s="6" t="n">
        <v>20</v>
      </c>
      <c r="C40" s="6" t="n">
        <v>20</v>
      </c>
      <c r="D40" s="6" t="n">
        <v>24</v>
      </c>
      <c r="E40" s="6" t="n">
        <v>24</v>
      </c>
      <c r="F40" s="6" t="n">
        <v>16</v>
      </c>
      <c r="G40" s="6" t="n">
        <v>12</v>
      </c>
      <c r="H40" s="6" t="n">
        <v>12</v>
      </c>
      <c r="I40" s="6" t="n">
        <v>16</v>
      </c>
      <c r="J40" s="6" t="n">
        <v>12</v>
      </c>
      <c r="K40" s="6" t="n">
        <v>12</v>
      </c>
      <c r="L40" s="6" t="n">
        <v>16</v>
      </c>
      <c r="M40" s="6" t="n">
        <v>8</v>
      </c>
      <c r="N40" s="6" t="n">
        <v>16</v>
      </c>
      <c r="O40" s="6" t="n">
        <v>20</v>
      </c>
      <c r="P40" s="6" t="n">
        <v>12</v>
      </c>
      <c r="Q40" s="6" t="n">
        <v>20</v>
      </c>
      <c r="R40" s="6" t="n">
        <v>24</v>
      </c>
      <c r="S40" s="6" t="n">
        <v>16</v>
      </c>
      <c r="T40" s="6" t="n">
        <v>20</v>
      </c>
      <c r="U40" s="6" t="n">
        <v>20</v>
      </c>
      <c r="V40" s="6" t="n">
        <v>24</v>
      </c>
      <c r="W40" s="6" t="n">
        <v>16</v>
      </c>
      <c r="X40" s="7"/>
      <c r="Y40" s="6" t="n">
        <v>16</v>
      </c>
      <c r="Z40" s="6" t="n">
        <v>8</v>
      </c>
      <c r="AA40" s="6" t="n">
        <v>16</v>
      </c>
      <c r="AB40" s="6" t="n">
        <v>12</v>
      </c>
      <c r="AC40" s="6" t="n">
        <v>28</v>
      </c>
      <c r="AD40" s="7"/>
      <c r="AE40" s="6" t="n">
        <v>16</v>
      </c>
      <c r="AF40" s="6" t="n">
        <v>16</v>
      </c>
      <c r="AG40" s="6" t="n">
        <v>24</v>
      </c>
      <c r="AH40" s="8" t="n">
        <f aca="false">SUM(B40:AG40)</f>
        <v>516</v>
      </c>
    </row>
    <row r="41" customFormat="false" ht="15" hidden="false" customHeight="false" outlineLevel="0" collapsed="false">
      <c r="A41" s="5" t="s">
        <v>72</v>
      </c>
      <c r="B41" s="6" t="n">
        <v>20</v>
      </c>
      <c r="C41" s="6" t="n">
        <v>16</v>
      </c>
      <c r="D41" s="6" t="n">
        <v>16</v>
      </c>
      <c r="E41" s="6" t="n">
        <v>16</v>
      </c>
      <c r="F41" s="6" t="n">
        <v>8</v>
      </c>
      <c r="G41" s="6" t="n">
        <v>8</v>
      </c>
      <c r="H41" s="6" t="n">
        <v>12</v>
      </c>
      <c r="I41" s="6" t="n">
        <v>12</v>
      </c>
      <c r="J41" s="6" t="n">
        <v>8</v>
      </c>
      <c r="K41" s="6" t="n">
        <v>12</v>
      </c>
      <c r="L41" s="6" t="n">
        <v>8</v>
      </c>
      <c r="M41" s="6" t="n">
        <v>8</v>
      </c>
      <c r="N41" s="6" t="n">
        <v>12</v>
      </c>
      <c r="O41" s="6" t="n">
        <v>12</v>
      </c>
      <c r="P41" s="6" t="n">
        <v>12</v>
      </c>
      <c r="Q41" s="6" t="n">
        <v>12</v>
      </c>
      <c r="R41" s="6" t="n">
        <v>20</v>
      </c>
      <c r="S41" s="6" t="n">
        <v>12</v>
      </c>
      <c r="T41" s="6" t="n">
        <v>12</v>
      </c>
      <c r="U41" s="6" t="n">
        <v>12</v>
      </c>
      <c r="V41" s="6" t="n">
        <v>20</v>
      </c>
      <c r="W41" s="6" t="n">
        <v>16</v>
      </c>
      <c r="X41" s="7"/>
      <c r="Y41" s="6" t="n">
        <v>8</v>
      </c>
      <c r="Z41" s="6" t="n">
        <v>8</v>
      </c>
      <c r="AA41" s="6" t="n">
        <v>16</v>
      </c>
      <c r="AB41" s="6" t="n">
        <v>8</v>
      </c>
      <c r="AC41" s="6" t="n">
        <v>20</v>
      </c>
      <c r="AD41" s="7"/>
      <c r="AE41" s="6" t="n">
        <v>12</v>
      </c>
      <c r="AF41" s="6" t="n">
        <v>12</v>
      </c>
      <c r="AG41" s="6" t="n">
        <v>20</v>
      </c>
      <c r="AH41" s="8" t="n">
        <f aca="false">SUM(B41:AG41)</f>
        <v>388</v>
      </c>
    </row>
    <row r="42" customFormat="false" ht="15" hidden="false" customHeight="false" outlineLevel="0" collapsed="false">
      <c r="A42" s="5" t="s">
        <v>73</v>
      </c>
      <c r="B42" s="6" t="n">
        <v>16</v>
      </c>
      <c r="C42" s="6" t="n">
        <v>20</v>
      </c>
      <c r="D42" s="6" t="n">
        <v>31</v>
      </c>
      <c r="E42" s="6" t="n">
        <v>24</v>
      </c>
      <c r="F42" s="6" t="n">
        <v>12</v>
      </c>
      <c r="G42" s="6" t="n">
        <v>12</v>
      </c>
      <c r="H42" s="6" t="n">
        <v>12</v>
      </c>
      <c r="I42" s="6" t="n">
        <v>12</v>
      </c>
      <c r="J42" s="6" t="n">
        <v>12</v>
      </c>
      <c r="K42" s="6" t="n">
        <v>12</v>
      </c>
      <c r="L42" s="6" t="n">
        <v>12</v>
      </c>
      <c r="M42" s="6" t="n">
        <v>12</v>
      </c>
      <c r="N42" s="6" t="n">
        <v>20</v>
      </c>
      <c r="O42" s="6" t="n">
        <v>20</v>
      </c>
      <c r="P42" s="6" t="n">
        <v>12</v>
      </c>
      <c r="Q42" s="6" t="n">
        <v>12</v>
      </c>
      <c r="R42" s="6" t="n">
        <v>16</v>
      </c>
      <c r="S42" s="6" t="n">
        <v>16</v>
      </c>
      <c r="T42" s="6" t="n">
        <v>12</v>
      </c>
      <c r="U42" s="6" t="n">
        <v>12</v>
      </c>
      <c r="V42" s="6" t="n">
        <v>20</v>
      </c>
      <c r="W42" s="6" t="n">
        <v>16</v>
      </c>
      <c r="X42" s="7"/>
      <c r="Y42" s="6" t="n">
        <v>12</v>
      </c>
      <c r="Z42" s="6" t="n">
        <v>12</v>
      </c>
      <c r="AA42" s="6" t="n">
        <v>16</v>
      </c>
      <c r="AB42" s="6" t="n">
        <v>12</v>
      </c>
      <c r="AC42" s="6" t="n">
        <v>20</v>
      </c>
      <c r="AD42" s="7"/>
      <c r="AE42" s="6" t="n">
        <v>12</v>
      </c>
      <c r="AF42" s="6" t="n">
        <v>12</v>
      </c>
      <c r="AG42" s="6" t="n">
        <v>20</v>
      </c>
      <c r="AH42" s="8" t="n">
        <f aca="false">SUM(B42:AG42)</f>
        <v>459</v>
      </c>
    </row>
    <row r="43" customFormat="false" ht="15" hidden="false" customHeight="false" outlineLevel="0" collapsed="false">
      <c r="A43" s="5" t="s">
        <v>74</v>
      </c>
      <c r="B43" s="6" t="n">
        <v>20</v>
      </c>
      <c r="C43" s="6" t="n">
        <v>16</v>
      </c>
      <c r="D43" s="6" t="n">
        <v>20</v>
      </c>
      <c r="E43" s="6" t="n">
        <v>16</v>
      </c>
      <c r="F43" s="6" t="n">
        <v>12</v>
      </c>
      <c r="G43" s="6" t="n">
        <v>12</v>
      </c>
      <c r="H43" s="6" t="n">
        <v>12</v>
      </c>
      <c r="I43" s="6" t="n">
        <v>12</v>
      </c>
      <c r="J43" s="6" t="n">
        <v>8</v>
      </c>
      <c r="K43" s="6" t="n">
        <v>21</v>
      </c>
      <c r="L43" s="6" t="n">
        <v>8</v>
      </c>
      <c r="M43" s="6" t="n">
        <v>12</v>
      </c>
      <c r="N43" s="6" t="n">
        <v>16</v>
      </c>
      <c r="O43" s="6" t="n">
        <v>12</v>
      </c>
      <c r="P43" s="6" t="n">
        <v>12</v>
      </c>
      <c r="Q43" s="6" t="n">
        <v>16</v>
      </c>
      <c r="R43" s="6" t="n">
        <v>16</v>
      </c>
      <c r="S43" s="6" t="n">
        <v>16</v>
      </c>
      <c r="T43" s="6" t="n">
        <v>12</v>
      </c>
      <c r="U43" s="6" t="n">
        <v>12</v>
      </c>
      <c r="V43" s="6" t="n">
        <v>20</v>
      </c>
      <c r="W43" s="6" t="n">
        <v>16</v>
      </c>
      <c r="X43" s="7"/>
      <c r="Y43" s="6" t="n">
        <v>12</v>
      </c>
      <c r="Z43" s="6" t="n">
        <v>12</v>
      </c>
      <c r="AA43" s="6" t="n">
        <v>16</v>
      </c>
      <c r="AB43" s="6" t="n">
        <v>12</v>
      </c>
      <c r="AC43" s="6" t="n">
        <v>20</v>
      </c>
      <c r="AD43" s="7"/>
      <c r="AE43" s="6" t="n">
        <v>12</v>
      </c>
      <c r="AF43" s="6" t="n">
        <v>12</v>
      </c>
      <c r="AG43" s="6" t="n">
        <v>20</v>
      </c>
      <c r="AH43" s="8" t="n">
        <f aca="false">SUM(B43:AG43)</f>
        <v>433</v>
      </c>
    </row>
    <row r="44" customFormat="false" ht="15" hidden="false" customHeight="false" outlineLevel="0" collapsed="false">
      <c r="A44" s="5" t="s">
        <v>75</v>
      </c>
      <c r="B44" s="6" t="n">
        <v>20</v>
      </c>
      <c r="C44" s="6" t="n">
        <v>24</v>
      </c>
      <c r="D44" s="6" t="n">
        <v>24</v>
      </c>
      <c r="E44" s="6" t="n">
        <v>24</v>
      </c>
      <c r="F44" s="6" t="n">
        <v>16</v>
      </c>
      <c r="G44" s="6" t="n">
        <v>16</v>
      </c>
      <c r="H44" s="6" t="n">
        <v>12</v>
      </c>
      <c r="I44" s="6" t="n">
        <v>16</v>
      </c>
      <c r="J44" s="6" t="n">
        <v>12</v>
      </c>
      <c r="K44" s="6" t="n">
        <v>16</v>
      </c>
      <c r="L44" s="6" t="n">
        <v>16</v>
      </c>
      <c r="M44" s="6" t="n">
        <v>16</v>
      </c>
      <c r="N44" s="6" t="n">
        <v>16</v>
      </c>
      <c r="O44" s="6" t="n">
        <v>20</v>
      </c>
      <c r="P44" s="6" t="n">
        <v>16</v>
      </c>
      <c r="Q44" s="6" t="n">
        <v>20</v>
      </c>
      <c r="R44" s="6" t="n">
        <v>28</v>
      </c>
      <c r="S44" s="6" t="n">
        <v>20</v>
      </c>
      <c r="T44" s="6" t="n">
        <v>16</v>
      </c>
      <c r="U44" s="6" t="n">
        <v>20</v>
      </c>
      <c r="V44" s="6" t="n">
        <v>24</v>
      </c>
      <c r="W44" s="6" t="n">
        <v>20</v>
      </c>
      <c r="X44" s="7"/>
      <c r="Y44" s="6" t="n">
        <v>16</v>
      </c>
      <c r="Z44" s="6" t="n">
        <v>16</v>
      </c>
      <c r="AA44" s="6" t="n">
        <v>24</v>
      </c>
      <c r="AB44" s="6" t="n">
        <v>16</v>
      </c>
      <c r="AC44" s="6" t="n">
        <v>20</v>
      </c>
      <c r="AD44" s="7"/>
      <c r="AE44" s="6" t="n">
        <v>20</v>
      </c>
      <c r="AF44" s="6" t="n">
        <v>16</v>
      </c>
      <c r="AG44" s="6" t="n">
        <v>24</v>
      </c>
      <c r="AH44" s="8" t="n">
        <f aca="false">SUM(B44:AG44)</f>
        <v>564</v>
      </c>
    </row>
    <row r="45" customFormat="false" ht="15" hidden="false" customHeight="false" outlineLevel="0" collapsed="false">
      <c r="A45" s="5" t="s">
        <v>76</v>
      </c>
      <c r="B45" s="6" t="n">
        <v>24</v>
      </c>
      <c r="C45" s="6" t="n">
        <v>20</v>
      </c>
      <c r="D45" s="6" t="n">
        <v>28</v>
      </c>
      <c r="E45" s="6" t="n">
        <v>24</v>
      </c>
      <c r="F45" s="6" t="n">
        <v>16</v>
      </c>
      <c r="G45" s="6" t="n">
        <v>12</v>
      </c>
      <c r="H45" s="6" t="n">
        <v>16</v>
      </c>
      <c r="I45" s="6" t="n">
        <v>20</v>
      </c>
      <c r="J45" s="6" t="n">
        <v>12</v>
      </c>
      <c r="K45" s="6" t="n">
        <v>16</v>
      </c>
      <c r="L45" s="6" t="n">
        <v>16</v>
      </c>
      <c r="M45" s="6" t="n">
        <v>16</v>
      </c>
      <c r="N45" s="6" t="n">
        <v>20</v>
      </c>
      <c r="O45" s="6" t="n">
        <v>20</v>
      </c>
      <c r="P45" s="6" t="n">
        <v>16</v>
      </c>
      <c r="Q45" s="6" t="n">
        <v>20</v>
      </c>
      <c r="R45" s="6" t="n">
        <v>28</v>
      </c>
      <c r="S45" s="6" t="n">
        <v>20</v>
      </c>
      <c r="T45" s="6" t="n">
        <v>16</v>
      </c>
      <c r="U45" s="6" t="n">
        <v>16</v>
      </c>
      <c r="V45" s="6" t="n">
        <v>28</v>
      </c>
      <c r="W45" s="6" t="n">
        <v>20</v>
      </c>
      <c r="X45" s="7"/>
      <c r="Y45" s="6" t="n">
        <v>12</v>
      </c>
      <c r="Z45" s="6" t="n">
        <v>12</v>
      </c>
      <c r="AA45" s="6" t="n">
        <v>20</v>
      </c>
      <c r="AB45" s="6" t="n">
        <v>16</v>
      </c>
      <c r="AC45" s="6" t="n">
        <v>28</v>
      </c>
      <c r="AD45" s="7"/>
      <c r="AE45" s="6" t="n">
        <v>20</v>
      </c>
      <c r="AF45" s="6" t="n">
        <v>20</v>
      </c>
      <c r="AG45" s="6" t="n">
        <v>24</v>
      </c>
      <c r="AH45" s="8" t="n">
        <f aca="false">SUM(B45:AG45)</f>
        <v>576</v>
      </c>
    </row>
    <row r="46" customFormat="false" ht="15" hidden="false" customHeight="false" outlineLevel="0" collapsed="false">
      <c r="A46" s="5" t="s">
        <v>77</v>
      </c>
      <c r="B46" s="6" t="n">
        <v>20</v>
      </c>
      <c r="C46" s="6" t="n">
        <v>20</v>
      </c>
      <c r="D46" s="6" t="n">
        <v>20</v>
      </c>
      <c r="E46" s="6" t="n">
        <v>20</v>
      </c>
      <c r="F46" s="6" t="n">
        <v>16</v>
      </c>
      <c r="G46" s="6" t="n">
        <v>12</v>
      </c>
      <c r="H46" s="6" t="n">
        <v>12</v>
      </c>
      <c r="I46" s="6" t="n">
        <v>20</v>
      </c>
      <c r="J46" s="6" t="n">
        <v>12</v>
      </c>
      <c r="K46" s="6" t="n">
        <v>12</v>
      </c>
      <c r="L46" s="6" t="n">
        <v>16</v>
      </c>
      <c r="M46" s="6" t="n">
        <v>12</v>
      </c>
      <c r="N46" s="6" t="n">
        <v>16</v>
      </c>
      <c r="O46" s="6" t="n">
        <v>16</v>
      </c>
      <c r="P46" s="6" t="n">
        <v>12</v>
      </c>
      <c r="Q46" s="6" t="n">
        <v>16</v>
      </c>
      <c r="R46" s="6" t="n">
        <v>20</v>
      </c>
      <c r="S46" s="6" t="n">
        <v>16</v>
      </c>
      <c r="T46" s="6" t="n">
        <v>16</v>
      </c>
      <c r="U46" s="6" t="n">
        <v>16</v>
      </c>
      <c r="V46" s="6" t="n">
        <v>24</v>
      </c>
      <c r="W46" s="6" t="n">
        <v>16</v>
      </c>
      <c r="X46" s="7"/>
      <c r="Y46" s="6" t="n">
        <v>12</v>
      </c>
      <c r="Z46" s="6" t="n">
        <v>12</v>
      </c>
      <c r="AA46" s="6" t="n">
        <v>16</v>
      </c>
      <c r="AB46" s="6" t="n">
        <v>12</v>
      </c>
      <c r="AC46" s="6" t="n">
        <v>24</v>
      </c>
      <c r="AD46" s="7"/>
      <c r="AE46" s="6" t="n">
        <v>16</v>
      </c>
      <c r="AF46" s="6" t="n">
        <v>16</v>
      </c>
      <c r="AG46" s="6" t="n">
        <v>20</v>
      </c>
      <c r="AH46" s="8" t="n">
        <f aca="false">SUM(B46:AG46)</f>
        <v>488</v>
      </c>
    </row>
    <row r="47" customFormat="false" ht="15" hidden="false" customHeight="false" outlineLevel="0" collapsed="false">
      <c r="A47" s="5" t="s">
        <v>78</v>
      </c>
      <c r="B47" s="6" t="n">
        <v>30</v>
      </c>
      <c r="C47" s="6" t="n">
        <v>20</v>
      </c>
      <c r="D47" s="6" t="n">
        <v>20</v>
      </c>
      <c r="E47" s="6" t="n">
        <v>16</v>
      </c>
      <c r="F47" s="6" t="n">
        <v>12</v>
      </c>
      <c r="G47" s="6" t="n">
        <v>12</v>
      </c>
      <c r="H47" s="6" t="n">
        <v>12</v>
      </c>
      <c r="I47" s="6" t="n">
        <v>20</v>
      </c>
      <c r="J47" s="6" t="n">
        <v>12</v>
      </c>
      <c r="K47" s="6" t="n">
        <v>12</v>
      </c>
      <c r="L47" s="6" t="n">
        <v>12</v>
      </c>
      <c r="M47" s="6" t="n">
        <v>12</v>
      </c>
      <c r="N47" s="6" t="n">
        <v>16</v>
      </c>
      <c r="O47" s="6" t="n">
        <v>16</v>
      </c>
      <c r="P47" s="6" t="n">
        <v>16</v>
      </c>
      <c r="Q47" s="6" t="n">
        <v>16</v>
      </c>
      <c r="R47" s="6" t="n">
        <v>20</v>
      </c>
      <c r="S47" s="6" t="n">
        <v>16</v>
      </c>
      <c r="T47" s="6" t="n">
        <v>13</v>
      </c>
      <c r="U47" s="6" t="n">
        <v>17</v>
      </c>
      <c r="V47" s="6" t="n">
        <v>20</v>
      </c>
      <c r="W47" s="6" t="n">
        <v>16</v>
      </c>
      <c r="X47" s="7"/>
      <c r="Y47" s="6" t="n">
        <v>12</v>
      </c>
      <c r="Z47" s="6" t="n">
        <v>12</v>
      </c>
      <c r="AA47" s="6" t="n">
        <v>16</v>
      </c>
      <c r="AB47" s="6" t="n">
        <v>12</v>
      </c>
      <c r="AC47" s="6" t="n">
        <v>24</v>
      </c>
      <c r="AD47" s="7"/>
      <c r="AE47" s="6" t="n">
        <v>16</v>
      </c>
      <c r="AF47" s="6" t="n">
        <v>16</v>
      </c>
      <c r="AG47" s="6" t="n">
        <v>20</v>
      </c>
      <c r="AH47" s="8" t="n">
        <f aca="false">SUM(B47:AG47)</f>
        <v>484</v>
      </c>
    </row>
    <row r="48" customFormat="false" ht="15" hidden="false" customHeight="false" outlineLevel="0" collapsed="false">
      <c r="A48" s="5" t="s">
        <v>79</v>
      </c>
      <c r="B48" s="6" t="n">
        <v>20</v>
      </c>
      <c r="C48" s="6" t="n">
        <v>20</v>
      </c>
      <c r="D48" s="6" t="n">
        <v>20</v>
      </c>
      <c r="E48" s="6" t="n">
        <v>24</v>
      </c>
      <c r="F48" s="6" t="n">
        <v>16</v>
      </c>
      <c r="G48" s="6" t="n">
        <v>16</v>
      </c>
      <c r="H48" s="6" t="n">
        <v>12</v>
      </c>
      <c r="I48" s="6" t="n">
        <v>16</v>
      </c>
      <c r="J48" s="6" t="n">
        <v>12</v>
      </c>
      <c r="K48" s="6" t="n">
        <v>16</v>
      </c>
      <c r="L48" s="6" t="n">
        <v>16</v>
      </c>
      <c r="M48" s="6" t="n">
        <v>16</v>
      </c>
      <c r="N48" s="6" t="n">
        <v>20</v>
      </c>
      <c r="O48" s="6" t="n">
        <v>16</v>
      </c>
      <c r="P48" s="6" t="n">
        <v>16</v>
      </c>
      <c r="Q48" s="6" t="n">
        <v>16</v>
      </c>
      <c r="R48" s="6" t="n">
        <v>20</v>
      </c>
      <c r="S48" s="6" t="n">
        <v>20</v>
      </c>
      <c r="T48" s="6" t="n">
        <v>16</v>
      </c>
      <c r="U48" s="6" t="n">
        <v>16</v>
      </c>
      <c r="V48" s="6" t="n">
        <v>24</v>
      </c>
      <c r="W48" s="6" t="n">
        <v>20</v>
      </c>
      <c r="X48" s="7"/>
      <c r="Y48" s="6" t="n">
        <v>12</v>
      </c>
      <c r="Z48" s="6" t="n">
        <v>12</v>
      </c>
      <c r="AA48" s="6" t="n">
        <v>20</v>
      </c>
      <c r="AB48" s="6" t="n">
        <v>16</v>
      </c>
      <c r="AC48" s="6" t="n">
        <v>24</v>
      </c>
      <c r="AD48" s="7"/>
      <c r="AE48" s="6" t="n">
        <v>20</v>
      </c>
      <c r="AF48" s="6" t="n">
        <v>16</v>
      </c>
      <c r="AG48" s="6" t="n">
        <v>24</v>
      </c>
      <c r="AH48" s="8" t="n">
        <f aca="false">SUM(B48:AG48)</f>
        <v>532</v>
      </c>
    </row>
    <row r="49" customFormat="false" ht="15" hidden="false" customHeight="false" outlineLevel="0" collapsed="false">
      <c r="A49" s="5" t="s">
        <v>80</v>
      </c>
      <c r="B49" s="6" t="n">
        <v>20</v>
      </c>
      <c r="C49" s="6" t="n">
        <v>20</v>
      </c>
      <c r="D49" s="6" t="n">
        <v>24</v>
      </c>
      <c r="E49" s="6" t="n">
        <v>20</v>
      </c>
      <c r="F49" s="6" t="n">
        <v>12</v>
      </c>
      <c r="G49" s="6" t="n">
        <v>12</v>
      </c>
      <c r="H49" s="6" t="n">
        <v>12</v>
      </c>
      <c r="I49" s="7"/>
      <c r="J49" s="6" t="n">
        <v>12</v>
      </c>
      <c r="K49" s="6" t="n">
        <v>12</v>
      </c>
      <c r="L49" s="6" t="n">
        <v>12</v>
      </c>
      <c r="M49" s="6" t="n">
        <v>12</v>
      </c>
      <c r="N49" s="6" t="n">
        <v>16</v>
      </c>
      <c r="O49" s="6" t="n">
        <v>16</v>
      </c>
      <c r="P49" s="6" t="n">
        <v>12</v>
      </c>
      <c r="Q49" s="6" t="n">
        <v>20</v>
      </c>
      <c r="R49" s="6" t="n">
        <v>20</v>
      </c>
      <c r="S49" s="6" t="n">
        <v>16</v>
      </c>
      <c r="T49" s="6" t="n">
        <v>12</v>
      </c>
      <c r="U49" s="6" t="n">
        <v>16</v>
      </c>
      <c r="V49" s="6" t="n">
        <v>24</v>
      </c>
      <c r="W49" s="6" t="n">
        <v>20</v>
      </c>
      <c r="X49" s="7"/>
      <c r="Y49" s="6" t="n">
        <v>12</v>
      </c>
      <c r="Z49" s="6" t="n">
        <v>12</v>
      </c>
      <c r="AA49" s="6" t="n">
        <v>20</v>
      </c>
      <c r="AB49" s="6" t="n">
        <v>12</v>
      </c>
      <c r="AC49" s="6" t="n">
        <v>24</v>
      </c>
      <c r="AD49" s="7"/>
      <c r="AE49" s="6" t="n">
        <v>16</v>
      </c>
      <c r="AF49" s="6" t="n">
        <v>16</v>
      </c>
      <c r="AG49" s="6" t="n">
        <v>24</v>
      </c>
      <c r="AH49" s="8" t="n">
        <f aca="false">SUM(B49:AG49)</f>
        <v>476</v>
      </c>
    </row>
    <row r="50" customFormat="false" ht="15" hidden="false" customHeight="false" outlineLevel="0" collapsed="false">
      <c r="A50" s="5" t="s">
        <v>81</v>
      </c>
      <c r="B50" s="6" t="n">
        <v>24</v>
      </c>
      <c r="C50" s="6" t="n">
        <v>24</v>
      </c>
      <c r="D50" s="6" t="n">
        <v>20</v>
      </c>
      <c r="E50" s="6" t="n">
        <v>20</v>
      </c>
      <c r="F50" s="6" t="n">
        <v>12</v>
      </c>
      <c r="G50" s="6" t="n">
        <v>16</v>
      </c>
      <c r="H50" s="6" t="n">
        <v>16</v>
      </c>
      <c r="I50" s="6" t="n">
        <v>16</v>
      </c>
      <c r="J50" s="6" t="n">
        <v>12</v>
      </c>
      <c r="K50" s="6" t="n">
        <v>12</v>
      </c>
      <c r="L50" s="6" t="n">
        <v>12</v>
      </c>
      <c r="M50" s="6" t="n">
        <v>16</v>
      </c>
      <c r="N50" s="6" t="n">
        <v>20</v>
      </c>
      <c r="O50" s="6" t="n">
        <v>16</v>
      </c>
      <c r="P50" s="6" t="n">
        <v>12</v>
      </c>
      <c r="Q50" s="6" t="n">
        <v>15</v>
      </c>
      <c r="R50" s="6" t="n">
        <v>20</v>
      </c>
      <c r="S50" s="6" t="n">
        <v>20</v>
      </c>
      <c r="T50" s="6" t="n">
        <v>16</v>
      </c>
      <c r="U50" s="6" t="n">
        <v>12</v>
      </c>
      <c r="V50" s="6" t="n">
        <v>24</v>
      </c>
      <c r="W50" s="6" t="n">
        <v>20</v>
      </c>
      <c r="X50" s="7"/>
      <c r="Y50" s="6" t="n">
        <v>12</v>
      </c>
      <c r="Z50" s="6" t="n">
        <v>16</v>
      </c>
      <c r="AA50" s="6" t="n">
        <v>20</v>
      </c>
      <c r="AB50" s="6" t="n">
        <v>16</v>
      </c>
      <c r="AC50" s="6" t="n">
        <v>24</v>
      </c>
      <c r="AD50" s="7"/>
      <c r="AE50" s="6" t="n">
        <v>16</v>
      </c>
      <c r="AF50" s="6" t="n">
        <v>16</v>
      </c>
      <c r="AG50" s="6" t="n">
        <v>24</v>
      </c>
      <c r="AH50" s="8" t="n">
        <f aca="false">SUM(B50:AG50)</f>
        <v>519</v>
      </c>
    </row>
    <row r="51" customFormat="false" ht="15" hidden="false" customHeight="false" outlineLevel="0" collapsed="false">
      <c r="A51" s="5" t="s">
        <v>82</v>
      </c>
      <c r="B51" s="6" t="n">
        <v>20</v>
      </c>
      <c r="C51" s="6" t="n">
        <v>26</v>
      </c>
      <c r="D51" s="6" t="n">
        <v>20</v>
      </c>
      <c r="E51" s="6" t="n">
        <v>20</v>
      </c>
      <c r="F51" s="6" t="n">
        <v>12</v>
      </c>
      <c r="G51" s="6" t="n">
        <v>12</v>
      </c>
      <c r="H51" s="6" t="n">
        <v>12</v>
      </c>
      <c r="I51" s="6" t="n">
        <v>16</v>
      </c>
      <c r="J51" s="6" t="n">
        <v>12</v>
      </c>
      <c r="K51" s="6" t="n">
        <v>12</v>
      </c>
      <c r="L51" s="6" t="n">
        <v>12</v>
      </c>
      <c r="M51" s="6" t="n">
        <v>12</v>
      </c>
      <c r="N51" s="6" t="n">
        <v>20</v>
      </c>
      <c r="O51" s="6" t="n">
        <v>16</v>
      </c>
      <c r="P51" s="6" t="n">
        <v>12</v>
      </c>
      <c r="Q51" s="6" t="n">
        <v>16</v>
      </c>
      <c r="R51" s="6" t="n">
        <v>16</v>
      </c>
      <c r="S51" s="6" t="n">
        <v>12</v>
      </c>
      <c r="T51" s="6" t="n">
        <v>16</v>
      </c>
      <c r="U51" s="6" t="n">
        <v>16</v>
      </c>
      <c r="V51" s="6" t="n">
        <v>20</v>
      </c>
      <c r="W51" s="6" t="n">
        <v>34</v>
      </c>
      <c r="X51" s="7"/>
      <c r="Y51" s="6" t="n">
        <v>12</v>
      </c>
      <c r="Z51" s="6" t="n">
        <v>12</v>
      </c>
      <c r="AA51" s="6" t="n">
        <v>16</v>
      </c>
      <c r="AB51" s="6" t="n">
        <v>12</v>
      </c>
      <c r="AC51" s="6" t="n">
        <v>24</v>
      </c>
      <c r="AD51" s="7"/>
      <c r="AE51" s="6" t="n">
        <v>16</v>
      </c>
      <c r="AF51" s="6" t="n">
        <v>12</v>
      </c>
      <c r="AG51" s="6" t="n">
        <v>20</v>
      </c>
      <c r="AH51" s="8" t="n">
        <f aca="false">SUM(B51:AG51)</f>
        <v>488</v>
      </c>
    </row>
    <row r="52" customFormat="false" ht="15" hidden="false" customHeight="false" outlineLevel="0" collapsed="false">
      <c r="A52" s="5" t="s">
        <v>83</v>
      </c>
      <c r="B52" s="6" t="n">
        <v>30</v>
      </c>
      <c r="C52" s="6" t="n">
        <v>16</v>
      </c>
      <c r="D52" s="6" t="n">
        <v>16</v>
      </c>
      <c r="E52" s="6" t="n">
        <v>16</v>
      </c>
      <c r="F52" s="6" t="n">
        <v>8</v>
      </c>
      <c r="G52" s="6" t="n">
        <v>12</v>
      </c>
      <c r="H52" s="6" t="n">
        <v>12</v>
      </c>
      <c r="I52" s="6" t="n">
        <v>12</v>
      </c>
      <c r="J52" s="6" t="n">
        <v>12</v>
      </c>
      <c r="K52" s="6" t="n">
        <v>12</v>
      </c>
      <c r="L52" s="6" t="n">
        <v>12</v>
      </c>
      <c r="M52" s="6" t="n">
        <v>12</v>
      </c>
      <c r="N52" s="6" t="n">
        <v>16</v>
      </c>
      <c r="O52" s="6" t="n">
        <v>16</v>
      </c>
      <c r="P52" s="6" t="n">
        <v>12</v>
      </c>
      <c r="Q52" s="6" t="n">
        <v>12</v>
      </c>
      <c r="R52" s="6" t="n">
        <v>16</v>
      </c>
      <c r="S52" s="6" t="n">
        <v>12</v>
      </c>
      <c r="T52" s="6" t="n">
        <v>12</v>
      </c>
      <c r="U52" s="6" t="n">
        <v>12</v>
      </c>
      <c r="V52" s="6" t="n">
        <v>20</v>
      </c>
      <c r="W52" s="6" t="n">
        <v>16</v>
      </c>
      <c r="X52" s="7"/>
      <c r="Y52" s="6" t="n">
        <v>12</v>
      </c>
      <c r="Z52" s="6" t="n">
        <v>12</v>
      </c>
      <c r="AA52" s="6" t="n">
        <v>16</v>
      </c>
      <c r="AB52" s="6" t="n">
        <v>12</v>
      </c>
      <c r="AC52" s="6" t="n">
        <v>24</v>
      </c>
      <c r="AD52" s="7"/>
      <c r="AE52" s="6" t="n">
        <v>12</v>
      </c>
      <c r="AF52" s="6" t="n">
        <v>12</v>
      </c>
      <c r="AG52" s="6" t="n">
        <v>24</v>
      </c>
      <c r="AH52" s="8" t="n">
        <f aca="false">SUM(B52:AG52)</f>
        <v>438</v>
      </c>
    </row>
    <row r="53" customFormat="false" ht="15" hidden="false" customHeight="false" outlineLevel="0" collapsed="false">
      <c r="A53" s="5" t="s">
        <v>84</v>
      </c>
      <c r="B53" s="6" t="n">
        <v>16</v>
      </c>
      <c r="C53" s="6" t="n">
        <v>20</v>
      </c>
      <c r="D53" s="6" t="n">
        <v>16</v>
      </c>
      <c r="E53" s="6" t="n">
        <v>16</v>
      </c>
      <c r="F53" s="6" t="n">
        <v>12</v>
      </c>
      <c r="G53" s="6" t="n">
        <v>12</v>
      </c>
      <c r="H53" s="6" t="n">
        <v>12</v>
      </c>
      <c r="I53" s="6" t="n">
        <v>12</v>
      </c>
      <c r="J53" s="6" t="n">
        <v>8</v>
      </c>
      <c r="K53" s="6" t="n">
        <v>12</v>
      </c>
      <c r="L53" s="6" t="n">
        <v>8</v>
      </c>
      <c r="M53" s="6" t="n">
        <v>12</v>
      </c>
      <c r="N53" s="6" t="n">
        <v>16</v>
      </c>
      <c r="O53" s="6" t="n">
        <v>12</v>
      </c>
      <c r="P53" s="6" t="n">
        <v>12</v>
      </c>
      <c r="Q53" s="6" t="n">
        <v>12</v>
      </c>
      <c r="R53" s="6" t="n">
        <v>16</v>
      </c>
      <c r="S53" s="6" t="n">
        <v>16</v>
      </c>
      <c r="T53" s="6" t="n">
        <v>12</v>
      </c>
      <c r="U53" s="6" t="n">
        <v>12</v>
      </c>
      <c r="V53" s="6" t="n">
        <v>20</v>
      </c>
      <c r="W53" s="6" t="n">
        <v>16</v>
      </c>
      <c r="X53" s="7"/>
      <c r="Y53" s="6" t="n">
        <v>8</v>
      </c>
      <c r="Z53" s="6" t="n">
        <v>12</v>
      </c>
      <c r="AA53" s="6" t="n">
        <v>16</v>
      </c>
      <c r="AB53" s="6" t="n">
        <v>12</v>
      </c>
      <c r="AC53" s="6" t="n">
        <v>20</v>
      </c>
      <c r="AD53" s="7"/>
      <c r="AE53" s="6" t="n">
        <v>16</v>
      </c>
      <c r="AF53" s="6" t="n">
        <v>12</v>
      </c>
      <c r="AG53" s="6" t="n">
        <v>16</v>
      </c>
      <c r="AH53" s="8" t="n">
        <f aca="false">SUM(B53:AG53)</f>
        <v>412</v>
      </c>
    </row>
    <row r="54" customFormat="false" ht="15" hidden="false" customHeight="false" outlineLevel="0" collapsed="false">
      <c r="A54" s="5" t="s">
        <v>85</v>
      </c>
      <c r="B54" s="6" t="n">
        <v>16</v>
      </c>
      <c r="C54" s="6" t="n">
        <v>16</v>
      </c>
      <c r="D54" s="6" t="n">
        <v>16</v>
      </c>
      <c r="E54" s="6" t="n">
        <v>20</v>
      </c>
      <c r="F54" s="6" t="n">
        <v>8</v>
      </c>
      <c r="G54" s="6" t="n">
        <v>8</v>
      </c>
      <c r="H54" s="6" t="n">
        <v>12</v>
      </c>
      <c r="I54" s="6" t="n">
        <v>12</v>
      </c>
      <c r="J54" s="6" t="n">
        <v>8</v>
      </c>
      <c r="K54" s="6" t="n">
        <v>12</v>
      </c>
      <c r="L54" s="6" t="n">
        <v>8</v>
      </c>
      <c r="M54" s="6" t="n">
        <v>12</v>
      </c>
      <c r="N54" s="6" t="n">
        <v>16</v>
      </c>
      <c r="O54" s="6" t="n">
        <v>12</v>
      </c>
      <c r="P54" s="6" t="n">
        <v>8</v>
      </c>
      <c r="Q54" s="6" t="n">
        <v>12</v>
      </c>
      <c r="R54" s="6" t="n">
        <v>16</v>
      </c>
      <c r="S54" s="6" t="n">
        <v>12</v>
      </c>
      <c r="T54" s="6" t="n">
        <v>12</v>
      </c>
      <c r="U54" s="6" t="n">
        <v>12</v>
      </c>
      <c r="V54" s="6" t="n">
        <v>20</v>
      </c>
      <c r="W54" s="6" t="n">
        <v>16</v>
      </c>
      <c r="X54" s="7"/>
      <c r="Y54" s="6" t="n">
        <v>8</v>
      </c>
      <c r="Z54" s="6" t="n">
        <v>12</v>
      </c>
      <c r="AA54" s="6" t="n">
        <v>12</v>
      </c>
      <c r="AB54" s="6" t="n">
        <v>12</v>
      </c>
      <c r="AC54" s="6" t="n">
        <v>20</v>
      </c>
      <c r="AD54" s="7"/>
      <c r="AE54" s="6" t="n">
        <v>12</v>
      </c>
      <c r="AF54" s="6" t="n">
        <v>12</v>
      </c>
      <c r="AG54" s="6" t="n">
        <v>20</v>
      </c>
      <c r="AH54" s="8" t="n">
        <f aca="false">SUM(B54:AG54)</f>
        <v>392</v>
      </c>
    </row>
    <row r="55" customFormat="false" ht="15" hidden="false" customHeight="false" outlineLevel="0" collapsed="false">
      <c r="A55" s="5" t="s">
        <v>86</v>
      </c>
      <c r="B55" s="6" t="n">
        <v>16</v>
      </c>
      <c r="C55" s="6" t="n">
        <v>16</v>
      </c>
      <c r="D55" s="6" t="n">
        <v>20</v>
      </c>
      <c r="E55" s="6" t="n">
        <v>16</v>
      </c>
      <c r="F55" s="6" t="n">
        <v>12</v>
      </c>
      <c r="G55" s="6" t="n">
        <v>12</v>
      </c>
      <c r="H55" s="6" t="n">
        <v>12</v>
      </c>
      <c r="I55" s="6" t="n">
        <v>16</v>
      </c>
      <c r="J55" s="6" t="n">
        <v>8</v>
      </c>
      <c r="K55" s="6" t="n">
        <v>12</v>
      </c>
      <c r="L55" s="6" t="n">
        <v>12</v>
      </c>
      <c r="M55" s="6" t="n">
        <v>12</v>
      </c>
      <c r="N55" s="6" t="n">
        <v>16</v>
      </c>
      <c r="O55" s="6" t="n">
        <v>16</v>
      </c>
      <c r="P55" s="6" t="n">
        <v>1</v>
      </c>
      <c r="Q55" s="6" t="n">
        <v>16</v>
      </c>
      <c r="R55" s="6" t="n">
        <v>20</v>
      </c>
      <c r="S55" s="6" t="n">
        <v>12</v>
      </c>
      <c r="T55" s="6" t="n">
        <v>12</v>
      </c>
      <c r="U55" s="6" t="n">
        <v>16</v>
      </c>
      <c r="V55" s="6" t="n">
        <v>20</v>
      </c>
      <c r="W55" s="6" t="n">
        <v>16</v>
      </c>
      <c r="X55" s="7"/>
      <c r="Y55" s="6" t="n">
        <v>12</v>
      </c>
      <c r="Z55" s="6" t="n">
        <v>12</v>
      </c>
      <c r="AA55" s="6" t="n">
        <v>16</v>
      </c>
      <c r="AB55" s="6" t="n">
        <v>12</v>
      </c>
      <c r="AC55" s="6" t="n">
        <v>24</v>
      </c>
      <c r="AD55" s="7"/>
      <c r="AE55" s="6" t="n">
        <v>12</v>
      </c>
      <c r="AF55" s="6" t="n">
        <v>12</v>
      </c>
      <c r="AG55" s="6" t="n">
        <v>20</v>
      </c>
      <c r="AH55" s="8" t="n">
        <f aca="false">SUM(B55:AG55)</f>
        <v>429</v>
      </c>
    </row>
    <row r="56" customFormat="false" ht="15" hidden="false" customHeight="false" outlineLevel="0" collapsed="false">
      <c r="A56" s="5" t="s">
        <v>87</v>
      </c>
      <c r="B56" s="6" t="n">
        <v>20</v>
      </c>
      <c r="C56" s="6" t="n">
        <v>20</v>
      </c>
      <c r="D56" s="6" t="n">
        <v>20</v>
      </c>
      <c r="E56" s="6" t="n">
        <v>24</v>
      </c>
      <c r="F56" s="6" t="n">
        <v>12</v>
      </c>
      <c r="G56" s="6" t="n">
        <v>12</v>
      </c>
      <c r="H56" s="6" t="n">
        <v>20</v>
      </c>
      <c r="I56" s="6" t="n">
        <v>16</v>
      </c>
      <c r="J56" s="6" t="n">
        <v>12</v>
      </c>
      <c r="K56" s="6" t="n">
        <v>16</v>
      </c>
      <c r="L56" s="6" t="n">
        <v>12</v>
      </c>
      <c r="M56" s="6" t="n">
        <v>16</v>
      </c>
      <c r="N56" s="6" t="n">
        <v>16</v>
      </c>
      <c r="O56" s="6" t="n">
        <v>16</v>
      </c>
      <c r="P56" s="6" t="n">
        <v>12</v>
      </c>
      <c r="Q56" s="6" t="n">
        <v>16</v>
      </c>
      <c r="R56" s="6" t="n">
        <v>20</v>
      </c>
      <c r="S56" s="6" t="n">
        <v>20</v>
      </c>
      <c r="T56" s="6" t="n">
        <v>16</v>
      </c>
      <c r="U56" s="6" t="n">
        <v>16</v>
      </c>
      <c r="V56" s="6" t="n">
        <v>24</v>
      </c>
      <c r="W56" s="6" t="n">
        <v>20</v>
      </c>
      <c r="X56" s="7"/>
      <c r="Y56" s="6" t="n">
        <v>12</v>
      </c>
      <c r="Z56" s="6" t="n">
        <v>12</v>
      </c>
      <c r="AA56" s="6" t="n">
        <v>24</v>
      </c>
      <c r="AB56" s="6" t="n">
        <v>12</v>
      </c>
      <c r="AC56" s="6" t="n">
        <v>28</v>
      </c>
      <c r="AD56" s="7"/>
      <c r="AE56" s="6" t="n">
        <v>16</v>
      </c>
      <c r="AF56" s="6" t="n">
        <v>16</v>
      </c>
      <c r="AG56" s="6" t="n">
        <v>24</v>
      </c>
      <c r="AH56" s="8" t="n">
        <f aca="false">SUM(B56:AG56)</f>
        <v>520</v>
      </c>
    </row>
    <row r="57" customFormat="false" ht="15" hidden="false" customHeight="false" outlineLevel="0" collapsed="false">
      <c r="A57" s="5" t="s">
        <v>88</v>
      </c>
      <c r="B57" s="6" t="n">
        <v>20</v>
      </c>
      <c r="C57" s="6" t="n">
        <v>16</v>
      </c>
      <c r="D57" s="6" t="n">
        <v>20</v>
      </c>
      <c r="E57" s="6" t="n">
        <v>24</v>
      </c>
      <c r="F57" s="6" t="n">
        <v>12</v>
      </c>
      <c r="G57" s="6" t="n">
        <v>12</v>
      </c>
      <c r="H57" s="6" t="n">
        <v>12</v>
      </c>
      <c r="I57" s="6" t="n">
        <v>16</v>
      </c>
      <c r="J57" s="6" t="n">
        <v>8</v>
      </c>
      <c r="K57" s="6" t="n">
        <v>12</v>
      </c>
      <c r="L57" s="6" t="n">
        <v>12</v>
      </c>
      <c r="M57" s="6" t="n">
        <v>12</v>
      </c>
      <c r="N57" s="6" t="n">
        <v>12</v>
      </c>
      <c r="O57" s="6" t="n">
        <v>16</v>
      </c>
      <c r="P57" s="6" t="n">
        <v>12</v>
      </c>
      <c r="Q57" s="6" t="n">
        <v>16</v>
      </c>
      <c r="R57" s="6" t="n">
        <v>24</v>
      </c>
      <c r="S57" s="6" t="n">
        <v>16</v>
      </c>
      <c r="T57" s="6" t="n">
        <v>12</v>
      </c>
      <c r="U57" s="6" t="n">
        <v>16</v>
      </c>
      <c r="V57" s="6" t="n">
        <v>24</v>
      </c>
      <c r="W57" s="6" t="n">
        <v>12</v>
      </c>
      <c r="X57" s="7"/>
      <c r="Y57" s="6" t="n">
        <v>12</v>
      </c>
      <c r="Z57" s="6" t="n">
        <v>12</v>
      </c>
      <c r="AA57" s="6" t="n">
        <v>16</v>
      </c>
      <c r="AB57" s="7"/>
      <c r="AC57" s="6" t="n">
        <v>28</v>
      </c>
      <c r="AD57" s="7"/>
      <c r="AE57" s="6" t="n">
        <v>16</v>
      </c>
      <c r="AF57" s="6" t="n">
        <v>12</v>
      </c>
      <c r="AG57" s="6" t="n">
        <v>24</v>
      </c>
      <c r="AH57" s="8" t="n">
        <f aca="false">SUM(B57:AG57)</f>
        <v>456</v>
      </c>
    </row>
    <row r="58" customFormat="false" ht="15" hidden="false" customHeight="false" outlineLevel="0" collapsed="false">
      <c r="A58" s="5" t="s">
        <v>35</v>
      </c>
      <c r="B58" s="8" t="n">
        <f aca="false">SUM(B5:B57)</f>
        <v>1108</v>
      </c>
      <c r="C58" s="8" t="n">
        <f aca="false">SUM(C5:C57)</f>
        <v>1170</v>
      </c>
      <c r="D58" s="8" t="n">
        <f aca="false">SUM(D5:D57)</f>
        <v>1063</v>
      </c>
      <c r="E58" s="8" t="n">
        <f aca="false">SUM(E5:E57)</f>
        <v>1264</v>
      </c>
      <c r="F58" s="8" t="n">
        <f aca="false">SUM(F5:F57)</f>
        <v>224</v>
      </c>
      <c r="G58" s="8" t="n">
        <f aca="false">SUM(G5:G57)</f>
        <v>664</v>
      </c>
      <c r="H58" s="8" t="n">
        <f aca="false">SUM(H5:H57)</f>
        <v>784</v>
      </c>
      <c r="I58" s="8" t="n">
        <f aca="false">SUM(I5:I57)</f>
        <v>700</v>
      </c>
      <c r="J58" s="8" t="n">
        <f aca="false">SUM(J5:J57)</f>
        <v>636</v>
      </c>
      <c r="K58" s="8" t="n">
        <f aca="false">SUM(K5:K57)</f>
        <v>712</v>
      </c>
      <c r="L58" s="8" t="n">
        <f aca="false">SUM(L5:L57)</f>
        <v>220</v>
      </c>
      <c r="M58" s="8" t="n">
        <f aca="false">SUM(M5:M57)</f>
        <v>756</v>
      </c>
      <c r="N58" s="8" t="n">
        <f aca="false">SUM(N5:N57)</f>
        <v>1040</v>
      </c>
      <c r="O58" s="8" t="n">
        <f aca="false">SUM(O5:O57)</f>
        <v>288</v>
      </c>
      <c r="P58" s="8" t="n">
        <f aca="false">SUM(P5:P57)</f>
        <v>693</v>
      </c>
      <c r="Q58" s="8" t="n">
        <f aca="false">SUM(Q5:Q57)</f>
        <v>787</v>
      </c>
      <c r="R58" s="8" t="n">
        <f aca="false">SUM(R5:R57)</f>
        <v>1020</v>
      </c>
      <c r="S58" s="8" t="n">
        <f aca="false">SUM(S5:S57)</f>
        <v>884</v>
      </c>
      <c r="T58" s="8" t="n">
        <f aca="false">SUM(T5:T57)</f>
        <v>253</v>
      </c>
      <c r="U58" s="8" t="n">
        <f aca="false">SUM(U5:U57)</f>
        <v>269</v>
      </c>
      <c r="V58" s="8" t="n">
        <f aca="false">SUM(V5:V57)</f>
        <v>1128</v>
      </c>
      <c r="W58" s="8" t="n">
        <f aca="false">SUM(W5:W57)</f>
        <v>1094</v>
      </c>
      <c r="X58" s="8" t="n">
        <f aca="false">SUM(X5:X57)</f>
        <v>0</v>
      </c>
      <c r="Y58" s="8" t="n">
        <f aca="false">SUM(Y5:Y57)</f>
        <v>212</v>
      </c>
      <c r="Z58" s="8" t="n">
        <f aca="false">SUM(Z5:Z57)</f>
        <v>736</v>
      </c>
      <c r="AA58" s="8" t="n">
        <f aca="false">SUM(AA5:AA57)</f>
        <v>1159</v>
      </c>
      <c r="AB58" s="8" t="n">
        <f aca="false">SUM(AB5:AB57)</f>
        <v>740</v>
      </c>
      <c r="AC58" s="8" t="n">
        <f aca="false">SUM(AC5:AC57)</f>
        <v>1244</v>
      </c>
      <c r="AD58" s="8" t="n">
        <f aca="false">SUM(AD5:AD57)</f>
        <v>0</v>
      </c>
      <c r="AE58" s="8" t="n">
        <f aca="false">SUM(AE5:AE57)</f>
        <v>852</v>
      </c>
      <c r="AF58" s="8" t="n">
        <f aca="false">SUM(AF5:AF57)</f>
        <v>780</v>
      </c>
      <c r="AG58" s="8" t="n">
        <f aca="false">SUM(AG5:AG57)</f>
        <v>1387</v>
      </c>
      <c r="AH58" s="8" t="n">
        <f aca="false">SUM(B58:AG58)</f>
        <v>23867</v>
      </c>
    </row>
    <row r="59" customFormat="false" ht="15" hidden="false" customHeight="false" outlineLevel="0" collapsed="false">
      <c r="A59" s="5" t="s">
        <v>89</v>
      </c>
      <c r="B59" s="9" t="n">
        <f aca="false">IFERROR(AVERAGE(B5:B57),"")</f>
        <v>20.9056603773585</v>
      </c>
      <c r="C59" s="9" t="n">
        <f aca="false">IFERROR(AVERAGE(C5:C57),"")</f>
        <v>22.0754716981132</v>
      </c>
      <c r="D59" s="9" t="n">
        <f aca="false">IFERROR(AVERAGE(D5:D57),"")</f>
        <v>20.0566037735849</v>
      </c>
      <c r="E59" s="9" t="n">
        <f aca="false">IFERROR(AVERAGE(E5:E57),"")</f>
        <v>23.8490566037736</v>
      </c>
      <c r="F59" s="9" t="n">
        <f aca="false">IFERROR(AVERAGE(F5:F57),"")</f>
        <v>12.4444444444444</v>
      </c>
      <c r="G59" s="9" t="n">
        <f aca="false">IFERROR(AVERAGE(G5:G57),"")</f>
        <v>13.0196078431373</v>
      </c>
      <c r="H59" s="9" t="n">
        <f aca="false">IFERROR(AVERAGE(H5:H57),"")</f>
        <v>14.7924528301887</v>
      </c>
      <c r="I59" s="9" t="n">
        <f aca="false">IFERROR(AVERAGE(I5:I57),"")</f>
        <v>14</v>
      </c>
      <c r="J59" s="9" t="n">
        <f aca="false">IFERROR(AVERAGE(J5:J57),"")</f>
        <v>12</v>
      </c>
      <c r="K59" s="9" t="n">
        <f aca="false">IFERROR(AVERAGE(K5:K57),"")</f>
        <v>13.4339622641509</v>
      </c>
      <c r="L59" s="9" t="n">
        <f aca="false">IFERROR(AVERAGE(L5:L57),"")</f>
        <v>12.2222222222222</v>
      </c>
      <c r="M59" s="9" t="n">
        <f aca="false">IFERROR(AVERAGE(M5:M57),"")</f>
        <v>14.2641509433962</v>
      </c>
      <c r="N59" s="9" t="n">
        <f aca="false">IFERROR(AVERAGE(N5:N57),"")</f>
        <v>19.622641509434</v>
      </c>
      <c r="O59" s="9" t="n">
        <f aca="false">IFERROR(AVERAGE(O5:O57),"")</f>
        <v>16</v>
      </c>
      <c r="P59" s="9" t="n">
        <f aca="false">IFERROR(AVERAGE(P5:P57),"")</f>
        <v>13.3269230769231</v>
      </c>
      <c r="Q59" s="9" t="n">
        <f aca="false">IFERROR(AVERAGE(Q5:Q57),"")</f>
        <v>14.8490566037736</v>
      </c>
      <c r="R59" s="9" t="n">
        <f aca="false">IFERROR(AVERAGE(R5:R57),"")</f>
        <v>20</v>
      </c>
      <c r="S59" s="9" t="n">
        <f aca="false">IFERROR(AVERAGE(S5:S57),"")</f>
        <v>16.6792452830189</v>
      </c>
      <c r="T59" s="9" t="n">
        <f aca="false">IFERROR(AVERAGE(T5:T57),"")</f>
        <v>14.0555555555556</v>
      </c>
      <c r="U59" s="9" t="n">
        <f aca="false">IFERROR(AVERAGE(U5:U57),"")</f>
        <v>14.9444444444444</v>
      </c>
      <c r="V59" s="9" t="n">
        <f aca="false">IFERROR(AVERAGE(V5:V57),"")</f>
        <v>21.2830188679245</v>
      </c>
      <c r="W59" s="9" t="n">
        <f aca="false">IFERROR(AVERAGE(W5:W57),"")</f>
        <v>20.6415094339623</v>
      </c>
      <c r="X59" s="9" t="str">
        <f aca="false">IFERROR(AVERAGE(X5:X57),"")</f>
        <v/>
      </c>
      <c r="Y59" s="9" t="n">
        <f aca="false">IFERROR(AVERAGE(Y5:Y57),"")</f>
        <v>11.7777777777778</v>
      </c>
      <c r="Z59" s="9" t="n">
        <f aca="false">IFERROR(AVERAGE(Z5:Z57),"")</f>
        <v>13.8867924528302</v>
      </c>
      <c r="AA59" s="9" t="n">
        <f aca="false">IFERROR(AVERAGE(AA5:AA57),"")</f>
        <v>21.8679245283019</v>
      </c>
      <c r="AB59" s="9" t="n">
        <f aca="false">IFERROR(AVERAGE(AB5:AB57),"")</f>
        <v>14.2307692307692</v>
      </c>
      <c r="AC59" s="9" t="n">
        <f aca="false">IFERROR(AVERAGE(AC5:AC57),"")</f>
        <v>23.4716981132075</v>
      </c>
      <c r="AD59" s="9" t="str">
        <f aca="false">IFERROR(AVERAGE(AD5:AD57),"")</f>
        <v/>
      </c>
      <c r="AE59" s="9" t="n">
        <f aca="false">IFERROR(AVERAGE(AE5:AE57),"")</f>
        <v>16.0754716981132</v>
      </c>
      <c r="AF59" s="9" t="n">
        <f aca="false">IFERROR(AVERAGE(AF5:AF57),"")</f>
        <v>14.7169811320755</v>
      </c>
      <c r="AG59" s="9" t="n">
        <f aca="false">IFERROR(AVERAGE(AG5:AG57),"")</f>
        <v>26.1698113207547</v>
      </c>
    </row>
    <row r="60" customFormat="false" ht="15" hidden="false" customHeight="false" outlineLevel="0" collapsed="false">
      <c r="A60" s="5" t="s">
        <v>90</v>
      </c>
      <c r="B60" s="8" t="n">
        <f aca="false">COUNT(B5:B57)</f>
        <v>53</v>
      </c>
      <c r="C60" s="8" t="n">
        <f aca="false">COUNT(C5:C57)</f>
        <v>53</v>
      </c>
      <c r="D60" s="8" t="n">
        <f aca="false">COUNT(D5:D57)</f>
        <v>53</v>
      </c>
      <c r="E60" s="8" t="n">
        <f aca="false">COUNT(E5:E57)</f>
        <v>53</v>
      </c>
      <c r="F60" s="8" t="n">
        <f aca="false">COUNT(F5:F57)</f>
        <v>18</v>
      </c>
      <c r="G60" s="8" t="n">
        <f aca="false">COUNT(G5:G57)</f>
        <v>51</v>
      </c>
      <c r="H60" s="8" t="n">
        <f aca="false">COUNT(H5:H57)</f>
        <v>53</v>
      </c>
      <c r="I60" s="8" t="n">
        <f aca="false">COUNT(I5:I57)</f>
        <v>50</v>
      </c>
      <c r="J60" s="8" t="n">
        <f aca="false">COUNT(J5:J57)</f>
        <v>53</v>
      </c>
      <c r="K60" s="8" t="n">
        <f aca="false">COUNT(K5:K57)</f>
        <v>53</v>
      </c>
      <c r="L60" s="8" t="n">
        <f aca="false">COUNT(L5:L57)</f>
        <v>18</v>
      </c>
      <c r="M60" s="8" t="n">
        <f aca="false">COUNT(M5:M57)</f>
        <v>53</v>
      </c>
      <c r="N60" s="8" t="n">
        <f aca="false">COUNT(N5:N57)</f>
        <v>53</v>
      </c>
      <c r="O60" s="8" t="n">
        <f aca="false">COUNT(O5:O57)</f>
        <v>18</v>
      </c>
      <c r="P60" s="8" t="n">
        <f aca="false">COUNT(P5:P57)</f>
        <v>52</v>
      </c>
      <c r="Q60" s="8" t="n">
        <f aca="false">COUNT(Q5:Q57)</f>
        <v>53</v>
      </c>
      <c r="R60" s="8" t="n">
        <f aca="false">COUNT(R5:R57)</f>
        <v>51</v>
      </c>
      <c r="S60" s="8" t="n">
        <f aca="false">COUNT(S5:S57)</f>
        <v>53</v>
      </c>
      <c r="T60" s="8" t="n">
        <f aca="false">COUNT(T5:T57)</f>
        <v>18</v>
      </c>
      <c r="U60" s="8" t="n">
        <f aca="false">COUNT(U5:U57)</f>
        <v>18</v>
      </c>
      <c r="V60" s="8" t="n">
        <f aca="false">COUNT(V5:V57)</f>
        <v>53</v>
      </c>
      <c r="W60" s="8" t="n">
        <f aca="false">COUNT(W5:W57)</f>
        <v>53</v>
      </c>
      <c r="X60" s="8" t="n">
        <f aca="false">COUNT(X5:X57)</f>
        <v>0</v>
      </c>
      <c r="Y60" s="8" t="n">
        <f aca="false">COUNT(Y5:Y57)</f>
        <v>18</v>
      </c>
      <c r="Z60" s="8" t="n">
        <f aca="false">COUNT(Z5:Z57)</f>
        <v>53</v>
      </c>
      <c r="AA60" s="8" t="n">
        <f aca="false">COUNT(AA5:AA57)</f>
        <v>53</v>
      </c>
      <c r="AB60" s="8" t="n">
        <f aca="false">COUNT(AB5:AB57)</f>
        <v>52</v>
      </c>
      <c r="AC60" s="8" t="n">
        <f aca="false">COUNT(AC5:AC57)</f>
        <v>53</v>
      </c>
      <c r="AD60" s="8" t="n">
        <f aca="false">COUNT(AD5:AD57)</f>
        <v>0</v>
      </c>
      <c r="AE60" s="8" t="n">
        <f aca="false">COUNT(AE5:AE57)</f>
        <v>53</v>
      </c>
      <c r="AF60" s="8" t="n">
        <f aca="false">COUNT(AF5:AF57)</f>
        <v>53</v>
      </c>
      <c r="AG60" s="8" t="n">
        <f aca="false">COUNT(AG5:AG57)</f>
        <v>53</v>
      </c>
    </row>
  </sheetData>
  <conditionalFormatting sqref="B5:AG57">
    <cfRule type="colorScale" priority="2">
      <colorScale>
        <cfvo type="min" val="0"/>
        <cfvo type="percentile" val="50"/>
        <cfvo type="max" val="0"/>
        <color rgb="FFF8FBFF"/>
        <color rgb="FF9DC3E6"/>
        <color rgb="FF1F4E78"/>
      </colorScale>
    </cfRule>
  </conditionalFormatting>
  <hyperlinks>
    <hyperlink ref="B5" r:id="rId1" display="https://rennamedia.com/wp-content/uploads/2021/12/BerkeleyHeightsJanuary2022.pdf"/>
    <hyperlink ref="C5" r:id="rId2" display="https://rennamedia.com/wp-content/uploads/2021/12/ClarkJanuary2022.pdf"/>
    <hyperlink ref="D5" r:id="rId3" display="https://rennamedia.com/wp-content/uploads/2021/12/ChathamsJanuary2022.pdf"/>
    <hyperlink ref="E5" r:id="rId4" display="https://rennamedia.com/wp-content/uploads/2021/12/CranfordJanuary2022.pdf"/>
    <hyperlink ref="H5" r:id="rId5" display="https://rennamedia.com/wp-content/uploads/2021/12/FanwoodJanuary2022.pdf"/>
    <hyperlink ref="J5" r:id="rId6" display="https://rennamedia.com/wp-content/uploads/2021/12/GarwoodJanuary2022.pdf"/>
    <hyperlink ref="K5" r:id="rId7" display="https://rennamedia.com/wp-content/uploads/2021/12/GreenBrookJanuary2022.pdf"/>
    <hyperlink ref="M5" r:id="rId8" display="https://rennamedia.com/wp-content/uploads/2021/12/KenilworthJanuary2022.pdf"/>
    <hyperlink ref="N5" r:id="rId9" display="https://rennamedia.com/wp-content/uploads/2021/12/LindenJanuary2022.pdf"/>
    <hyperlink ref="P5" r:id="rId10" display="https://rennamedia.com/wp-content/uploads/2021/12/LongHillJanuary2022.pdf"/>
    <hyperlink ref="Q5" r:id="rId11" display="https://rennamedia.com/wp-content/uploads/2021/12/MadisonJanuary2022.pdf"/>
    <hyperlink ref="S5" r:id="rId12" display="https://rennamedia.com/wp-content/uploads/2021/12/MountainsideJanuary2022.pdf"/>
    <hyperlink ref="V5" r:id="rId13" display="https://rennamedia.com/wp-content/uploads/2021/12/NewProvidenceJanuary2022.pdf"/>
    <hyperlink ref="W5" r:id="rId14" display="https://rennamedia.com/wp-content/uploads/2021/12/RahwayJanuary2022.pdf"/>
    <hyperlink ref="Z5" r:id="rId15" display="https://rennamedia.com/wp-content/uploads/2021/12/RoselleParkJanuary2022.pdf"/>
    <hyperlink ref="AA5" r:id="rId16" display="https://rennamedia.com/wp-content/uploads/2021/12/ScotchPlainsJanuary2022.pdf"/>
    <hyperlink ref="AB5" r:id="rId17" display="https://rennamedia.com/wp-content/uploads/2021/12/UnionJanuary2022.pdf"/>
    <hyperlink ref="AC5" r:id="rId18" display="https://rennamedia.com/wp-content/uploads/2021/12/SummitJanuary2022.pdf"/>
    <hyperlink ref="AE5" r:id="rId19" display="https://rennamedia.com/wp-content/uploads/2021/12/WarrenJanuary2022.pdf"/>
    <hyperlink ref="AF5" r:id="rId20" display="https://rennamedia.com/wp-content/uploads/2021/12/WatchungJanuary2022.pdf"/>
    <hyperlink ref="AG5" r:id="rId21" display="https://rennamedia.com/wp-content/uploads/2021/12/WestfieldJanuary2022.pdf"/>
    <hyperlink ref="B6" r:id="rId22" display="https://rennamedia.com/wp-content/uploads/2022/01/BerkeleyHeightsFebruary2022.pdf"/>
    <hyperlink ref="C6" r:id="rId23" display="https://rennamedia.com/wp-content/uploads/2022/01/ClarkFebruary2022.pdf"/>
    <hyperlink ref="D6" r:id="rId24" display="https://rennamedia.com/wp-content/uploads/2022/01/ChathamsFebruary2022i.pdf"/>
    <hyperlink ref="E6" r:id="rId25" display="https://rennamedia.com/wp-content/uploads/2022/01/CranfordFebruary2022.pdf"/>
    <hyperlink ref="H6" r:id="rId26" display="https://rennamedia.com/wp-content/uploads/2022/01/FanwoodFebruary2022.pdf"/>
    <hyperlink ref="J6" r:id="rId27" display="https://rennamedia.com/wp-content/uploads/2022/01/GarwoodFebruary2022.pdf"/>
    <hyperlink ref="K6" r:id="rId28" display="https://rennamedia.com/wp-content/uploads/2022/01/GreenBrookFebruary2022.pdf"/>
    <hyperlink ref="M6" r:id="rId29" display="https://rennamedia.com/wp-content/uploads/2022/01/KenilworthFebruary2022.pdf"/>
    <hyperlink ref="N6" r:id="rId30" display="https://rennamedia.com/wp-content/uploads/2022/01/LindenFebruary2022.pdf"/>
    <hyperlink ref="P6" r:id="rId31" display="https://rennamedia.com/wp-content/uploads/2022/01/LongHillFebruary2022.pdf"/>
    <hyperlink ref="Q6" r:id="rId32" display="https://rennamedia.com/wp-content/uploads/2022/01/MadisonFebruary2022.pdf"/>
    <hyperlink ref="S6" r:id="rId33" display="https://rennamedia.com/wp-content/uploads/2022/01/MountainsideFebruary2022.pdf"/>
    <hyperlink ref="V6" r:id="rId34" display="https://rennamedia.com/wp-content/uploads/2022/01/NewProvidenceFebruary2022.pdf"/>
    <hyperlink ref="W6" r:id="rId35" display="https://rennamedia.com/wp-content/uploads/2022/01/RahwayFebruary2022.pdf"/>
    <hyperlink ref="Z6" r:id="rId36" display="https://rennamedia.com/wp-content/uploads/2022/01/RoselleParkFebruary2022.pdf"/>
    <hyperlink ref="AA6" r:id="rId37" display="https://rennamedia.com/wp-content/uploads/2022/01/ScotchPlainsFebruary2022.pdf"/>
    <hyperlink ref="AB6" r:id="rId38" display="https://rennamedia.com/wp-content/uploads/2022/01/UnionFebruary2022.pdf"/>
    <hyperlink ref="AC6" r:id="rId39" display="https://rennamedia.com/wp-content/uploads/2022/01/SummitFebruary2022.pdf"/>
    <hyperlink ref="AE6" r:id="rId40" display="https://rennamedia.com/wp-content/uploads/2022/01/WarrenFebruary2022.pdf"/>
    <hyperlink ref="AF6" r:id="rId41" display="https://rennamedia.com/wp-content/uploads/2022/01/WatchungFebruary2022.pdf"/>
    <hyperlink ref="AG6" r:id="rId42" display="https://rennamedia.com/wp-content/uploads/2022/01/WestfieldFebruary2022.pdf"/>
    <hyperlink ref="B7" r:id="rId43" display="https://rennamedia.com/wp-content/uploads/2022/02/BerkeleyHeightsMarch2022.pdf"/>
    <hyperlink ref="C7" r:id="rId44" display="https://rennamedia.com/wp-content/uploads/2022/02/ClarkMarch2022.pdf"/>
    <hyperlink ref="D7" r:id="rId45" display="https://rennamedia.com/wp-content/uploads/2022/02/ChathamsMarch2022.pdf"/>
    <hyperlink ref="E7" r:id="rId46" display="https://rennamedia.com/wp-content/uploads/2022/02/CranfordMarch2022.pdf"/>
    <hyperlink ref="G7" r:id="rId47" display="https://rennamedia.com/wp-content/uploads/2022/02/ElmoraHillsMonthlyMarch2022.pdf"/>
    <hyperlink ref="H7" r:id="rId48" display="https://rennamedia.com/wp-content/uploads/2022/02/FanwoodMarch2022.pdf"/>
    <hyperlink ref="I7" r:id="rId49" display="https://rennamedia.com/wp-content/uploads/2022/02/FlorhamParkMonthlyMarch2022.pdf"/>
    <hyperlink ref="J7" r:id="rId50" display="https://rennamedia.com/wp-content/uploads/2022/02/GarwoodMarch2022.pdf"/>
    <hyperlink ref="K7" r:id="rId51" display="https://rennamedia.com/wp-content/uploads/2022/02/GreenBrookMarch2022.pdf"/>
    <hyperlink ref="M7" r:id="rId52" display="https://rennamedia.com/wp-content/uploads/2022/02/KenilworthMarch2022.pdf"/>
    <hyperlink ref="N7" r:id="rId53" display="https://rennamedia.com/wp-content/uploads/2022/02/LindenMarch2022.pdf"/>
    <hyperlink ref="P7" r:id="rId54" display="https://rennamedia.com/wp-content/uploads/2022/02/LongHillMarch2022.pdf"/>
    <hyperlink ref="Q7" r:id="rId55" display="https://rennamedia.com/wp-content/uploads/2022/02/MadisonMarch2022.pdf"/>
    <hyperlink ref="R7" r:id="rId56" display="https://rennamedia.com/wp-content/uploads/2022/02/ShortHillsMillburnMarch2022.pdf"/>
    <hyperlink ref="S7" r:id="rId57" display="https://rennamedia.com/wp-content/uploads/2022/02/MountainsideMarch2022.pdf"/>
    <hyperlink ref="V7" r:id="rId58" display="https://rennamedia.com/wp-content/uploads/2022/02/NewProvidenceMarch2022.pdf"/>
    <hyperlink ref="W7" r:id="rId59" display="https://rennamedia.com/wp-content/uploads/2022/02/RahwayMarch2022.pdf"/>
    <hyperlink ref="Z7" r:id="rId60" display="https://rennamedia.com/wp-content/uploads/2022/02/RoselleParkMarch2022.pdf"/>
    <hyperlink ref="AA7" r:id="rId61" display="https://rennamedia.com/wp-content/uploads/2022/02/ScotchPlainsMarch2022.pdf"/>
    <hyperlink ref="AB7" r:id="rId62" display="https://rennamedia.com/wp-content/uploads/2022/02/UnionMarch2022.pdf"/>
    <hyperlink ref="AC7" r:id="rId63" display="https://rennamedia.com/wp-content/uploads/2022/02/SummitMarch2022.pdf"/>
    <hyperlink ref="AE7" r:id="rId64" display="https://rennamedia.com/wp-content/uploads/2022/02/WarrenMarch2022.pdf"/>
    <hyperlink ref="AF7" r:id="rId65" display="https://rennamedia.com/wp-content/uploads/2022/02/WatchungMarch2022.pdf"/>
    <hyperlink ref="AG7" r:id="rId66" display="https://rennamedia.com/wp-content/uploads/2022/02/WestfieldMarch2022.pdf"/>
    <hyperlink ref="B8" r:id="rId67" display="https://rennamedia.com/wp-content/uploads/2022/03/BerkeleyHeightsApril2022.pdf"/>
    <hyperlink ref="C8" r:id="rId68" display="https://rennamedia.com/wp-content/uploads/2022/03/ClarkApril2022.pdf"/>
    <hyperlink ref="D8" r:id="rId69" display="https://rennamedia.com/wp-content/uploads/2022/03/ChathamsApril2022.pdf"/>
    <hyperlink ref="E8" r:id="rId70" display="https://rennamedia.com/wp-content/uploads/2022/03/CranfordApril2022.pdf"/>
    <hyperlink ref="G8" r:id="rId71" display="https://rennamedia.com/wp-content/uploads/2022/03/ElmoraHillsMonthlyApril2022.pdf"/>
    <hyperlink ref="H8" r:id="rId72" display="https://rennamedia.com/wp-content/uploads/2022/03/FanwoodApril2022.pdf"/>
    <hyperlink ref="I8" r:id="rId73" display="https://rennamedia.com/wp-content/uploads/2022/03/FlorhamParkMonthlyApril2022.pdf"/>
    <hyperlink ref="J8" r:id="rId74" display="https://rennamedia.com/wp-content/uploads/2022/03/GarwoodApril2022.pdf"/>
    <hyperlink ref="K8" r:id="rId75" display="https://rennamedia.com/wp-content/uploads/2022/03/GreenBrookApril2022.pdf"/>
    <hyperlink ref="M8" r:id="rId76" display="https://rennamedia.com/wp-content/uploads/2022/03/KenilworthApril2022.pdf"/>
    <hyperlink ref="N8" r:id="rId77" display="https://rennamedia.com/wp-content/uploads/2022/03/LindenApril2022.pdf"/>
    <hyperlink ref="P8" r:id="rId78" display="https://rennamedia.com/wp-content/uploads/2022/03/LongHillApril2022.pdf"/>
    <hyperlink ref="Q8" r:id="rId79" display="https://rennamedia.com/wp-content/uploads/2022/03/MadisonApril2022.pdf"/>
    <hyperlink ref="R8" r:id="rId80" display="https://rennamedia.com/wp-content/uploads/2022/03/ShortHillsMillburnApril2022.pdf"/>
    <hyperlink ref="S8" r:id="rId81" display="https://rennamedia.com/wp-content/uploads/2022/03/MountainsideApril2022.pdf"/>
    <hyperlink ref="V8" r:id="rId82" display="https://rennamedia.com/wp-content/uploads/2022/03/NewProvidenceApril2022.pdf"/>
    <hyperlink ref="W8" r:id="rId83" display="https://rennamedia.com/wp-content/uploads/2022/03/RahwayApril2022.pdf"/>
    <hyperlink ref="Z8" r:id="rId84" display="https://rennamedia.com/wp-content/uploads/2022/03/RoselleParkApril2022.pdf"/>
    <hyperlink ref="AA8" r:id="rId85" display="https://rennamedia.com/wp-content/uploads/2022/03/ScotchPlainsApril2022.pdf"/>
    <hyperlink ref="AB8" r:id="rId86" display="https://rennamedia.com/wp-content/uploads/2022/03/UnionApril2022.pdf"/>
    <hyperlink ref="AC8" r:id="rId87" display="https://rennamedia.com/wp-content/uploads/2022/03/SummitApril2022.pdf"/>
    <hyperlink ref="AE8" r:id="rId88" display="https://rennamedia.com/wp-content/uploads/2022/03/WarrenApril2022.pdf"/>
    <hyperlink ref="AF8" r:id="rId89" display="https://rennamedia.com/wp-content/uploads/2022/03/WatchungApril2022.pdf"/>
    <hyperlink ref="AG8" r:id="rId90" display="https://rennamedia.com/wp-content/uploads/2022/03/WestfieldApril2022.pdf"/>
    <hyperlink ref="B9" r:id="rId91" display="https://rennamedia.com/wp-content/uploads/2022/04/BerkeleyHeightsMay2022.pdf"/>
    <hyperlink ref="C9" r:id="rId92" display="https://rennamedia.com/wp-content/uploads/2022/04/ClarkMay2022.pdf"/>
    <hyperlink ref="D9" r:id="rId93" display="https://rennamedia.com/wp-content/uploads/2022/04/ChathamsMay2022.pdf"/>
    <hyperlink ref="E9" r:id="rId94" display="https://rennamedia.com/wp-content/uploads/2022/04/CranfordMay2022.pdf"/>
    <hyperlink ref="G9" r:id="rId95" display="https://rennamedia.com/wp-content/uploads/2022/04/ElmoraHillsMonthlyMay2022.pdf"/>
    <hyperlink ref="H9" r:id="rId96" display="https://rennamedia.com/wp-content/uploads/2022/04/FanwoodMay2022.pdf"/>
    <hyperlink ref="I9" r:id="rId97" display="https://rennamedia.com/wp-content/uploads/2022/04/FlorhamParkMonthlyMay2022.pdf"/>
    <hyperlink ref="J9" r:id="rId98" display="https://rennamedia.com/wp-content/uploads/2022/04/GarwoodMay2022.pdf"/>
    <hyperlink ref="K9" r:id="rId99" display="https://rennamedia.com/wp-content/uploads/2022/04/GreenBrookMay2022.pdf"/>
    <hyperlink ref="M9" r:id="rId100" display="https://rennamedia.com/wp-content/uploads/2022/04/KenilworthMay2022.pdf"/>
    <hyperlink ref="N9" r:id="rId101" display="https://rennamedia.com/wp-content/uploads/2022/04/LindenMay2022.pdf"/>
    <hyperlink ref="P9" r:id="rId102" display="https://rennamedia.com/wp-content/uploads/2022/04/LongHillMay2022.pdf"/>
    <hyperlink ref="Q9" r:id="rId103" display="https://rennamedia.com/wp-content/uploads/2022/04/MadisonMay2022.pdf"/>
    <hyperlink ref="R9" r:id="rId104" display="https://rennamedia.com/wp-content/uploads/2022/04/MillburnShortHillsMay2022.pdf"/>
    <hyperlink ref="S9" r:id="rId105" display="https://rennamedia.com/wp-content/uploads/2022/04/MountainsideMay2022.pdf"/>
    <hyperlink ref="V9" r:id="rId106" display="https://rennamedia.com/wp-content/uploads/2022/04/NewProvidenceMay2022.pdf"/>
    <hyperlink ref="W9" r:id="rId107" display="https://rennamedia.com/wp-content/uploads/2022/04/RahwayMay2022.pdf"/>
    <hyperlink ref="Z9" r:id="rId108" display="https://rennamedia.com/wp-content/uploads/2022/04/RoselleParkMay2022.pdf"/>
    <hyperlink ref="AA9" r:id="rId109" display="https://rennamedia.com/wp-content/uploads/2022/04/ScotchPlainsMay2022.pdf"/>
    <hyperlink ref="AB9" r:id="rId110" display="https://rennamedia.com/wp-content/uploads/2022/04/UnionMay2022.pdf"/>
    <hyperlink ref="AC9" r:id="rId111" display="https://rennamedia.com/wp-content/uploads/2022/04/SummitMay2022.pdf"/>
    <hyperlink ref="AE9" r:id="rId112" display="https://rennamedia.com/wp-content/uploads/2022/04/WarrenMay2022.pdf"/>
    <hyperlink ref="AF9" r:id="rId113" display="https://rennamedia.com/wp-content/uploads/2022/04/WatchungMay2022.pdf"/>
    <hyperlink ref="AG9" r:id="rId114" display="https://rennamedia.com/wp-content/uploads/2022/05/WestfieldMay2022issue.pdf"/>
    <hyperlink ref="B10" r:id="rId115" display="https://rennamedia.com/wp-content/uploads/2022/05/BerkeleyHeightsJune2022.pdf"/>
    <hyperlink ref="C10" r:id="rId116" display="https://rennamedia.com/wp-content/uploads/2022/05/ClarkJune2022.pdf"/>
    <hyperlink ref="D10" r:id="rId117" display="https://rennamedia.com/wp-content/uploads/2022/05/ChathamsJune2022.pdf"/>
    <hyperlink ref="E10" r:id="rId118" display="https://rennamedia.com/wp-content/uploads/2022/05/CranfordJune2022.pdf"/>
    <hyperlink ref="G10" r:id="rId119" display="https://rennamedia.com/wp-content/uploads/2022/05/ElmoraHillsMonthlyJune2022.pdf"/>
    <hyperlink ref="H10" r:id="rId120" display="https://rennamedia.com/wp-content/uploads/2022/05/FanwoodJune2022.pdf"/>
    <hyperlink ref="I10" r:id="rId121" display="https://rennamedia.com/wp-content/uploads/2022/05/FlorhamParkMonthlyJune2022.pdf"/>
    <hyperlink ref="J10" r:id="rId122" display="https://rennamedia.com/wp-content/uploads/2022/05/GarwoodJune2022.pdf"/>
    <hyperlink ref="K10" r:id="rId123" display="https://rennamedia.com/wp-content/uploads/2022/05/GreenBrookJune2022.pdf"/>
    <hyperlink ref="M10" r:id="rId124" display="https://rennamedia.com/wp-content/uploads/2022/05/KenilworthJune2022.pdf"/>
    <hyperlink ref="N10" r:id="rId125" display="https://rennamedia.com/wp-content/uploads/2022/05/LindenJune2022.pdf"/>
    <hyperlink ref="P10" r:id="rId126" display="https://rennamedia.com/wp-content/uploads/2022/05/LongHillJune2022.pdf"/>
    <hyperlink ref="Q10" r:id="rId127" display="https://rennamedia.com/wp-content/uploads/2022/05/MadisonJune2022.pdf"/>
    <hyperlink ref="R10" r:id="rId128" display="https://rennamedia.com/wp-content/uploads/2022/05/MillburnShortHillsJune2022.pdf"/>
    <hyperlink ref="S10" r:id="rId129" display="https://rennamedia.com/wp-content/uploads/2022/05/MountainsideJune2022.pdf"/>
    <hyperlink ref="V10" r:id="rId130" display="https://rennamedia.com/wp-content/uploads/2022/05/NewProvidenceJune2022.pdf"/>
    <hyperlink ref="W10" r:id="rId131" display="https://rennamedia.com/wp-content/uploads/2022/05/RahwayJune2022.pdf"/>
    <hyperlink ref="Z10" r:id="rId132" display="https://rennamedia.com/wp-content/uploads/2022/05/RoselleParkJune2022.pdf"/>
    <hyperlink ref="AA10" r:id="rId133" display="https://rennamedia.com/wp-content/uploads/2022/05/ScotchPlainsJune2022.pdf"/>
    <hyperlink ref="AB10" r:id="rId134" display="https://rennamedia.com/wp-content/uploads/2022/05/UnionJune2022.pdf"/>
    <hyperlink ref="AC10" r:id="rId135" display="https://rennamedia.com/wp-content/uploads/2022/05/SummitJune2022.pdf"/>
    <hyperlink ref="AE10" r:id="rId136" display="https://rennamedia.com/wp-content/uploads/2022/05/WarrenJune2022.pdf"/>
    <hyperlink ref="AF10" r:id="rId137" display="https://rennamedia.com/wp-content/uploads/2022/05/WatchungJune2022.pdf"/>
    <hyperlink ref="AG10" r:id="rId138" display="https://rennamedia.com/wp-content/uploads/2022/05/WestfieldJune2022.pdf"/>
    <hyperlink ref="B11" r:id="rId139" display="https://rennamedia.com/wp-content/uploads/2022/06/BerkeleyHeightsJuly2022.pdf"/>
    <hyperlink ref="C11" r:id="rId140" display="https://rennamedia.com/wp-content/uploads/2022/06/ClarkJuly2022.pdf"/>
    <hyperlink ref="D11" r:id="rId141" display="https://rennamedia.com/wp-content/uploads/2022/06/ChathamsJuly2022.pdf"/>
    <hyperlink ref="E11" r:id="rId142" display="https://rennamedia.com/wp-content/uploads/2022/06/CranfordJuly2022.pdf"/>
    <hyperlink ref="G11" r:id="rId143" display="https://rennamedia.com/wp-content/uploads/2022/06/ElmoraHillsMonthlyJuly2022.pdf"/>
    <hyperlink ref="H11" r:id="rId144" display="https://rennamedia.com/wp-content/uploads/2022/06/FanwoodJuly2022.pdf"/>
    <hyperlink ref="I11" r:id="rId145" display="https://rennamedia.com/wp-content/uploads/2022/06/FlorhamParkMonthlyJuly2022.pdf"/>
    <hyperlink ref="J11" r:id="rId146" display="https://rennamedia.com/wp-content/uploads/2022/06/GarwoodJuly2022.pdf"/>
    <hyperlink ref="K11" r:id="rId147" display="https://rennamedia.com/wp-content/uploads/2022/06/GreenBrookJuly2022.pdf"/>
    <hyperlink ref="M11" r:id="rId148" display="https://rennamedia.com/wp-content/uploads/2022/06/KenilworthJuly2022.pdf"/>
    <hyperlink ref="N11" r:id="rId149" display="https://rennamedia.com/wp-content/uploads/2022/06/LindenJuly2022.pdf"/>
    <hyperlink ref="P11" r:id="rId150" display="https://rennamedia.com/wp-content/uploads/2022/06/LongHillJuly2022.pdf"/>
    <hyperlink ref="Q11" r:id="rId151" display="https://rennamedia.com/wp-content/uploads/2022/06/MadisonJuly2022.pdf"/>
    <hyperlink ref="R11" r:id="rId152" display="https://rennamedia.com/wp-content/uploads/2022/06/MillburnShortHillsJuly2022.pdf"/>
    <hyperlink ref="S11" r:id="rId153" display="https://rennamedia.com/wp-content/uploads/2022/06/MountainsideJuly2022.pdf"/>
    <hyperlink ref="V11" r:id="rId154" display="https://rennamedia.com/wp-content/uploads/2022/06/NewProvidenceJuly2022.pdf"/>
    <hyperlink ref="W11" r:id="rId155" display="https://rennamedia.com/wp-content/uploads/2022/06/RahwayJuly2022.pdf"/>
    <hyperlink ref="Z11" r:id="rId156" display="https://rennamedia.com/wp-content/uploads/2022/06/RoselleParkJuly2022.pdf"/>
    <hyperlink ref="AA11" r:id="rId157" display="https://rennamedia.com/wp-content/uploads/2022/06/ScotchPlainsJuly2022.pdf"/>
    <hyperlink ref="AB11" r:id="rId158" display="https://rennamedia.com/wp-content/uploads/2022/06/UnionJuly2022.pdf"/>
    <hyperlink ref="AC11" r:id="rId159" display="https://rennamedia.com/wp-content/uploads/2022/06/SummitJuly2022.pdf"/>
    <hyperlink ref="AE11" r:id="rId160" display="https://rennamedia.com/wp-content/uploads/2022/06/WarrenJuly2022.pdf"/>
    <hyperlink ref="AF11" r:id="rId161" display="https://rennamedia.com/wp-content/uploads/2022/06/WatchungJuly2022.pdf"/>
    <hyperlink ref="AG11" r:id="rId162" display="https://rennamedia.com/wp-content/uploads/2022/06/WestfieldJuly2022.pdf"/>
    <hyperlink ref="B12" r:id="rId163" display="https://rennamedia.com/wp-content/uploads/2022/07/BerkeleyHeightsAugust2022.pdf"/>
    <hyperlink ref="C12" r:id="rId164" display="https://rennamedia.com/wp-content/uploads/2022/07/ChathamsAugust2022.pdf"/>
    <hyperlink ref="D12" r:id="rId165" display="https://rennamedia.com/wp-content/uploads/2022/07/ChathamsAugust2022.pdf"/>
    <hyperlink ref="E12" r:id="rId166" display="https://rennamedia.com/wp-content/uploads/2022/07/CranfordAugust2022.pdf"/>
    <hyperlink ref="G12" r:id="rId167" display="https://rennamedia.com/wp-content/uploads/2022/07/ElmoraHillsMonthlyAugust2022.pdf"/>
    <hyperlink ref="H12" r:id="rId168" display="https://rennamedia.com/wp-content/uploads/2022/07/FanwoodAugust2022.pdf"/>
    <hyperlink ref="I12" r:id="rId169" display="https://rennamedia.com/wp-content/uploads/2022/07/FlorhamParkMonthlyAugust2022.pdf"/>
    <hyperlink ref="J12" r:id="rId170" display="https://rennamedia.com/wp-content/uploads/2022/07/GarwoodAugust2022.pdf"/>
    <hyperlink ref="K12" r:id="rId171" display="https://rennamedia.com/wp-content/uploads/2022/07/GreenBrookAugust2022.pdf"/>
    <hyperlink ref="M12" r:id="rId172" display="https://rennamedia.com/wp-content/uploads/2022/07/KenilworthAugust2022.pdf"/>
    <hyperlink ref="N12" r:id="rId173" display="https://rennamedia.com/wp-content/uploads/2022/07/LindenAugust2022.pdf"/>
    <hyperlink ref="P12" r:id="rId174" display="https://rennamedia.com/wp-content/uploads/2022/07/LongHillAugust2022.pdf"/>
    <hyperlink ref="Q12" r:id="rId175" display="https://rennamedia.com/wp-content/uploads/2022/07/MadisonAugust2022.pdf"/>
    <hyperlink ref="R12" r:id="rId176" display="https://rennamedia.com/wp-content/uploads/2022/07/MillburnShortHillsAugust2022.pdf"/>
    <hyperlink ref="S12" r:id="rId177" display="https://rennamedia.com/wp-content/uploads/2022/07/MountainsideAugust2022.pdf"/>
    <hyperlink ref="V12" r:id="rId178" display="https://rennamedia.com/wp-content/uploads/2022/07/NewProvidenceAugust2022.pdf"/>
    <hyperlink ref="W12" r:id="rId179" display="https://rennamedia.com/wp-content/uploads/2022/07/RahwayAugust2022.pdf"/>
    <hyperlink ref="Z12" r:id="rId180" display="https://rennamedia.com/wp-content/uploads/2022/07/RoselleParkAugust2022.pdf"/>
    <hyperlink ref="AA12" r:id="rId181" display="https://rennamedia.com/wp-content/uploads/2022/07/ScotchPlainsAugust2022.pdf"/>
    <hyperlink ref="AB12" r:id="rId182" display="https://rennamedia.com/wp-content/uploads/2022/07/UnionAugust2022.pdf"/>
    <hyperlink ref="AC12" r:id="rId183" display="https://rennamedia.com/wp-content/uploads/2022/07/SummitAugust2022.pdf"/>
    <hyperlink ref="AE12" r:id="rId184" display="https://rennamedia.com/wp-content/uploads/2022/07/WarrenAugust2022.pdf"/>
    <hyperlink ref="AF12" r:id="rId185" display="https://rennamedia.com/wp-content/uploads/2022/07/WatchungAugust2022.pdf"/>
    <hyperlink ref="AG12" r:id="rId186" display="https://rennamedia.com/wp-content/uploads/2022/07/WestfieldAugust2022.pdf"/>
    <hyperlink ref="B13" r:id="rId187" display="https://rennamedia.com/wp-content/uploads/2022/09/BerkeleyHeightsSeptember2022.pdf"/>
    <hyperlink ref="C13" r:id="rId188" display="https://rennamedia.com/wp-content/uploads/2022/09/ClarkSeptember2022.pdf"/>
    <hyperlink ref="D13" r:id="rId189" display="https://rennamedia.com/wp-content/uploads/2022/09/ChathamsSeptember2022.pdf"/>
    <hyperlink ref="E13" r:id="rId190" display="https://rennamedia.com/wp-content/uploads/2022/09/CranfordSeptember2022.pdf"/>
    <hyperlink ref="G13" r:id="rId191" display="https://rennamedia.com/wp-content/uploads/2022/09/ElmoraHillsMonthlySeptember2022.pdf"/>
    <hyperlink ref="H13" r:id="rId192" display="https://rennamedia.com/wp-content/uploads/2022/09/FanwoodSeptember2022.pdf"/>
    <hyperlink ref="I13" r:id="rId193" display="https://rennamedia.com/wp-content/uploads/2022/09/FlorhamParkMonthlySeptember2022.pdf"/>
    <hyperlink ref="J13" r:id="rId194" display="https://rennamedia.com/wp-content/uploads/2022/09/GarwoodSeptember2022.pdf"/>
    <hyperlink ref="K13" r:id="rId195" display="https://rennamedia.com/wp-content/uploads/2022/09/GreenBrookSeptember2022.pdf"/>
    <hyperlink ref="M13" r:id="rId196" display="https://rennamedia.com/wp-content/uploads/2022/09/KenilworthSeptember2022.pdf"/>
    <hyperlink ref="N13" r:id="rId197" display="https://rennamedia.com/wp-content/uploads/2022/09/LindenSeptember2022.pdf"/>
    <hyperlink ref="P13" r:id="rId198" display="https://rennamedia.com/wp-content/uploads/2022/09/LongHillSeptember2022.pdf"/>
    <hyperlink ref="Q13" r:id="rId199" display="https://rennamedia.com/wp-content/uploads/2022/09/MadisonSeptember2022.pdf"/>
    <hyperlink ref="R13" r:id="rId200" display="https://rennamedia.com/wp-content/uploads/2022/09/MillburnShortHillsSeptember2022.pdf"/>
    <hyperlink ref="S13" r:id="rId201" display="https://rennamedia.com/wp-content/uploads/2022/09/MountainsideSeptember2022.pdf"/>
    <hyperlink ref="V13" r:id="rId202" display="https://rennamedia.com/wp-content/uploads/2022/09/NewProvidenceSeptember2022.pdf"/>
    <hyperlink ref="W13" r:id="rId203" display="https://rennamedia.com/wp-content/uploads/2022/09/RahwaySeptember2022.pdf"/>
    <hyperlink ref="Z13" r:id="rId204" display="https://rennamedia.com/wp-content/uploads/2022/09/RoselleParkSeptember2022.pdf"/>
    <hyperlink ref="AA13" r:id="rId205" display="https://rennamedia.com/wp-content/uploads/2022/09/ScotchPlainsSeptember2022.pdf"/>
    <hyperlink ref="AB13" r:id="rId206" display="https://rennamedia.com/wp-content/uploads/2022/09/UnionSeptember2022.pdf"/>
    <hyperlink ref="AC13" r:id="rId207" display="https://rennamedia.com/wp-content/uploads/2022/09/SummitSeptember2022.pdf"/>
    <hyperlink ref="AE13" r:id="rId208" display="https://rennamedia.com/wp-content/uploads/2022/09/WarrenSeptember2022.pdf"/>
    <hyperlink ref="AF13" r:id="rId209" display="https://rennamedia.com/wp-content/uploads/2022/09/WatchungSeptember2022.pdf"/>
    <hyperlink ref="AG13" r:id="rId210" display="https://rennamedia.com/wp-content/uploads/2022/09/WestfieldSeptember2022.pdf"/>
    <hyperlink ref="B14" r:id="rId211" display="https://rennamedia.com/wp-content/uploads/2022/10/BerkeleyHeightsOctober2022.pdf"/>
    <hyperlink ref="C14" r:id="rId212" display="https://rennamedia.com/wp-content/uploads/2022/10/ClarkOctober2022.pdf"/>
    <hyperlink ref="D14" r:id="rId213" display="https://rennamedia.com/wp-content/uploads/2022/10/ChathamsOctober2022.pdf"/>
    <hyperlink ref="E14" r:id="rId214" display="https://rennamedia.com/wp-content/uploads/2022/10/CranfordOctober2022.pdf"/>
    <hyperlink ref="G14" r:id="rId215" display="https://rennamedia.com/wp-content/uploads/2022/10/ElmoraHillsMonthlyOctober2022.pdf"/>
    <hyperlink ref="H14" r:id="rId216" display="https://rennamedia.com/wp-content/uploads/2022/10/FanwoodOctober2022.pdf"/>
    <hyperlink ref="I14" r:id="rId217" display="https://rennamedia.com/wp-content/uploads/2022/10/FlorhamParkMonthlyOctober2022.pdf"/>
    <hyperlink ref="J14" r:id="rId218" display="https://rennamedia.com/wp-content/uploads/2022/10/GarwoodOctober2022.pdf"/>
    <hyperlink ref="K14" r:id="rId219" display="https://rennamedia.com/wp-content/uploads/2022/10/GreenBrookOctober2022.pdf"/>
    <hyperlink ref="M14" r:id="rId220" display="https://rennamedia.com/wp-content/uploads/2022/10/KenilworthOctober2022.pdf"/>
    <hyperlink ref="N14" r:id="rId221" display="https://rennamedia.com/wp-content/uploads/2022/10/LindenOctober2022.pdf"/>
    <hyperlink ref="P14" r:id="rId222" display="https://rennamedia.com/wp-content/uploads/2022/10/LongHillOctober2022.pdf"/>
    <hyperlink ref="Q14" r:id="rId223" display="https://rennamedia.com/wp-content/uploads/2022/10/MadisonOctober2022.pdf"/>
    <hyperlink ref="R14" r:id="rId224" display="https://rennamedia.com/wp-content/uploads/2022/10/MillburnShortHillsOctober2022.pdf"/>
    <hyperlink ref="S14" r:id="rId225" display="https://rennamedia.com/wp-content/uploads/2022/10/MountainsideOctober2022.pdf"/>
    <hyperlink ref="V14" r:id="rId226" display="https://rennamedia.com/wp-content/uploads/2022/10/NewProvidenceOctober2022.pdf"/>
    <hyperlink ref="W14" r:id="rId227" display="https://rennamedia.com/wp-content/uploads/2022/10/RahwayOctober2022.pdf"/>
    <hyperlink ref="Z14" r:id="rId228" display="https://rennamedia.com/wp-content/uploads/2022/10/RoselleParkOctober2022.pdf"/>
    <hyperlink ref="AA14" r:id="rId229" display="https://rennamedia.com/wp-content/uploads/2022/10/ScotchPlainsOctober2022.pdf"/>
    <hyperlink ref="AB14" r:id="rId230" display="https://rennamedia.com/wp-content/uploads/2022/10/UnionOctober2022.pdf"/>
    <hyperlink ref="AC14" r:id="rId231" display="https://rennamedia.com/wp-content/uploads/2022/10/SummitOctober2022.pdf"/>
    <hyperlink ref="AE14" r:id="rId232" display="https://rennamedia.com/wp-content/uploads/2022/10/WarrenOctober2022.pdf"/>
    <hyperlink ref="AF14" r:id="rId233" display="https://rennamedia.com/wp-content/uploads/2022/10/WatchungOctober2022.pdf"/>
    <hyperlink ref="AG14" r:id="rId234" display="https://rennamedia.com/wp-content/uploads/2022/10/WestfieldOctober2022.pdf"/>
    <hyperlink ref="B15" r:id="rId235" display="https://rennamedia.com/wp-content/uploads/2022/11/BerkeleyHeightsNovember2022.pdf"/>
    <hyperlink ref="C15" r:id="rId236" display="https://rennamedia.com/wp-content/uploads/2022/11/ClarkNovember2022.pdf"/>
    <hyperlink ref="D15" r:id="rId237" display="https://rennamedia.com/wp-content/uploads/2022/11/ChathamsNovember2022.pdf"/>
    <hyperlink ref="E15" r:id="rId238" display="https://rennamedia.com/wp-content/uploads/2022/11/CranfordNovember2022.pdf"/>
    <hyperlink ref="G15" r:id="rId239" display="https://rennamedia.com/wp-content/uploads/2022/11/ElmoraHillsMonthlyNovember2022.pdf"/>
    <hyperlink ref="H15" r:id="rId240" display="https://rennamedia.com/wp-content/uploads/2022/11/FanwoodNovember2022.pdf"/>
    <hyperlink ref="I15" r:id="rId241" display="https://rennamedia.com/wp-content/uploads/2022/11/FlorhamParkMonthlyNovember2022.pdf"/>
    <hyperlink ref="J15" r:id="rId242" display="https://rennamedia.com/wp-content/uploads/2022/11/GarwoodNovember2022.pdf"/>
    <hyperlink ref="K15" r:id="rId243" display="https://rennamedia.com/wp-content/uploads/2022/11/GreenBrookNovember2022.pdf"/>
    <hyperlink ref="M15" r:id="rId244" display="https://rennamedia.com/wp-content/uploads/2022/11/KenilworthNovember2022.pdf"/>
    <hyperlink ref="N15" r:id="rId245" display="https://rennamedia.com/wp-content/uploads/2022/11/LindenNovember2022.pdf"/>
    <hyperlink ref="P15" r:id="rId246" display="https://rennamedia.com/wp-content/uploads/2022/11/LongHillNovember2022.pdf"/>
    <hyperlink ref="Q15" r:id="rId247" display="https://rennamedia.com/wp-content/uploads/2022/11/MadisonNovember2022.pdf"/>
    <hyperlink ref="R15" r:id="rId248" display="https://rennamedia.com/wp-content/uploads/2022/11/MillburnShortHillsNovember2022.pdf"/>
    <hyperlink ref="S15" r:id="rId249" display="https://rennamedia.com/wp-content/uploads/2022/11/MountainsideNovember2022.pdf"/>
    <hyperlink ref="V15" r:id="rId250" display="https://rennamedia.com/wp-content/uploads/2022/11/NewProvidenceNovember2022.pdf"/>
    <hyperlink ref="W15" r:id="rId251" display="https://rennamedia.com/wp-content/uploads/2022/11/RahwayNovember2022.pdf"/>
    <hyperlink ref="Z15" r:id="rId252" display="https://rennamedia.com/wp-content/uploads/2022/11/RoselleParkNovember2022.pdf"/>
    <hyperlink ref="AA15" r:id="rId253" display="https://rennamedia.com/wp-content/uploads/2022/11/ScotchPlainsNovember2022.pdf"/>
    <hyperlink ref="AB15" r:id="rId254" display="https://rennamedia.com/wp-content/uploads/2022/11/UnionNovember2022.pdf"/>
    <hyperlink ref="AC15" r:id="rId255" display="https://rennamedia.com/wp-content/uploads/2022/11/SummitNovember2022.pdf"/>
    <hyperlink ref="AE15" r:id="rId256" display="https://rennamedia.com/wp-content/uploads/2022/11/WarrenNovember2022.pdf"/>
    <hyperlink ref="AF15" r:id="rId257" display="https://rennamedia.com/wp-content/uploads/2022/11/WatchungNovember2022.pdf"/>
    <hyperlink ref="AG15" r:id="rId258" display="https://rennamedia.com/wp-content/uploads/2022/11/WestfieldNovember2022.pdf"/>
    <hyperlink ref="B16" r:id="rId259" display="https://rennamedia.com/wp-content/uploads/2022/11/BerkeleyHeightsDecember2022.pdf"/>
    <hyperlink ref="C16" r:id="rId260" display="https://rennamedia.com/wp-content/uploads/2022/11/ClarkDecember2022.pdf"/>
    <hyperlink ref="D16" r:id="rId261" display="https://rennamedia.com/wp-content/uploads/2022/11/ChathamsDecember2022.pdf"/>
    <hyperlink ref="E16" r:id="rId262" display="https://rennamedia.com/wp-content/uploads/2022/11/CranfordDecember2022.pdf"/>
    <hyperlink ref="G16" r:id="rId263" display="https://rennamedia.com/wp-content/uploads/2022/11/ElmoraHillsMonthlyDecember2022.pdf"/>
    <hyperlink ref="H16" r:id="rId264" display="https://rennamedia.com/wp-content/uploads/2022/11/FanwoodDecember2022.pdf"/>
    <hyperlink ref="I16" r:id="rId265" display="https://rennamedia.com/wp-content/uploads/2022/11/FlorhamParkMonthlyDecember2022.pdf"/>
    <hyperlink ref="J16" r:id="rId266" display="https://rennamedia.com/wp-content/uploads/2022/11/GarwoodDecember2022.pdf"/>
    <hyperlink ref="K16" r:id="rId267" display="https://rennamedia.com/wp-content/uploads/2022/11/GreenBrookDecember2022.pdf"/>
    <hyperlink ref="M16" r:id="rId268" display="https://rennamedia.com/wp-content/uploads/2022/11/KenilworthDecember2022.pdf"/>
    <hyperlink ref="N16" r:id="rId269" display="https://rennamedia.com/wp-content/uploads/2022/11/LindenDecember2022.pdf"/>
    <hyperlink ref="P16" r:id="rId270" display="https://rennamedia.com/wp-content/uploads/2022/11/LongHillDecember2022.pdf"/>
    <hyperlink ref="Q16" r:id="rId271" display="https://rennamedia.com/wp-content/uploads/2022/11/MadisonDecember2022.pdf"/>
    <hyperlink ref="R16" r:id="rId272" display="https://rennamedia.com/wp-content/uploads/2022/11/MillburnShortHillsDecember2022.pdf"/>
    <hyperlink ref="S16" r:id="rId273" display="https://rennamedia.com/wp-content/uploads/2022/11/MountainsideDecember2022.pdf"/>
    <hyperlink ref="V16" r:id="rId274" display="https://rennamedia.com/wp-content/uploads/2022/11/NewProvidenceDecember2022.pdf"/>
    <hyperlink ref="W16" r:id="rId275" display="https://rennamedia.com/wp-content/uploads/2022/11/RahwayDecember2022.pdf"/>
    <hyperlink ref="Z16" r:id="rId276" display="https://rennamedia.com/wp-content/uploads/2022/11/RoselleParkDecember2022.pdf"/>
    <hyperlink ref="AA16" r:id="rId277" display="https://rennamedia.com/wp-content/uploads/2022/11/ScotchPlainsDecember2022.pdf"/>
    <hyperlink ref="AB16" r:id="rId278" display="https://rennamedia.com/wp-content/uploads/2022/11/UnionDecember2022.pdf"/>
    <hyperlink ref="AC16" r:id="rId279" display="https://rennamedia.com/wp-content/uploads/2022/11/SummitDecember2022.pdf"/>
    <hyperlink ref="AE16" r:id="rId280" display="https://rennamedia.com/wp-content/uploads/2022/11/WarrenDecember2022.pdf"/>
    <hyperlink ref="AF16" r:id="rId281" display="https://rennamedia.com/wp-content/uploads/2022/11/WatchungDecember2022.pdf"/>
    <hyperlink ref="AG16" r:id="rId282" display="https://rennamedia.com/wp-content/uploads/2022/11/WestfieldDecember2022.pdf"/>
    <hyperlink ref="B17" r:id="rId283" display="https://rennamedia.com/wp-content/uploads/2022/12/BerkeleyHeightsJanuary2023.pdf"/>
    <hyperlink ref="C17" r:id="rId284" display="https://rennamedia.com/wp-content/uploads/2022/12/ClarkJanuary2023.pdf"/>
    <hyperlink ref="D17" r:id="rId285" display="https://rennamedia.com/wp-content/uploads/2022/12/ChathamsJanuary2023.pdf"/>
    <hyperlink ref="E17" r:id="rId286" display="https://rennamedia.com/wp-content/uploads/2022/12/CranfordJanuary2023.pdf"/>
    <hyperlink ref="G17" r:id="rId287" display="https://rennamedia.com/wp-content/uploads/2022/12/ElmoraHillsMonthlyJanuary2023.pdf"/>
    <hyperlink ref="H17" r:id="rId288" display="https://rennamedia.com/wp-content/uploads/2022/12/FanwoodJanuary2023.pdf"/>
    <hyperlink ref="I17" r:id="rId289" display="https://rennamedia.com/wp-content/uploads/2022/12/FlorhamParkMonthlyJanuary2023.pdf"/>
    <hyperlink ref="J17" r:id="rId290" display="https://rennamedia.com/wp-content/uploads/2022/12/GarwoodJanuary2023.pdf"/>
    <hyperlink ref="K17" r:id="rId291" display="https://rennamedia.com/wp-content/uploads/2022/12/GreenBrookJanuary2023.pdf"/>
    <hyperlink ref="M17" r:id="rId292" display="https://rennamedia.com/wp-content/uploads/2022/12/KenilworthJanuary2023.pdf"/>
    <hyperlink ref="N17" r:id="rId293" display="https://rennamedia.com/wp-content/uploads/2023/01/LindenJanuary2023-new.pdf"/>
    <hyperlink ref="P17" r:id="rId294" display="https://rennamedia.com/wp-content/uploads/2022/12/LongHillJanuary2023.pdf"/>
    <hyperlink ref="Q17" r:id="rId295" display="https://rennamedia.com/wp-content/uploads/2022/12/MadisonJanuary2023.pdf"/>
    <hyperlink ref="R17" r:id="rId296" display="https://rennamedia.com/wp-content/uploads/2022/12/MillburnShortHillsJanuary2023.pdf"/>
    <hyperlink ref="S17" r:id="rId297" display="https://rennamedia.com/wp-content/uploads/2022/12/MountainsideJanuary2023.pdf"/>
    <hyperlink ref="V17" r:id="rId298" display="https://rennamedia.com/wp-content/uploads/2022/12/NewProvidenceJanuary2023.pdf"/>
    <hyperlink ref="W17" r:id="rId299" display="https://rennamedia.com/wp-content/uploads/2022/12/RahwayJanuary2023.pdf"/>
    <hyperlink ref="Z17" r:id="rId300" display="https://rennamedia.com/wp-content/uploads/2022/12/RoselleParkJanuary2023.pdf"/>
    <hyperlink ref="AA17" r:id="rId301" display="https://rennamedia.com/wp-content/uploads/2022/12/ScotchPlainsJanuary2023.pdf"/>
    <hyperlink ref="AB17" r:id="rId302" display="https://rennamedia.com/wp-content/uploads/2022/12/UnionJanuary2023.pdf"/>
    <hyperlink ref="AC17" r:id="rId303" display="https://rennamedia.com/wp-content/uploads/2022/12/SummitJanuary2023.pdf"/>
    <hyperlink ref="AE17" r:id="rId304" display="https://rennamedia.com/wp-content/uploads/2022/12/WarrenJanuary2023.pdf"/>
    <hyperlink ref="AF17" r:id="rId305" display="https://rennamedia.com/wp-content/uploads/2022/12/WatchungJanuary2023.pdf"/>
    <hyperlink ref="AG17" r:id="rId306" display="https://rennamedia.com/wp-content/uploads/2022/12/WestfieldJanuary2023.pdf"/>
    <hyperlink ref="B18" r:id="rId307" display="https://rennamedia.com/wp-content/uploads/2023/01/BerkeleyHeightsFebruary2023.pdf"/>
    <hyperlink ref="C18" r:id="rId308" display="https://rennamedia.com/wp-content/uploads/2023/01/ClarkFebruary2023.pdf"/>
    <hyperlink ref="D18" r:id="rId309" display="https://rennamedia.com/wp-content/uploads/2023/01/ChathamsFebruary2023.pdf"/>
    <hyperlink ref="E18" r:id="rId310" display="https://rennamedia.com/wp-content/uploads/2023/01/CranfordFebruary2023.pdf"/>
    <hyperlink ref="G18" r:id="rId311" display="https://rennamedia.com/wp-content/uploads/2023/01/ElmoraHillsMonthlyFebruary2023.pdf"/>
    <hyperlink ref="H18" r:id="rId312" display="https://rennamedia.com/wp-content/uploads/2023/01/FanwoodFebruary2023.pdf"/>
    <hyperlink ref="I18" r:id="rId313" display="https://rennamedia.com/wp-content/uploads/2023/01/FlorhamParkMonthlyFebruary2023.pdf"/>
    <hyperlink ref="J18" r:id="rId314" display="https://rennamedia.com/wp-content/uploads/2023/01/GarwoodFebruary2023.pdf"/>
    <hyperlink ref="K18" r:id="rId315" display="https://rennamedia.com/wp-content/uploads/2023/01/GreenBrookFebruary2023.pdf"/>
    <hyperlink ref="M18" r:id="rId316" display="https://rennamedia.com/wp-content/uploads/2023/01/KenilworthFebruary2023.pdf"/>
    <hyperlink ref="N18" r:id="rId317" display="https://rennamedia.com/wp-content/uploads/2023/01/LindenFebruary2023.pdf"/>
    <hyperlink ref="P18" r:id="rId318" display="https://rennamedia.com/wp-content/uploads/2023/01/LongHillFebruary2023.pdf"/>
    <hyperlink ref="Q18" r:id="rId319" display="https://rennamedia.com/wp-content/uploads/2023/01/MadisonFebruary2023.pdf"/>
    <hyperlink ref="R18" r:id="rId320" display="https://rennamedia.com/wp-content/uploads/2023/01/MillburnShortHillsFebruary2023.pdf"/>
    <hyperlink ref="S18" r:id="rId321" display="https://rennamedia.com/wp-content/uploads/2023/01/MountainsideFebruary2023.pdf"/>
    <hyperlink ref="V18" r:id="rId322" display="https://rennamedia.com/wp-content/uploads/2023/01/NewProvidenceFebruary2023.pdf"/>
    <hyperlink ref="W18" r:id="rId323" display="https://rennamedia.com/wp-content/uploads/2023/01/RahwayFebruary2023.pdf"/>
    <hyperlink ref="Z18" r:id="rId324" display="https://rennamedia.com/wp-content/uploads/2023/01/RoselleParkFebruary2023.pdf"/>
    <hyperlink ref="AA18" r:id="rId325" display="https://rennamedia.com/wp-content/uploads/2023/01/ScotchPlainsFebruary2023.pdf"/>
    <hyperlink ref="AB18" r:id="rId326" display="https://rennamedia.com/wp-content/uploads/2023/01/UnionFebruary2023.pdf"/>
    <hyperlink ref="AC18" r:id="rId327" display="https://rennamedia.com/wp-content/uploads/2023/01/SummitFebruary2023.pdf"/>
    <hyperlink ref="AE18" r:id="rId328" display="https://rennamedia.com/wp-content/uploads/2023/01/WarrenFebruary2023.pdf"/>
    <hyperlink ref="AF18" r:id="rId329" display="https://rennamedia.com/wp-content/uploads/2023/01/WatchungFebruary2023.pdf"/>
    <hyperlink ref="AG18" r:id="rId330" display="https://rennamedia.com/wp-content/uploads/2023/01/WestfieldFebruary2023.pdf"/>
    <hyperlink ref="B19" r:id="rId331" display="https://rennamedia.com/wp-content/uploads/2023/02/BerkeleyHeightsMarch2023.pdf"/>
    <hyperlink ref="C19" r:id="rId332" display="https://rennamedia.com/wp-content/uploads/2023/02/ClarkMarch2023.pdf"/>
    <hyperlink ref="D19" r:id="rId333" display="https://rennamedia.com/wp-content/uploads/2023/02/ChathamsMarch2023.pdf"/>
    <hyperlink ref="E19" r:id="rId334" display="https://rennamedia.com/wp-content/uploads/2023/02/CranfordMarch2023.pdf"/>
    <hyperlink ref="G19" r:id="rId335" display="https://rennamedia.com/wp-content/uploads/2023/02/ElmoraHillsMonthlyMarch2023.pdf"/>
    <hyperlink ref="H19" r:id="rId336" display="https://rennamedia.com/wp-content/uploads/2023/02/FanwoodMarch2023.pdf"/>
    <hyperlink ref="I19" r:id="rId337" display="https://rennamedia.com/wp-content/uploads/2023/02/FlorhamParkMonthlyMarch2023.pdf"/>
    <hyperlink ref="J19" r:id="rId338" display="https://rennamedia.com/wp-content/uploads/2023/02/GarwoodMarch2023.pdf"/>
    <hyperlink ref="K19" r:id="rId339" display="https://rennamedia.com/wp-content/uploads/2023/02/GreenBrookMarch2023.pdf"/>
    <hyperlink ref="M19" r:id="rId340" display="https://rennamedia.com/wp-content/uploads/2023/02/KenilworthMarch2023.pdf"/>
    <hyperlink ref="N19" r:id="rId341" display="https://rennamedia.com/wp-content/uploads/2023/02/LindenMarch2023.pdf"/>
    <hyperlink ref="P19" r:id="rId342" display="https://rennamedia.com/wp-content/uploads/2023/02/LongHillMarch2023.pdf"/>
    <hyperlink ref="Q19" r:id="rId343" display="https://rennamedia.com/wp-content/uploads/2023/02/MadisonMarch2023.pdf"/>
    <hyperlink ref="R19" r:id="rId344" display="https://rennamedia.com/wp-content/uploads/2023/02/MillburnShortHillsMarch2023.pdf"/>
    <hyperlink ref="S19" r:id="rId345" display="https://rennamedia.com/wp-content/uploads/2023/02/MountainsideMarch2023.pdf"/>
    <hyperlink ref="V19" r:id="rId346" display="https://rennamedia.com/wp-content/uploads/2023/02/NewProvidenceMarch2023.pdf"/>
    <hyperlink ref="W19" r:id="rId347" display="https://rennamedia.com/wp-content/uploads/2023/02/RahwayMarch2023.pdf"/>
    <hyperlink ref="Z19" r:id="rId348" display="https://rennamedia.com/wp-content/uploads/2023/02/RoselleParkMarch2023.pdf"/>
    <hyperlink ref="AA19" r:id="rId349" display="https://rennamedia.com/wp-content/uploads/2023/02/ScotchPlainsMarch2023.pdf"/>
    <hyperlink ref="AB19" r:id="rId350" display="https://rennamedia.com/wp-content/uploads/2023/02/UnionMarch2023.pdf"/>
    <hyperlink ref="AC19" r:id="rId351" display="https://rennamedia.com/wp-content/uploads/2023/02/SummitMarch2023.pdf"/>
    <hyperlink ref="AE19" r:id="rId352" display="https://rennamedia.com/wp-content/uploads/2023/02/WarrenMarch2023.pdf"/>
    <hyperlink ref="AF19" r:id="rId353" display="https://rennamedia.com/wp-content/uploads/2023/02/WatchungMarch2023.pdf"/>
    <hyperlink ref="AG19" r:id="rId354" display="https://rennamedia.com/wp-content/uploads/2023/02/WestfieldMarch2023.pdf"/>
    <hyperlink ref="B20" r:id="rId355" display="https://rennamedia.com/wp-content/uploads/2023/03/BerkeleyHeightsApril2023.pdf"/>
    <hyperlink ref="C20" r:id="rId356" display="https://rennamedia.com/wp-content/uploads/2023/03/ClarkApril2023.pdf"/>
    <hyperlink ref="D20" r:id="rId357" display="https://rennamedia.com/wp-content/uploads/2023/03/ChathamsApril2023.pdf"/>
    <hyperlink ref="E20" r:id="rId358" display="https://rennamedia.com/wp-content/uploads/2023/03/CranfordApril2023.pdf"/>
    <hyperlink ref="G20" r:id="rId359" display="https://rennamedia.com/wp-content/uploads/2023/03/ElmoraHillsMonthlyApril2023.pdf"/>
    <hyperlink ref="H20" r:id="rId360" display="https://rennamedia.com/wp-content/uploads/2023/03/FanwoodApril2023.pdf"/>
    <hyperlink ref="I20" r:id="rId361" display="https://rennamedia.com/wp-content/uploads/2023/03/FlorhamParkMonthlyApril2023.pdf"/>
    <hyperlink ref="J20" r:id="rId362" display="https://rennamedia.com/wp-content/uploads/2023/03/GarwoodApril2023.pdf"/>
    <hyperlink ref="K20" r:id="rId363" display="https://rennamedia.com/wp-content/uploads/2023/03/GreenBrookApril2023.pdf"/>
    <hyperlink ref="M20" r:id="rId364" display="https://rennamedia.com/wp-content/uploads/2023/03/KenilworthApril2023.pdf"/>
    <hyperlink ref="N20" r:id="rId365" display="https://rennamedia.com/wp-content/uploads/2023/03/LindenApril2023.pdf"/>
    <hyperlink ref="P20" r:id="rId366" display="https://rennamedia.com/wp-content/uploads/2023/03/LongHillApril2023.pdf"/>
    <hyperlink ref="Q20" r:id="rId367" display="https://rennamedia.com/wp-content/uploads/2023/03/MadisonApril2023.pdf"/>
    <hyperlink ref="R20" r:id="rId368" display="https://rennamedia.com/wp-content/uploads/2023/03/MillburnShortHillsApril2023.pdf"/>
    <hyperlink ref="S20" r:id="rId369" display="https://rennamedia.com/wp-content/uploads/2023/03/MountainsideApril2023.pdf"/>
    <hyperlink ref="V20" r:id="rId370" display="https://rennamedia.com/wp-content/uploads/2023/03/NewProvidenceApril2023.pdf"/>
    <hyperlink ref="W20" r:id="rId371" display="https://rennamedia.com/wp-content/uploads/2023/03/RahwayApril2023.pdf"/>
    <hyperlink ref="Z20" r:id="rId372" display="https://rennamedia.com/wp-content/uploads/2023/03/RoselleParkApril2023.pdf"/>
    <hyperlink ref="AA20" r:id="rId373" display="https://rennamedia.com/wp-content/uploads/2023/03/ScotchPlainsApril2023.pdf"/>
    <hyperlink ref="AB20" r:id="rId374" display="https://rennamedia.com/wp-content/uploads/2023/03/UnionApril2023.pdf"/>
    <hyperlink ref="AC20" r:id="rId375" display="https://rennamedia.com/wp-content/uploads/2023/03/SummitApril2023.pdf"/>
    <hyperlink ref="AE20" r:id="rId376" display="https://rennamedia.com/wp-content/uploads/2023/03/WarrenApril2023.pdf"/>
    <hyperlink ref="AF20" r:id="rId377" display="https://rennamedia.com/wp-content/uploads/2023/03/WatchungApril2023.pdf"/>
    <hyperlink ref="AG20" r:id="rId378" display="https://rennamedia.com/wp-content/uploads/2023/03/WestfieldApril2023.pdf"/>
    <hyperlink ref="B21" r:id="rId379" display="https://rennamedia.com/wp-content/uploads/2023/04/BerkeleyHeightsMay2023.pdf"/>
    <hyperlink ref="C21" r:id="rId380" display="https://rennamedia.com/wp-content/uploads/2023/04/ClarkMay2023.pdf"/>
    <hyperlink ref="D21" r:id="rId381" display="https://rennamedia.com/wp-content/uploads/2023/04/ChathamsMay2023.pdf"/>
    <hyperlink ref="E21" r:id="rId382" display="https://rennamedia.com/wp-content/uploads/2023/04/CranfordMay2023.pdf"/>
    <hyperlink ref="G21" r:id="rId383" display="https://rennamedia.com/wp-content/uploads/2023/04/ElmoraHillsMonthlyMay2023.pdf"/>
    <hyperlink ref="H21" r:id="rId384" display="https://rennamedia.com/wp-content/uploads/2023/04/FanwoodMay2023.pdf"/>
    <hyperlink ref="I21" r:id="rId385" display="https://rennamedia.com/wp-content/uploads/2023/04/FlorhamParkMonthlyMay2023.pdf"/>
    <hyperlink ref="J21" r:id="rId386" display="https://rennamedia.com/wp-content/uploads/2023/04/GarwoodMay2023.pdf"/>
    <hyperlink ref="K21" r:id="rId387" display="https://rennamedia.com/wp-content/uploads/2023/04/GreenBrookMay2023.pdf"/>
    <hyperlink ref="M21" r:id="rId388" display="https://rennamedia.com/wp-content/uploads/2023/04/KenilworthMay2023.pdf"/>
    <hyperlink ref="N21" r:id="rId389" display="https://rennamedia.com/wp-content/uploads/2023/04/LindenMay2023.pdf"/>
    <hyperlink ref="P21" r:id="rId390" display="https://rennamedia.com/wp-content/uploads/2023/04/LongHillMay2023.pdf"/>
    <hyperlink ref="Q21" r:id="rId391" display="https://rennamedia.com/wp-content/uploads/2023/04/MadisonMay2023.pdf"/>
    <hyperlink ref="R21" r:id="rId392" display="https://rennamedia.com/wp-content/uploads/2023/04/MillburnShortHillsMay2023.pdf"/>
    <hyperlink ref="S21" r:id="rId393" display="https://rennamedia.com/wp-content/uploads/2023/04/MountainsideMay2023.pdf"/>
    <hyperlink ref="V21" r:id="rId394" display="https://rennamedia.com/wp-content/uploads/2023/04/NewProvidenceMay2023.pdf"/>
    <hyperlink ref="W21" r:id="rId395" display="https://rennamedia.com/wp-content/uploads/2023/04/RahwayMay2023.pdf"/>
    <hyperlink ref="Z21" r:id="rId396" display="https://rennamedia.com/wp-content/uploads/2023/04/RoselleParkMay2023.pdf"/>
    <hyperlink ref="AA21" r:id="rId397" display="https://rennamedia.com/wp-content/uploads/2023/04/ScotchPlainsMay2023.pdf"/>
    <hyperlink ref="AB21" r:id="rId398" display="https://rennamedia.com/wp-content/uploads/2023/04/UnionMay2023.pdf"/>
    <hyperlink ref="AC21" r:id="rId399" display="https://rennamedia.com/wp-content/uploads/2023/04/SummitMay2023.pdf"/>
    <hyperlink ref="AE21" r:id="rId400" display="https://rennamedia.com/wp-content/uploads/2023/04/WarrenMay2023.pdf"/>
    <hyperlink ref="AF21" r:id="rId401" display="https://rennamedia.com/wp-content/uploads/2023/04/WatchungMay2023.pdf"/>
    <hyperlink ref="AG21" r:id="rId402" display="https://rennamedia.com/wp-content/uploads/2023/04/WestfieldMay2023.pdf"/>
    <hyperlink ref="B22" r:id="rId403" display="https://rennamedia.com/wp-content/uploads/2023/05/BerkeleyHeightsJune2023.pdf"/>
    <hyperlink ref="C22" r:id="rId404" display="https://rennamedia.com/wp-content/uploads/2023/05/ClarkJune2023.pdf"/>
    <hyperlink ref="D22" r:id="rId405" display="https://rennamedia.com/wp-content/uploads/2023/05/ChathamsJune2023.pdf"/>
    <hyperlink ref="E22" r:id="rId406" display="https://rennamedia.com/wp-content/uploads/2023/05/CranfordJune2023.pdf"/>
    <hyperlink ref="G22" r:id="rId407" display="https://rennamedia.com/wp-content/uploads/2023/05/ElmoraHillsMonthlyJune2023.pdf"/>
    <hyperlink ref="H22" r:id="rId408" display="https://rennamedia.com/wp-content/uploads/2023/05/FanwoodJune2023.pdf"/>
    <hyperlink ref="I22" r:id="rId409" display="https://rennamedia.com/wp-content/uploads/2023/05/FlorhamParkMonthlyJune2023.pdf"/>
    <hyperlink ref="J22" r:id="rId410" display="https://rennamedia.com/wp-content/uploads/2023/05/GarwoodJune2023.pdf"/>
    <hyperlink ref="K22" r:id="rId411" display="https://rennamedia.com/wp-content/uploads/2023/05/GreenBrookJune2023.pdf"/>
    <hyperlink ref="M22" r:id="rId412" display="https://rennamedia.com/wp-content/uploads/2023/05/KenilworthJune2023.pdf"/>
    <hyperlink ref="N22" r:id="rId413" display="https://rennamedia.com/wp-content/uploads/2023/05/LindenJune2023.pdf"/>
    <hyperlink ref="P22" r:id="rId414" display="https://rennamedia.com/wp-content/uploads/2023/05/LongHillJune2023.pdf"/>
    <hyperlink ref="Q22" r:id="rId415" display="https://rennamedia.com/wp-content/uploads/2023/05/MadisonJune2023.pdf"/>
    <hyperlink ref="R22" r:id="rId416" display="https://rennamedia.com/wp-content/uploads/2023/05/MillburnShortHillsJune2023.pdf"/>
    <hyperlink ref="S22" r:id="rId417" display="https://rennamedia.com/wp-content/uploads/2023/05/MountainsideJune2023.pdf"/>
    <hyperlink ref="V22" r:id="rId418" display="https://rennamedia.com/wp-content/uploads/2023/05/NewProvidenceJune2023.pdf"/>
    <hyperlink ref="W22" r:id="rId419" display="https://rennamedia.com/wp-content/uploads/2023/05/RahwayJune2023.pdf"/>
    <hyperlink ref="Z22" r:id="rId420" display="https://rennamedia.com/wp-content/uploads/2023/05/RoselleParkJune2023.pdf"/>
    <hyperlink ref="AA22" r:id="rId421" display="https://rennamedia.com/wp-content/uploads/2023/05/ScotchPlainsJune2023.pdf"/>
    <hyperlink ref="AB22" r:id="rId422" display="https://rennamedia.com/wp-content/uploads/2023/05/UnionJune2023.pdf"/>
    <hyperlink ref="AC22" r:id="rId423" display="https://rennamedia.com/wp-content/uploads/2023/05/SummitJune2023.pdf"/>
    <hyperlink ref="AE22" r:id="rId424" display="https://rennamedia.com/wp-content/uploads/2023/05/WarrenJune2023.pdf"/>
    <hyperlink ref="AF22" r:id="rId425" display="https://rennamedia.com/wp-content/uploads/2023/05/WatchungJune2023.pdf"/>
    <hyperlink ref="AG22" r:id="rId426" display="https://rennamedia.com/wp-content/uploads/2023/05/WestfieldJune2023.pdf"/>
    <hyperlink ref="B23" r:id="rId427" display="https://rennamedia.com/wp-content/uploads/2023/06/BerkeleyHeightsJuly2023.pdf"/>
    <hyperlink ref="C23" r:id="rId428" display="https://rennamedia.com/wp-content/uploads/2023/06/ClarkJuly2023.pdf"/>
    <hyperlink ref="D23" r:id="rId429" display="https://rennamedia.com/wp-content/uploads/2023/06/ChathamsJuly2023.pdf"/>
    <hyperlink ref="E23" r:id="rId430" display="https://rennamedia.com/wp-content/uploads/2023/06/CranfordJuly2023.pdf"/>
    <hyperlink ref="G23" r:id="rId431" display="https://rennamedia.com/wp-content/uploads/2023/06/ElmoraHillsMonthlyJuly2023.pdf"/>
    <hyperlink ref="H23" r:id="rId432" display="https://rennamedia.com/wp-content/uploads/2023/06/FanwoodJuly2023.pdf"/>
    <hyperlink ref="I23" r:id="rId433" display="https://rennamedia.com/wp-content/uploads/2023/06/FlorhamParkMonthlyJuly2023.pdf"/>
    <hyperlink ref="J23" r:id="rId434" display="https://rennamedia.com/wp-content/uploads/2023/06/GarwoodJuly2023.pdf"/>
    <hyperlink ref="K23" r:id="rId435" display="https://rennamedia.com/wp-content/uploads/2023/06/GreenBrookJuly2023.pdf"/>
    <hyperlink ref="M23" r:id="rId436" display="https://rennamedia.com/wp-content/uploads/2023/06/KenilworthJuly2023.pdf"/>
    <hyperlink ref="N23" r:id="rId437" display="https://rennamedia.com/wp-content/uploads/2023/06/LindenJuly2023.pdf"/>
    <hyperlink ref="P23" r:id="rId438" display="https://rennamedia.com/wp-content/uploads/2023/06/LongHillJuly2023.pdf"/>
    <hyperlink ref="Q23" r:id="rId439" display="https://rennamedia.com/wp-content/uploads/2023/06/MadisonJuly2023.pdf"/>
    <hyperlink ref="R23" r:id="rId440" display="https://rennamedia.com/wp-content/uploads/2023/06/MillburnShortHillsJuly2023.pdf"/>
    <hyperlink ref="S23" r:id="rId441" display="https://rennamedia.com/wp-content/uploads/2023/06/MountainsideJuly2023.pdf"/>
    <hyperlink ref="V23" r:id="rId442" display="https://rennamedia.com/wp-content/uploads/2023/06/NewProvidenceJuly2023.pdf"/>
    <hyperlink ref="W23" r:id="rId443" display="https://rennamedia.com/wp-content/uploads/2023/06/RahwayJuly2023.pdf"/>
    <hyperlink ref="Z23" r:id="rId444" display="https://rennamedia.com/wp-content/uploads/2023/06/RoselleParkJuly2023.pdf"/>
    <hyperlink ref="AA23" r:id="rId445" display="https://rennamedia.com/wp-content/uploads/2023/06/ScotchPlainsJuly2023.pdf"/>
    <hyperlink ref="AB23" r:id="rId446" display="https://rennamedia.com/wp-content/uploads/2023/06/UnionJuly2023.pdf"/>
    <hyperlink ref="AC23" r:id="rId447" display="https://rennamedia.com/wp-content/uploads/2023/06/SummitJuly2023.pdf"/>
    <hyperlink ref="AE23" r:id="rId448" display="https://rennamedia.com/wp-content/uploads/2023/06/WarrenJuly2023.pdf"/>
    <hyperlink ref="AF23" r:id="rId449" display="https://rennamedia.com/wp-content/uploads/2023/06/WatchungJuly2023.pdf"/>
    <hyperlink ref="AG23" r:id="rId450" display="https://rennamedia.com/wp-content/uploads/2023/06/WestfieldJuly2023.pdf"/>
    <hyperlink ref="B24" r:id="rId451" display="https://rennamedia.com/wp-content/uploads/2023/07/BerkeleyHeightsAug2023.pdf"/>
    <hyperlink ref="C24" r:id="rId452" display="https://rennamedia.com/wp-content/uploads/2023/07/ClarkAug2023.pdf"/>
    <hyperlink ref="D24" r:id="rId453" display="https://rennamedia.com/wp-content/uploads/2023/07/ChathamsAug2023.pdf"/>
    <hyperlink ref="E24" r:id="rId454" display="https://rennamedia.com/wp-content/uploads/2023/07/CranfordAug2023.pdf"/>
    <hyperlink ref="G24" r:id="rId455" display="https://rennamedia.com/wp-content/uploads/2023/07/ElmoraHillsMonthlyAug2023.pdf"/>
    <hyperlink ref="H24" r:id="rId456" display="https://rennamedia.com/wp-content/uploads/2023/07/FanwoodAug2023.pdf"/>
    <hyperlink ref="I24" r:id="rId457" display="https://rennamedia.com/wp-content/uploads/2023/07/FlorhamParkMonthlyAug2023.pdf"/>
    <hyperlink ref="J24" r:id="rId458" display="https://rennamedia.com/wp-content/uploads/2023/07/GarwoodAug2023.pdf"/>
    <hyperlink ref="K24" r:id="rId459" display="https://rennamedia.com/wp-content/uploads/2023/07/GreenBrookAug2023.pdf"/>
    <hyperlink ref="M24" r:id="rId460" display="https://rennamedia.com/wp-content/uploads/2023/07/KenilworthAug2023.pdf"/>
    <hyperlink ref="N24" r:id="rId461" display="https://rennamedia.com/wp-content/uploads/2023/07/LindenAug2023.pdf"/>
    <hyperlink ref="P24" r:id="rId462" display="https://rennamedia.com/wp-content/uploads/2023/07/LongHillAug2023.pdf"/>
    <hyperlink ref="Q24" r:id="rId463" display="https://rennamedia.com/wp-content/uploads/2023/07/MadisonAug2023.pdf"/>
    <hyperlink ref="R24" r:id="rId464" display="https://rennamedia.com/wp-content/uploads/2023/07/MillburnShortHillsAug2023.pdf"/>
    <hyperlink ref="S24" r:id="rId465" display="https://rennamedia.com/wp-content/uploads/2023/07/MountainsideAug2023.pdf"/>
    <hyperlink ref="V24" r:id="rId466" display="https://rennamedia.com/wp-content/uploads/2023/07/NewProvidenceAug2023.pdf"/>
    <hyperlink ref="W24" r:id="rId467" display="https://rennamedia.com/wp-content/uploads/2023/07/RahwayAug2023.pdf"/>
    <hyperlink ref="Z24" r:id="rId468" display="https://rennamedia.com/wp-content/uploads/2023/07/RoselleParkAug2023.pdf"/>
    <hyperlink ref="AA24" r:id="rId469" display="https://rennamedia.com/wp-content/uploads/2023/07/ScotchPlainsAug2023.pdf"/>
    <hyperlink ref="AB24" r:id="rId470" display="https://rennamedia.com/wp-content/uploads/2023/07/UnionAug2023.pdf"/>
    <hyperlink ref="AC24" r:id="rId471" display="https://rennamedia.com/wp-content/uploads/2023/07/SummitAug2023.pdf"/>
    <hyperlink ref="AE24" r:id="rId472" display="https://rennamedia.com/wp-content/uploads/2023/07/WarrenAug2023.pdf"/>
    <hyperlink ref="AF24" r:id="rId473" display="https://rennamedia.com/wp-content/uploads/2023/07/WatchungAug2023.pdf"/>
    <hyperlink ref="AG24" r:id="rId474" display="https://rennamedia.com/wp-content/uploads/2023/07/WestfieldAug2023.pdf"/>
    <hyperlink ref="B25" r:id="rId475" display="https://rennamedia.com/wp-content/uploads/2023/08/BerkeleyHeightsSep2023.pdf"/>
    <hyperlink ref="C25" r:id="rId476" display="https://rennamedia.com/wp-content/uploads/2023/08/ClarkSep2023.pdf"/>
    <hyperlink ref="D25" r:id="rId477" display="https://rennamedia.com/wp-content/uploads/2023/08/ChathamsSep2023.pdf"/>
    <hyperlink ref="E25" r:id="rId478" display="https://rennamedia.com/wp-content/uploads/2023/08/CranfordSep2023.pdf"/>
    <hyperlink ref="G25" r:id="rId479" display="https://rennamedia.com/wp-content/uploads/2023/08/ElmoraHillsMonthlySep2023.pdf"/>
    <hyperlink ref="H25" r:id="rId480" display="https://rennamedia.com/wp-content/uploads/2023/08/FanwoodSep2023.pdf"/>
    <hyperlink ref="I25" r:id="rId481" display="https://rennamedia.com/wp-content/uploads/2023/08/FlorhamParkMonthlySep2023.pdf"/>
    <hyperlink ref="J25" r:id="rId482" display="https://rennamedia.com/wp-content/uploads/2023/08/GarwoodSep2023.pdf"/>
    <hyperlink ref="K25" r:id="rId483" display="https://rennamedia.com/wp-content/uploads/2023/08/GreenBrookSep2023.pdf"/>
    <hyperlink ref="M25" r:id="rId484" display="https://rennamedia.com/wp-content/uploads/2023/08/KenilworthSep2023.pdf"/>
    <hyperlink ref="N25" r:id="rId485" display="https://rennamedia.com/wp-content/uploads/2023/08/LindenSep2023.pdf"/>
    <hyperlink ref="P25" r:id="rId486" display="https://rennamedia.com/wp-content/uploads/2023/08/LongHillSep2023.pdf"/>
    <hyperlink ref="Q25" r:id="rId487" display="https://rennamedia.com/wp-content/uploads/2023/08/MadisonSep2023.pdf"/>
    <hyperlink ref="R25" r:id="rId488" display="https://rennamedia.com/wp-content/uploads/2023/08/MillburnShortHillsSep2023.pdf"/>
    <hyperlink ref="S25" r:id="rId489" display="https://rennamedia.com/wp-content/uploads/2023/08/MountainsideSep2023.pdf"/>
    <hyperlink ref="V25" r:id="rId490" display="https://rennamedia.com/wp-content/uploads/2023/08/NewProvidenceSep2023.pdf"/>
    <hyperlink ref="W25" r:id="rId491" display="https://rennamedia.com/wp-content/uploads/2023/08/RahwaySep2023.pdf"/>
    <hyperlink ref="Z25" r:id="rId492" display="https://rennamedia.com/wp-content/uploads/2023/08/RoselleParkSep2023.pdf"/>
    <hyperlink ref="AA25" r:id="rId493" display="https://rennamedia.com/wp-content/uploads/2023/08/ScotchPlainsSep2023.pdf"/>
    <hyperlink ref="AB25" r:id="rId494" display="https://rennamedia.com/wp-content/uploads/2023/08/UnionSep2023.pdf"/>
    <hyperlink ref="AC25" r:id="rId495" display="https://rennamedia.com/wp-content/uploads/2023/08/SummitSep2023.pdf"/>
    <hyperlink ref="AE25" r:id="rId496" display="https://rennamedia.com/wp-content/uploads/2023/08/WarrenSep2023.pdf"/>
    <hyperlink ref="AF25" r:id="rId497" display="https://rennamedia.com/wp-content/uploads/2023/08/WatchungSep2023.pdf"/>
    <hyperlink ref="AG25" r:id="rId498" display="https://rennamedia.com/wp-content/uploads/2023/08/WestfieldSep2023.pdf"/>
    <hyperlink ref="B26" r:id="rId499" display="https://rennamedia.com/wp-content/uploads/2023/10/BerkeleyHeightsOct2023.pdf"/>
    <hyperlink ref="C26" r:id="rId500" display="https://rennamedia.com/wp-content/uploads/2023/09/ClarkOct2023.pdf"/>
    <hyperlink ref="D26" r:id="rId501" display="https://rennamedia.com/wp-content/uploads/2023/09/ChathamsOct2023.pdf"/>
    <hyperlink ref="E26" r:id="rId502" display="https://rennamedia.com/wp-content/uploads/2023/09/CranfordOct2023.pdf"/>
    <hyperlink ref="G26" r:id="rId503" display="https://rennamedia.com/wp-content/uploads/2023/09/ElmoraHillsMonthlyOct2023.pdf"/>
    <hyperlink ref="H26" r:id="rId504" display="https://rennamedia.com/wp-content/uploads/2023/09/FanwoodOct2023.pdf"/>
    <hyperlink ref="I26" r:id="rId505" display="https://rennamedia.com/wp-content/uploads/2023/09/FlorhamParkMonthlyOct2023.pdf"/>
    <hyperlink ref="J26" r:id="rId506" display="https://rennamedia.com/wp-content/uploads/2023/09/GarwoodOct2023.pdf"/>
    <hyperlink ref="K26" r:id="rId507" display="https://rennamedia.com/wp-content/uploads/2023/09/GreenBrookOct2023.pdf"/>
    <hyperlink ref="M26" r:id="rId508" display="https://rennamedia.com/wp-content/uploads/2023/09/KenilworthOct2023.pdf"/>
    <hyperlink ref="N26" r:id="rId509" display="https://rennamedia.com/wp-content/uploads/2023/09/LindenOct2023.pdf"/>
    <hyperlink ref="P26" r:id="rId510" display="https://rennamedia.com/wp-content/uploads/2023/09/LongHillOct2023.pdf"/>
    <hyperlink ref="Q26" r:id="rId511" display="https://rennamedia.com/wp-content/uploads/2023/09/MadisonOct2023.pdf"/>
    <hyperlink ref="R26" r:id="rId512" display="https://rennamedia.com/wp-content/uploads/2023/09/MillburnShortHillsOct2023.pdf"/>
    <hyperlink ref="S26" r:id="rId513" display="https://rennamedia.com/wp-content/uploads/2023/09/MountainsideOct2023.pdf"/>
    <hyperlink ref="V26" r:id="rId514" display="https://rennamedia.com/wp-content/uploads/2023/10/NewProvidenceOct2023.pdf"/>
    <hyperlink ref="W26" r:id="rId515" display="https://rennamedia.com/wp-content/uploads/2023/09/RahwayOct2023.pdf"/>
    <hyperlink ref="Z26" r:id="rId516" display="https://rennamedia.com/wp-content/uploads/2023/09/RoselleParkOct2023.pdf"/>
    <hyperlink ref="AA26" r:id="rId517" display="https://rennamedia.com/wp-content/uploads/2023/09/ScotchPlainsOct2023.pdf"/>
    <hyperlink ref="AB26" r:id="rId518" display="https://rennamedia.com/wp-content/uploads/2023/09/UnionOct2023.pdf"/>
    <hyperlink ref="AC26" r:id="rId519" display="https://rennamedia.com/wp-content/uploads/2023/09/SummitOct2023.pdf"/>
    <hyperlink ref="AE26" r:id="rId520" display="https://rennamedia.com/wp-content/uploads/2023/09/WarrenOct2023.pdf"/>
    <hyperlink ref="AF26" r:id="rId521" display="https://rennamedia.com/wp-content/uploads/2023/09/WatchungOct2023.pdf"/>
    <hyperlink ref="AG26" r:id="rId522" display="https://rennamedia.com/wp-content/uploads/2023/10/WestfieldOct2023.pdf"/>
    <hyperlink ref="B27" r:id="rId523" display="https://rennamedia.com/wp-content/uploads/2023/10/BerkeleyHeightsNov2023.pdf"/>
    <hyperlink ref="C27" r:id="rId524" display="https://rennamedia.com/wp-content/uploads/2023/10/ClarkNov2023.pdf"/>
    <hyperlink ref="D27" r:id="rId525" display="https://rennamedia.com/wp-content/uploads/2023/10/ChathamsNov2023.pdf"/>
    <hyperlink ref="E27" r:id="rId526" display="https://rennamedia.com/wp-content/uploads/2023/10/CranfordNov2023.pdf"/>
    <hyperlink ref="G27" r:id="rId527" display="https://rennamedia.com/wp-content/uploads/2023/10/ElmoraHillsMonthlyNov2023.pdf"/>
    <hyperlink ref="H27" r:id="rId528" display="https://rennamedia.com/wp-content/uploads/2023/10/FanwoodNov2023.pdf"/>
    <hyperlink ref="I27" r:id="rId529" display="https://rennamedia.com/wp-content/uploads/2023/10/FlorhamParkMonthlyNov2023.pdf"/>
    <hyperlink ref="J27" r:id="rId530" display="https://rennamedia.com/wp-content/uploads/2023/10/GarwoodNov2023.pdf"/>
    <hyperlink ref="K27" r:id="rId531" display="https://rennamedia.com/wp-content/uploads/2023/10/GreenBrookNov2023.pdf"/>
    <hyperlink ref="M27" r:id="rId532" display="https://rennamedia.com/wp-content/uploads/2023/10/KenilworthNov2023.pdf"/>
    <hyperlink ref="N27" r:id="rId533" display="https://rennamedia.com/wp-content/uploads/2023/10/LindenNov2023.pdf"/>
    <hyperlink ref="P27" r:id="rId534" display="https://rennamedia.com/wp-content/uploads/2023/10/LongHillNov2023.pdf"/>
    <hyperlink ref="Q27" r:id="rId535" display="https://rennamedia.com/wp-content/uploads/2023/10/MadisonNov2023.pdf"/>
    <hyperlink ref="R27" r:id="rId536" display="https://rennamedia.com/wp-content/uploads/2023/10/MillburnShortHillsNov2023.pdf"/>
    <hyperlink ref="S27" r:id="rId537" display="https://rennamedia.com/wp-content/uploads/2023/10/MountainsideNov2023.pdf"/>
    <hyperlink ref="V27" r:id="rId538" display="https://rennamedia.com/wp-content/uploads/2023/10/NewProvidenceNov2023.pdf"/>
    <hyperlink ref="W27" r:id="rId539" display="https://rennamedia.com/wp-content/uploads/2023/10/RahwayNov2023.pdf"/>
    <hyperlink ref="Z27" r:id="rId540" display="https://rennamedia.com/wp-content/uploads/2023/10/RoselleParkNov2023.pdf"/>
    <hyperlink ref="AA27" r:id="rId541" display="https://rennamedia.com/wp-content/uploads/2023/10/ScotchPlainsNov2023.pdf"/>
    <hyperlink ref="AB27" r:id="rId542" display="https://rennamedia.com/wp-content/uploads/2023/10/UnionNov2023.pdf"/>
    <hyperlink ref="AC27" r:id="rId543" display="https://rennamedia.com/wp-content/uploads/2023/10/SummitNov2023.pdf"/>
    <hyperlink ref="AE27" r:id="rId544" display="https://rennamedia.com/wp-content/uploads/2023/10/WarrenNov2023.pdf"/>
    <hyperlink ref="AF27" r:id="rId545" display="https://rennamedia.com/wp-content/uploads/2023/10/WatchungNov2023.pdf"/>
    <hyperlink ref="AG27" r:id="rId546" display="https://rennamedia.com/wp-content/uploads/2023/10/WestfieldNov2023.pdf"/>
    <hyperlink ref="B28" r:id="rId547" display="https://rennamedia.com/wp-content/uploads/2023/11/BerkeleyHeightsDec2023.pdf"/>
    <hyperlink ref="C28" r:id="rId548" display="https://rennamedia.com/wp-content/uploads/2023/11/ClarkDec2023.pdf"/>
    <hyperlink ref="D28" r:id="rId549" display="https://rennamedia.com/wp-content/uploads/2023/11/ChathamsDec2023.pdf"/>
    <hyperlink ref="E28" r:id="rId550" display="https://rennamedia.com/wp-content/uploads/2023/11/CranfordDec2023.pdf"/>
    <hyperlink ref="G28" r:id="rId551" display="https://rennamedia.com/wp-content/uploads/2023/11/ElmoraHillsMonthlyDec2023.pdf"/>
    <hyperlink ref="H28" r:id="rId552" display="https://rennamedia.com/wp-content/uploads/2023/11/FanwoodDec2023.pdf"/>
    <hyperlink ref="I28" r:id="rId553" display="https://rennamedia.com/wp-content/uploads/2023/11/FlorhamParkMonthlyDec2023.pdf"/>
    <hyperlink ref="J28" r:id="rId554" display="https://rennamedia.com/wp-content/uploads/2023/11/GarwoodDec2023.pdf"/>
    <hyperlink ref="K28" r:id="rId555" display="https://rennamedia.com/wp-content/uploads/2023/11/GreenBrookDec2023.pdf"/>
    <hyperlink ref="M28" r:id="rId556" display="https://rennamedia.com/wp-content/uploads/2023/11/KenilworthDec2023.pdf"/>
    <hyperlink ref="N28" r:id="rId557" display="https://rennamedia.com/wp-content/uploads/2023/11/LindenDec2023.pdf"/>
    <hyperlink ref="P28" r:id="rId558" display="https://rennamedia.com/wp-content/uploads/2023/11/LongHillDec2023.pdf"/>
    <hyperlink ref="Q28" r:id="rId559" display="https://rennamedia.com/wp-content/uploads/2023/11/MadisonDec2023.pdf"/>
    <hyperlink ref="R28" r:id="rId560" display="https://rennamedia.com/wp-content/uploads/2023/11/MillburnShortHillsDec2023.pdf"/>
    <hyperlink ref="S28" r:id="rId561" display="https://rennamedia.com/wp-content/uploads/2023/11/MountainsideDec2023.pdf"/>
    <hyperlink ref="V28" r:id="rId562" display="https://rennamedia.com/wp-content/uploads/2023/11/NewProvidenceDec2023.pdf"/>
    <hyperlink ref="W28" r:id="rId563" display="https://rennamedia.com/wp-content/uploads/2023/11/RahwayDec2023.pdf"/>
    <hyperlink ref="Z28" r:id="rId564" display="https://rennamedia.com/wp-content/uploads/2023/11/RoselleParkDec2023.pdf"/>
    <hyperlink ref="AA28" r:id="rId565" display="https://rennamedia.com/wp-content/uploads/2023/11/ScotchPlainsDec2023.pdf"/>
    <hyperlink ref="AB28" r:id="rId566" display="https://rennamedia.com/wp-content/uploads/2023/11/UnionDec2023.pdf"/>
    <hyperlink ref="AC28" r:id="rId567" display="https://rennamedia.com/wp-content/uploads/2023/11/SummitDec2023.pdf"/>
    <hyperlink ref="AE28" r:id="rId568" display="https://rennamedia.com/wp-content/uploads/2023/11/WarrenDec2023.pdf"/>
    <hyperlink ref="AF28" r:id="rId569" display="https://rennamedia.com/wp-content/uploads/2023/11/WatchungDec2023.pdf"/>
    <hyperlink ref="AG28" r:id="rId570" display="https://rennamedia.com/wp-content/uploads/2023/11/WestfieldDec2023.pdf"/>
    <hyperlink ref="B29" r:id="rId571" display="https://rennamedia.com/wp-content/uploads/2023/12/BerkeleyHeightsJan2024.pdf"/>
    <hyperlink ref="C29" r:id="rId572" display="https://rennamedia.com/wp-content/uploads/2023/12/ClarkJan2024.pdf"/>
    <hyperlink ref="D29" r:id="rId573" display="https://rennamedia.com/wp-content/uploads/2023/12/ChathamsJan2024.pdf"/>
    <hyperlink ref="E29" r:id="rId574" display="https://rennamedia.com/wp-content/uploads/2023/12/CranfordJan2024.pdf"/>
    <hyperlink ref="G29" r:id="rId575" display="https://rennamedia.com/wp-content/uploads/2023/12/ElmoraHillsMonthlyJan2024.pdf"/>
    <hyperlink ref="H29" r:id="rId576" display="https://rennamedia.com/wp-content/uploads/2023/12/FanwoodJan2024.pdf"/>
    <hyperlink ref="I29" r:id="rId577" display="https://rennamedia.com/wp-content/uploads/2023/12/FlorhamParkMonthlyJan2024.pdf"/>
    <hyperlink ref="J29" r:id="rId578" display="https://rennamedia.com/wp-content/uploads/2023/12/GarwoodJan2024.pdf"/>
    <hyperlink ref="K29" r:id="rId579" display="https://rennamedia.com/wp-content/uploads/2023/12/GreenBrookJan2024.pdf"/>
    <hyperlink ref="M29" r:id="rId580" display="https://rennamedia.com/wp-content/uploads/2023/12/KenilworthJan2024.pdf"/>
    <hyperlink ref="N29" r:id="rId581" display="https://rennamedia.com/wp-content/uploads/2023/12/LindenJan2024.pdf"/>
    <hyperlink ref="P29" r:id="rId582" display="https://rennamedia.com/wp-content/uploads/2023/12/LongHillJan2024.pdf"/>
    <hyperlink ref="Q29" r:id="rId583" display="https://rennamedia.com/wp-content/uploads/2023/12/MadisonJan2024.pdf"/>
    <hyperlink ref="R29" r:id="rId584" display="https://rennamedia.com/wp-content/uploads/2023/12/MillburnShortHillsJan2024.pdf"/>
    <hyperlink ref="S29" r:id="rId585" display="https://rennamedia.com/wp-content/uploads/2023/12/MountainsideJan2024.pdf"/>
    <hyperlink ref="V29" r:id="rId586" display="https://rennamedia.com/wp-content/uploads/2023/12/NewProvidenceJan2024.pdf"/>
    <hyperlink ref="W29" r:id="rId587" display="https://rennamedia.com/wp-content/uploads/2023/12/RahwayJan2024.pdf"/>
    <hyperlink ref="Z29" r:id="rId588" display="https://rennamedia.com/wp-content/uploads/2023/12/RoselleParkJan2024.pdf"/>
    <hyperlink ref="AA29" r:id="rId589" display="https://rennamedia.com/wp-content/uploads/2023/12/ScotchPlainsJan2024.pdf"/>
    <hyperlink ref="AB29" r:id="rId590" display="https://rennamedia.com/wp-content/uploads/2023/12/UnionJan2024.pdf"/>
    <hyperlink ref="AC29" r:id="rId591" display="https://rennamedia.com/wp-content/uploads/2023/12/SummitJan2024.pdf"/>
    <hyperlink ref="AE29" r:id="rId592" display="https://rennamedia.com/wp-content/uploads/2023/12/WarrenJan2024.pdf"/>
    <hyperlink ref="AF29" r:id="rId593" display="https://rennamedia.com/wp-content/uploads/2023/12/WatchungJan2024.pdf"/>
    <hyperlink ref="AG29" r:id="rId594" display="https://rennamedia.com/wp-content/uploads/2023/12/WestfieldJan2024.pdf"/>
    <hyperlink ref="B30" r:id="rId595" display="https://rennamedia.com/wp-content/uploads/2024/01/BerkeleyHeightsFeb2024.pdf"/>
    <hyperlink ref="C30" r:id="rId596" display="https://rennamedia.com/wp-content/uploads/2024/01/ClarkFeb2024.pdf"/>
    <hyperlink ref="D30" r:id="rId597" display="https://rennamedia.com/wp-content/uploads/2024/01/ChathamsFeb2024.pdf"/>
    <hyperlink ref="E30" r:id="rId598" display="https://rennamedia.com/wp-content/uploads/2024/01/CranfordFeb2024.pdf"/>
    <hyperlink ref="G30" r:id="rId599" display="https://rennamedia.com/wp-content/uploads/2024/01/ElmoraHillsMonthlyFeb2024.pdf"/>
    <hyperlink ref="H30" r:id="rId600" display="https://rennamedia.com/wp-content/uploads/2024/01/FanwoodFeb2024.pdf"/>
    <hyperlink ref="I30" r:id="rId601" display="https://rennamedia.com/wp-content/uploads/2024/01/FlorhamParkMonthlyFeb2024.pdf"/>
    <hyperlink ref="J30" r:id="rId602" display="https://rennamedia.com/wp-content/uploads/2024/01/GarwoodFeb2024.pdf"/>
    <hyperlink ref="K30" r:id="rId603" display="https://rennamedia.com/wp-content/uploads/2024/01/GreenBrookFeb2024.pdf"/>
    <hyperlink ref="M30" r:id="rId604" display="https://rennamedia.com/wp-content/uploads/2024/01/KenilworthFeb2024proof.pdf"/>
    <hyperlink ref="N30" r:id="rId605" display="https://rennamedia.com/wp-content/uploads/2024/01/LindenFeb2024.pdf"/>
    <hyperlink ref="P30" r:id="rId606" display="https://rennamedia.com/wp-content/uploads/2024/01/LongHillFeb2024.pdf"/>
    <hyperlink ref="Q30" r:id="rId607" display="https://rennamedia.com/wp-content/uploads/2024/01/MadisonFeb2024.pdf"/>
    <hyperlink ref="R30" r:id="rId608" display="https://rennamedia.com/wp-content/uploads/2024/01/MillburnShortHillsFeb2024.pdf"/>
    <hyperlink ref="S30" r:id="rId609" display="https://rennamedia.com/wp-content/uploads/2024/01/MountainsideFeb2024.pdf"/>
    <hyperlink ref="V30" r:id="rId610" display="https://rennamedia.com/wp-content/uploads/2024/01/NewProvidenceFeb2024.pdf"/>
    <hyperlink ref="W30" r:id="rId611" display="https://rennamedia.com/wp-content/uploads/2024/02/RahwayFeb2024.pdf"/>
    <hyperlink ref="Z30" r:id="rId612" display="https://rennamedia.com/wp-content/uploads/2024/01/RoselleParkFeb2024.pdf"/>
    <hyperlink ref="AA30" r:id="rId613" display="https://rennamedia.com/wp-content/uploads/2024/01/ScotchPlainsFeb2024.pdf"/>
    <hyperlink ref="AB30" r:id="rId614" display="https://rennamedia.com/wp-content/uploads/2024/01/UnionFeb2024.pdf"/>
    <hyperlink ref="AC30" r:id="rId615" display="https://rennamedia.com/wp-content/uploads/2024/01/SummitFeb2024.pdf"/>
    <hyperlink ref="AE30" r:id="rId616" display="https://rennamedia.com/wp-content/uploads/2024/01/WarrenFeb2024.pdf"/>
    <hyperlink ref="AF30" r:id="rId617" display="https://rennamedia.com/wp-content/uploads/2024/01/WatchungFeb2024.pdf"/>
    <hyperlink ref="AG30" r:id="rId618" display="https://rennamedia.com/wp-content/uploads/2024/01/WestfieldFeb2024.pdf"/>
    <hyperlink ref="B31" r:id="rId619" display="https://rennamedia.com/wp-content/uploads/2024/02/BerkeleyHeightsMar2024.pdf"/>
    <hyperlink ref="C31" r:id="rId620" display="https://rennamedia.com/wp-content/uploads/2024/02/ClarkMar2024.pdf"/>
    <hyperlink ref="D31" r:id="rId621" display="https://rennamedia.com/wp-content/uploads/2024/02/ChathamsMar2024.pdf"/>
    <hyperlink ref="E31" r:id="rId622" display="https://rennamedia.com/wp-content/uploads/2024/02/CranfordMar2024.pdf"/>
    <hyperlink ref="G31" r:id="rId623" display="https://rennamedia.com/wp-content/uploads/2024/02/ElmoraHillsMonthlyMar2024.pdf"/>
    <hyperlink ref="H31" r:id="rId624" display="https://rennamedia.com/wp-content/uploads/2024/02/FanwoodMar2024.pdf"/>
    <hyperlink ref="I31" r:id="rId625" display="https://rennamedia.com/wp-content/uploads/2024/02/FlorhamParkMonthlyMar2024.pdf"/>
    <hyperlink ref="J31" r:id="rId626" display="https://rennamedia.com/wp-content/uploads/2024/02/GarwoodMar2024.pdf"/>
    <hyperlink ref="K31" r:id="rId627" display="https://rennamedia.com/wp-content/uploads/2024/02/GreenBrookMar2024.pdf"/>
    <hyperlink ref="M31" r:id="rId628" display="https://rennamedia.com/wp-content/uploads/2024/02/KenilworthMar2024.pdf"/>
    <hyperlink ref="N31" r:id="rId629" display="https://rennamedia.com/wp-content/uploads/2024/02/LindenMar2024.pdf"/>
    <hyperlink ref="P31" r:id="rId630" display="https://rennamedia.com/wp-content/uploads/2024/02/LongHillMar2024.pdf"/>
    <hyperlink ref="Q31" r:id="rId631" display="https://rennamedia.com/wp-content/uploads/2024/02/MadisonMar2024.pdf"/>
    <hyperlink ref="R31" r:id="rId632" display="https://rennamedia.com/wp-content/uploads/2024/02/MillburnShortHillsMar2024.pdf"/>
    <hyperlink ref="S31" r:id="rId633" display="https://rennamedia.com/wp-content/uploads/2024/02/MountainsideMar2024.pdf"/>
    <hyperlink ref="V31" r:id="rId634" display="https://rennamedia.com/wp-content/uploads/2024/02/NewProvidenceMar2024.pdf"/>
    <hyperlink ref="W31" r:id="rId635" display="https://rennamedia.com/wp-content/uploads/2024/02/RahwayMar2024.pdf"/>
    <hyperlink ref="Z31" r:id="rId636" display="https://rennamedia.com/wp-content/uploads/2024/02/RoselleParkMar2024.pdf"/>
    <hyperlink ref="AA31" r:id="rId637" display="https://rennamedia.com/wp-content/uploads/2024/02/ScotchPlainsMar2024.pdf"/>
    <hyperlink ref="AB31" r:id="rId638" display="https://rennamedia.com/wp-content/uploads/2024/02/UnionMar2024.pdf"/>
    <hyperlink ref="AC31" r:id="rId639" display="https://rennamedia.com/wp-content/uploads/2024/02/SummitMar2024.pdf"/>
    <hyperlink ref="AE31" r:id="rId640" display="https://rennamedia.com/wp-content/uploads/2024/02/WarrenMar2024.pdf"/>
    <hyperlink ref="AF31" r:id="rId641" display="https://rennamedia.com/wp-content/uploads/2024/02/WatchungMar2024.pdf"/>
    <hyperlink ref="AG31" r:id="rId642" display="https://rennamedia.com/wp-content/uploads/2024/02/WestfieldMar2024.pdf"/>
    <hyperlink ref="B32" r:id="rId643" display="https://rennamedia.com/wp-content/uploads/2024/03/BerkeleyHeightsApr2024.pdf"/>
    <hyperlink ref="C32" r:id="rId644" display="https://rennamedia.com/wp-content/uploads/2024/03/ClarkApr2024.pdf"/>
    <hyperlink ref="D32" r:id="rId645" display="https://rennamedia.com/wp-content/uploads/2024/03/ChathamsApr2024.pdf"/>
    <hyperlink ref="E32" r:id="rId646" display="https://rennamedia.com/wp-content/uploads/2024/03/CranfordApr2024.pdf"/>
    <hyperlink ref="G32" r:id="rId647" display="https://rennamedia.com/wp-content/uploads/2024/03/ElmoraHillsMonthlyApr2024.pdf"/>
    <hyperlink ref="H32" r:id="rId648" display="https://rennamedia.com/wp-content/uploads/2024/03/FanwoodApr2024.pdf"/>
    <hyperlink ref="I32" r:id="rId649" display="https://rennamedia.com/wp-content/uploads/2024/03/FlorhamParkMonthlyApr2024.pdf"/>
    <hyperlink ref="J32" r:id="rId650" display="https://rennamedia.com/wp-content/uploads/2024/03/GarwoodApr2024.pdf"/>
    <hyperlink ref="K32" r:id="rId651" display="https://rennamedia.com/wp-content/uploads/2024/03/GreenBrookApr2024.pdf"/>
    <hyperlink ref="M32" r:id="rId652" display="https://rennamedia.com/wp-content/uploads/2024/03/KenilworthApr2024.pdf"/>
    <hyperlink ref="N32" r:id="rId653" display="https://rennamedia.com/wp-content/uploads/2024/03/LindenApr2024.pdf"/>
    <hyperlink ref="P32" r:id="rId654" display="https://rennamedia.com/wp-content/uploads/2024/03/LongHillApr2024.pdf"/>
    <hyperlink ref="Q32" r:id="rId655" display="https://rennamedia.com/wp-content/uploads/2024/03/MadisonApr2024.pdf"/>
    <hyperlink ref="R32" r:id="rId656" display="https://rennamedia.com/wp-content/uploads/2024/03/MillburnShortHillsApr2024.pdf"/>
    <hyperlink ref="S32" r:id="rId657" display="https://rennamedia.com/wp-content/uploads/2024/03/MountainsideApr2024.pdf"/>
    <hyperlink ref="V32" r:id="rId658" display="https://rennamedia.com/wp-content/uploads/2024/03/NewProvidenceApr2024.pdf"/>
    <hyperlink ref="W32" r:id="rId659" display="https://rennamedia.com/wp-content/uploads/2024/03/RahwayApr2024.pdf"/>
    <hyperlink ref="Z32" r:id="rId660" display="https://rennamedia.com/wp-content/uploads/2024/03/RoselleParkApr2024.pdf"/>
    <hyperlink ref="AA32" r:id="rId661" display="https://rennamedia.com/wp-content/uploads/2024/03/ScotchPlainsApr2024.pdf"/>
    <hyperlink ref="AB32" r:id="rId662" display="https://rennamedia.com/wp-content/uploads/2024/03/UnionApr2024.pdf"/>
    <hyperlink ref="AC32" r:id="rId663" display="https://rennamedia.com/wp-content/uploads/2024/03/SummitApr2024.pdf"/>
    <hyperlink ref="AE32" r:id="rId664" display="https://rennamedia.com/wp-content/uploads/2024/03/WarrenApr2024.pdf"/>
    <hyperlink ref="AF32" r:id="rId665" display="https://rennamedia.com/wp-content/uploads/2024/03/WatchungApr2024.pdf"/>
    <hyperlink ref="AG32" r:id="rId666" display="https://rennamedia.com/wp-content/uploads/2024/03/WestfieldApr2024.pdf"/>
    <hyperlink ref="B33" r:id="rId667" display="https://rennamedia.com/wp-content/uploads/2024/04/BerkeleyHeightsMay2024.pdf"/>
    <hyperlink ref="C33" r:id="rId668" display="https://rennamedia.com/wp-content/uploads/2024/04/ClarkMay2024.pdf"/>
    <hyperlink ref="D33" r:id="rId669" display="https://rennamedia.com/wp-content/uploads/2024/04/ChathamsMay2024.pdf"/>
    <hyperlink ref="E33" r:id="rId670" display="https://rennamedia.com/wp-content/uploads/2024/04/CranfordMay2024.pdf"/>
    <hyperlink ref="G33" r:id="rId671" display="https://rennamedia.com/wp-content/uploads/2024/04/ElmoraHillsMonthlyMay2024.pdf"/>
    <hyperlink ref="H33" r:id="rId672" display="https://rennamedia.com/wp-content/uploads/2024/04/FanwoodMay2024.pdf"/>
    <hyperlink ref="I33" r:id="rId673" display="https://rennamedia.com/wp-content/uploads/2024/04/FlorhamParkMonthlyMay2024.pdf"/>
    <hyperlink ref="J33" r:id="rId674" display="https://rennamedia.com/wp-content/uploads/2024/04/GarwoodMay2024.pdf"/>
    <hyperlink ref="K33" r:id="rId675" display="https://rennamedia.com/wp-content/uploads/2024/04/GreenBrookMay2024.pdf"/>
    <hyperlink ref="M33" r:id="rId676" display="https://rennamedia.com/wp-content/uploads/2024/04/KenilworthMay2024.pdf"/>
    <hyperlink ref="N33" r:id="rId677" display="https://rennamedia.com/wp-content/uploads/2024/04/LindenMay2024.pdf"/>
    <hyperlink ref="P33" r:id="rId678" display="https://rennamedia.com/wp-content/uploads/2024/04/LongHillMay2024.pdf"/>
    <hyperlink ref="Q33" r:id="rId679" display="https://rennamedia.com/wp-content/uploads/2024/04/MadisonMay2024.pdf"/>
    <hyperlink ref="R33" r:id="rId680" display="https://rennamedia.com/wp-content/uploads/2024/04/MillburnShortHillsMay2024.pdf"/>
    <hyperlink ref="S33" r:id="rId681" display="https://rennamedia.com/wp-content/uploads/2024/04/MountainsideMay2024.pdf"/>
    <hyperlink ref="V33" r:id="rId682" display="https://rennamedia.com/wp-content/uploads/2024/04/NewProvidenceMay2024.pdf"/>
    <hyperlink ref="W33" r:id="rId683" display="https://rennamedia.com/wp-content/uploads/2024/04/RahwayMay2024.pdf"/>
    <hyperlink ref="Z33" r:id="rId684" display="https://rennamedia.com/wp-content/uploads/2024/04/RoselleParkMay2024.pdf"/>
    <hyperlink ref="AA33" r:id="rId685" display="https://rennamedia.com/wp-content/uploads/2024/04/ScotchPlainsMay2024.pdf"/>
    <hyperlink ref="AB33" r:id="rId686" display="https://rennamedia.com/wp-content/uploads/2024/04/UnionMay2024.pdf"/>
    <hyperlink ref="AC33" r:id="rId687" display="https://rennamedia.com/wp-content/uploads/2024/04/SummitMay2024.pdf"/>
    <hyperlink ref="AE33" r:id="rId688" display="https://rennamedia.com/wp-content/uploads/2024/04/WarrenMay2024.pdf"/>
    <hyperlink ref="AF33" r:id="rId689" display="https://rennamedia.com/wp-content/uploads/2024/04/WatchungMay2024.pdf"/>
    <hyperlink ref="AG33" r:id="rId690" display="https://rennamedia.com/wp-content/uploads/2024/04/WestfieldMay2024.pdf"/>
    <hyperlink ref="B34" r:id="rId691" display="https://rennamedia.com/wp-content/uploads/2024/05/BerkeleyHeightsJune2024.pdf"/>
    <hyperlink ref="C34" r:id="rId692" display="https://rennamedia.com/wp-content/uploads/2024/05/ClarkJune2024.pdf"/>
    <hyperlink ref="D34" r:id="rId693" display="https://rennamedia.com/wp-content/uploads/2024/05/ChathamsJune2024.pdf"/>
    <hyperlink ref="E34" r:id="rId694" display="https://rennamedia.com/wp-content/uploads/2024/05/CranfordJune2024.pdf"/>
    <hyperlink ref="G34" r:id="rId695" display="https://rennamedia.com/wp-content/uploads/2024/05/ElmoraHillsMonthlyJune2024.pdf"/>
    <hyperlink ref="H34" r:id="rId696" display="https://rennamedia.com/wp-content/uploads/2024/05/FanwoodJune2024.pdf"/>
    <hyperlink ref="I34" r:id="rId697" display="https://rennamedia.com/wp-content/uploads/2024/05/FlorhamParkMonthlyJune2024.pdf"/>
    <hyperlink ref="J34" r:id="rId698" display="https://rennamedia.com/wp-content/uploads/2024/05/GarwoodJune2024.pdf"/>
    <hyperlink ref="K34" r:id="rId699" display="https://rennamedia.com/wp-content/uploads/2024/05/GreenBrookJune2024.pdf"/>
    <hyperlink ref="M34" r:id="rId700" display="https://rennamedia.com/wp-content/uploads/2024/05/KenilworthJune2024.pdf"/>
    <hyperlink ref="N34" r:id="rId701" display="https://rennamedia.com/wp-content/uploads/2024/05/LindenJune2024.pdf"/>
    <hyperlink ref="P34" r:id="rId702" display="https://rennamedia.com/wp-content/uploads/2024/05/LongHillJune2024.pdf"/>
    <hyperlink ref="Q34" r:id="rId703" display="https://rennamedia.com/wp-content/uploads/2024/05/MadisonJune2024.pdf"/>
    <hyperlink ref="R34" r:id="rId704" display="https://rennamedia.com/wp-content/uploads/2024/05/MillburnShortHillsJune2024.pdf"/>
    <hyperlink ref="S34" r:id="rId705" display="https://rennamedia.com/wp-content/uploads/2024/05/MountainsideJune2024.pdf"/>
    <hyperlink ref="V34" r:id="rId706" display="https://rennamedia.com/wp-content/uploads/2024/05/NewProvidenceJune2024.pdf"/>
    <hyperlink ref="W34" r:id="rId707" display="https://rennamedia.com/wp-content/uploads/2024/05/RahwayJune2024.pdf"/>
    <hyperlink ref="Z34" r:id="rId708" display="https://rennamedia.com/wp-content/uploads/2024/05/RoselleParkJune2024.pdf"/>
    <hyperlink ref="AA34" r:id="rId709" display="https://rennamedia.com/wp-content/uploads/2024/05/ScotchPlainsJune2024.pdf"/>
    <hyperlink ref="AB34" r:id="rId710" display="https://rennamedia.com/wp-content/uploads/2024/05/UnionJune2024.pdf"/>
    <hyperlink ref="AC34" r:id="rId711" display="https://rennamedia.com/wp-content/uploads/2024/05/SummitJune2024.pdf"/>
    <hyperlink ref="AE34" r:id="rId712" display="https://rennamedia.com/wp-content/uploads/2024/05/WarrenJune2024.pdf"/>
    <hyperlink ref="AF34" r:id="rId713" display="https://rennamedia.com/wp-content/uploads/2024/05/WatchungJune2024.pdf"/>
    <hyperlink ref="AG34" r:id="rId714" display="https://rennamedia.com/wp-content/uploads/2024/05/WestfieldJune2024.pdf"/>
    <hyperlink ref="B35" r:id="rId715" display="https://rennamedia.com/wp-content/uploads/2024/06/BerkeleyHeightsJuly2024.pdf"/>
    <hyperlink ref="C35" r:id="rId716" display="https://rennamedia.com/wp-content/uploads/2024/06/ClarkJuly2024.pdf"/>
    <hyperlink ref="D35" r:id="rId717" display="https://rennamedia.com/wp-content/uploads/2024/06/ChathamsJuly2024.pdf"/>
    <hyperlink ref="E35" r:id="rId718" display="https://rennamedia.com/wp-content/uploads/2024/06/CranfordJuly2024.pdf"/>
    <hyperlink ref="G35" r:id="rId719" display="https://rennamedia.com/wp-content/uploads/2024/06/ElmoraHillsMonthlyJuly2024.pdf"/>
    <hyperlink ref="H35" r:id="rId720" display="https://rennamedia.com/wp-content/uploads/2024/06/FanwoodJuly2024.pdf"/>
    <hyperlink ref="I35" r:id="rId721" display="https://rennamedia.com/wp-content/uploads/2024/06/FlorhamParkMonthlyJuly2024.pdf"/>
    <hyperlink ref="J35" r:id="rId722" display="https://rennamedia.com/wp-content/uploads/2024/06/GarwoodJuly2024.pdf"/>
    <hyperlink ref="K35" r:id="rId723" display="https://rennamedia.com/wp-content/uploads/2024/06/GreenBrookJuly2024.pdf"/>
    <hyperlink ref="M35" r:id="rId724" display="https://rennamedia.com/wp-content/uploads/2024/06/KenilworthJuly2024.pdf"/>
    <hyperlink ref="N35" r:id="rId725" display="https://rennamedia.com/wp-content/uploads/2024/06/LindenJuly2024.pdf"/>
    <hyperlink ref="P35" r:id="rId726" display="https://rennamedia.com/wp-content/uploads/2024/06/LongHillJuly2024.pdf"/>
    <hyperlink ref="Q35" r:id="rId727" display="https://rennamedia.com/wp-content/uploads/2024/06/MadisonJuly2024.pdf"/>
    <hyperlink ref="R35" r:id="rId728" display="https://rennamedia.com/wp-content/uploads/2024/06/MillburnShortHillsJuly2024.pdf"/>
    <hyperlink ref="S35" r:id="rId729" display="https://rennamedia.com/wp-content/uploads/2024/06/MountainsideJuly2024.pdf"/>
    <hyperlink ref="V35" r:id="rId730" display="https://rennamedia.com/wp-content/uploads/2024/06/NewProvidenceJuly2024.pdf"/>
    <hyperlink ref="W35" r:id="rId731" display="https://rennamedia.com/wp-content/uploads/2024/06/RahwayJuly2024.pdf"/>
    <hyperlink ref="Z35" r:id="rId732" display="https://rennamedia.com/wp-content/uploads/2024/06/RoselleParkJuly2024.pdf"/>
    <hyperlink ref="AA35" r:id="rId733" display="https://rennamedia.com/wp-content/uploads/2024/06/ScotchPlainsJuly2024.pdf"/>
    <hyperlink ref="AB35" r:id="rId734" display="https://rennamedia.com/wp-content/uploads/2024/06/UnionJuly2024.pdf"/>
    <hyperlink ref="AC35" r:id="rId735" display="https://rennamedia.com/wp-content/uploads/2024/06/SummitJuly2024.pdf"/>
    <hyperlink ref="AE35" r:id="rId736" display="https://rennamedia.com/wp-content/uploads/2024/06/WarrenJuly2024.pdf"/>
    <hyperlink ref="AF35" r:id="rId737" display="https://rennamedia.com/wp-content/uploads/2024/06/WatchungJuly2024.pdf"/>
    <hyperlink ref="AG35" r:id="rId738" display="https://rennamedia.com/wp-content/uploads/2024/06/WestfieldJuly2024.pdf"/>
    <hyperlink ref="B36" r:id="rId739" display="https://rennamedia.com/wp-content/uploads/2024/07/BerkeleyHeightsAugust2024.pdf"/>
    <hyperlink ref="C36" r:id="rId740" display="https://rennamedia.com/wp-content/uploads/2024/07/ClarkAugust2024.pdf"/>
    <hyperlink ref="D36" r:id="rId741" display="https://rennamedia.com/wp-content/uploads/2024/07/ChathamsAugust2024.pdf"/>
    <hyperlink ref="E36" r:id="rId742" display="https://rennamedia.com/wp-content/uploads/2024/07/CranfordAugust2024.pdf"/>
    <hyperlink ref="G36" r:id="rId743" display="https://rennamedia.com/wp-content/uploads/2024/07/ElmoraHillsMonthlyAugust2024.pdf"/>
    <hyperlink ref="H36" r:id="rId744" display="https://rennamedia.com/wp-content/uploads/2024/07/FanwoodAugust2024.pdf"/>
    <hyperlink ref="I36" r:id="rId745" display="https://rennamedia.com/wp-content/uploads/2024/07/FlorhamParkMonthlyAugust2024.pdf"/>
    <hyperlink ref="J36" r:id="rId746" display="https://rennamedia.com/wp-content/uploads/2024/07/GarwoodAugust2024.pdf"/>
    <hyperlink ref="K36" r:id="rId747" display="https://rennamedia.com/wp-content/uploads/2024/07/GreenBrookAugust2024.pdf"/>
    <hyperlink ref="M36" r:id="rId748" display="https://rennamedia.com/wp-content/uploads/2024/07/KenilworthAugust2024.pdf"/>
    <hyperlink ref="N36" r:id="rId749" display="https://rennamedia.com/wp-content/uploads/2024/07/LindenAugust2024.pdf"/>
    <hyperlink ref="P36" r:id="rId750" display="https://rennamedia.com/wp-content/uploads/2024/07/LongHillAugust2024.pdf"/>
    <hyperlink ref="Q36" r:id="rId751" display="https://rennamedia.com/wp-content/uploads/2024/07/MadisonAugust2024.pdf"/>
    <hyperlink ref="R36" r:id="rId752" display="https://rennamedia.com/wp-content/uploads/2024/07/MillburnShortHillsAugust2024.pdf"/>
    <hyperlink ref="S36" r:id="rId753" display="https://rennamedia.com/wp-content/uploads/2024/07/MountainsideAugust2024.pdf"/>
    <hyperlink ref="V36" r:id="rId754" display="https://rennamedia.com/wp-content/uploads/2024/07/NewProvidenceAugust2024.pdf"/>
    <hyperlink ref="W36" r:id="rId755" display="https://rennamedia.com/wp-content/uploads/2024/07/RahwayAugust2024.pdf"/>
    <hyperlink ref="Z36" r:id="rId756" display="https://rennamedia.com/wp-content/uploads/2024/07/RoselleParkAugust2024.pdf"/>
    <hyperlink ref="AA36" r:id="rId757" display="https://rennamedia.com/wp-content/uploads/2024/07/ScotchPlainsAugust2024.pdf"/>
    <hyperlink ref="AB36" r:id="rId758" display="https://rennamedia.com/wp-content/uploads/2024/07/UnionAugust2024.pdf"/>
    <hyperlink ref="AC36" r:id="rId759" display="https://rennamedia.com/wp-content/uploads/2024/07/SummitAugust2024.pdf"/>
    <hyperlink ref="AE36" r:id="rId760" display="https://rennamedia.com/wp-content/uploads/2024/07/WarrenAugust2024.pdf"/>
    <hyperlink ref="AF36" r:id="rId761" display="https://rennamedia.com/wp-content/uploads/2024/07/WatchungAugust2024.pdf"/>
    <hyperlink ref="AG36" r:id="rId762" display="https://rennamedia.com/wp-content/uploads/2024/07/WestfieldAugust2024.pdf"/>
    <hyperlink ref="B37" r:id="rId763" display="https://rennamedia.com/wp-content/uploads/2024/08/BerkeleyHeightsSeptember2024.pdf"/>
    <hyperlink ref="C37" r:id="rId764" display="https://rennamedia.com/wp-content/uploads/2024/08/ClarkSeptember2024.pdf"/>
    <hyperlink ref="D37" r:id="rId765" display="https://rennamedia.com/wp-content/uploads/2024/08/ChathamsSeptember2024.pdf"/>
    <hyperlink ref="E37" r:id="rId766" display="https://rennamedia.com/wp-content/uploads/2024/08/CranfordSeptember2024.pdf"/>
    <hyperlink ref="G37" r:id="rId767" display="https://rennamedia.com/wp-content/uploads/2024/08/ElmoraHillsMonthlySeptember2024.pdf"/>
    <hyperlink ref="H37" r:id="rId768" display="https://rennamedia.com/wp-content/uploads/2024/08/FanwoodSeptember2024.pdf"/>
    <hyperlink ref="I37" r:id="rId769" display="https://rennamedia.com/wp-content/uploads/2024/08/FlorhamParkMonthlySeptember2024.pdf"/>
    <hyperlink ref="J37" r:id="rId770" display="https://rennamedia.com/wp-content/uploads/2024/08/GarwoodSeptember2024.pdf"/>
    <hyperlink ref="K37" r:id="rId771" display="https://rennamedia.com/wp-content/uploads/2024/08/GreenBrookSeptember2024.pdf"/>
    <hyperlink ref="M37" r:id="rId772" display="https://rennamedia.com/wp-content/uploads/2024/08/KenilworthSeptember2024.pdf"/>
    <hyperlink ref="N37" r:id="rId773" display="https://rennamedia.com/wp-content/uploads/2024/08/LindenSeptember2024.pdf"/>
    <hyperlink ref="P37" r:id="rId774" display="https://rennamedia.com/wp-content/uploads/2024/08/LongHillSeptember2024.pdf"/>
    <hyperlink ref="Q37" r:id="rId775" display="https://rennamedia.com/wp-content/uploads/2024/08/MadisonSeptember2024.pdf"/>
    <hyperlink ref="R37" r:id="rId776" display="https://rennamedia.com/wp-content/uploads/2024/08/MillburnShortHillsSeptember2024.pdf"/>
    <hyperlink ref="S37" r:id="rId777" display="https://rennamedia.com/wp-content/uploads/2024/08/MountainsideSeptember2024.pdf"/>
    <hyperlink ref="V37" r:id="rId778" display="https://rennamedia.com/wp-content/uploads/2024/08/NewProvidenceSeptember2024.pdf"/>
    <hyperlink ref="W37" r:id="rId779" display="https://rennamedia.com/wp-content/uploads/2024/08/RahwaySeptember2024.pdf"/>
    <hyperlink ref="Z37" r:id="rId780" display="https://rennamedia.com/wp-content/uploads/2024/08/RoselleParkSeptember2024.pdf"/>
    <hyperlink ref="AA37" r:id="rId781" display="https://rennamedia.com/wp-content/uploads/2024/08/ScotchPlainsSeptember2024.pdf"/>
    <hyperlink ref="AB37" r:id="rId782" display="https://rennamedia.com/wp-content/uploads/2024/08/UnionSeptember2024.pdf"/>
    <hyperlink ref="AC37" r:id="rId783" display="https://rennamedia.com/wp-content/uploads/2024/08/SummitSeptember2024.pdf"/>
    <hyperlink ref="AE37" r:id="rId784" display="https://rennamedia.com/wp-content/uploads/2024/08/WarrenSeptember2024.pdf"/>
    <hyperlink ref="AF37" r:id="rId785" display="https://rennamedia.com/wp-content/uploads/2024/08/WatchungSeptember2024.pdf"/>
    <hyperlink ref="AG37" r:id="rId786" display="https://rennamedia.com/wp-content/uploads/2024/08/WestfieldSeptember2024.pdf"/>
    <hyperlink ref="B38" r:id="rId787" display="https://rennamedia.com/wp-content/uploads/2024/09/BerkeleyHeightsOctober2024.pdf"/>
    <hyperlink ref="C38" r:id="rId788" display="https://rennamedia.com/wp-content/uploads/2024/09/ClarkOctober2024.pdf"/>
    <hyperlink ref="D38" r:id="rId789" display="https://rennamedia.com/wp-content/uploads/2024/09/ChathamsOctober2024.pdf"/>
    <hyperlink ref="E38" r:id="rId790" display="https://rennamedia.com/wp-content/uploads/2024/09/CranfordOctober2024.pdf"/>
    <hyperlink ref="G38" r:id="rId791" display="https://rennamedia.com/wp-content/uploads/2024/09/ElmoraHillsMonthlyOctober2024.pdf"/>
    <hyperlink ref="H38" r:id="rId792" display="https://rennamedia.com/wp-content/uploads/2024/10/FanwoodOctober2024x.pdf"/>
    <hyperlink ref="I38" r:id="rId793" display="https://rennamedia.com/wp-content/uploads/2024/09/FlorhamParkMonthlyOctober2024.pdf"/>
    <hyperlink ref="J38" r:id="rId794" display="https://rennamedia.com/wp-content/uploads/2024/09/GarwoodOctober2024.pdf"/>
    <hyperlink ref="K38" r:id="rId795" display="https://rennamedia.com/wp-content/uploads/2024/09/GreenBrookOctober2024.pdf"/>
    <hyperlink ref="M38" r:id="rId796" display="https://rennamedia.com/wp-content/uploads/2024/09/KenilworthOctober2024.pdf"/>
    <hyperlink ref="N38" r:id="rId797" display="https://rennamedia.com/wp-content/uploads/2024/09/LindenOctober2024.pdf"/>
    <hyperlink ref="P38" r:id="rId798" display="https://rennamedia.com/wp-content/uploads/2024/09/LongHillOctober2024.pdf"/>
    <hyperlink ref="Q38" r:id="rId799" display="https://rennamedia.com/wp-content/uploads/2024/09/MadisonOctober2024.pdf"/>
    <hyperlink ref="R38" r:id="rId800" display="https://rennamedia.com/wp-content/uploads/2024/09/MillburnShortHillsOctober2024.pdf"/>
    <hyperlink ref="S38" r:id="rId801" display="https://rennamedia.com/wp-content/uploads/2024/09/MountainsideOctober2024.pdf"/>
    <hyperlink ref="V38" r:id="rId802" display="https://rennamedia.com/wp-content/uploads/2024/09/NewProvidenceOctober2024.pdf"/>
    <hyperlink ref="W38" r:id="rId803" display="https://rennamedia.com/wp-content/uploads/2024/09/RahwayOctober2024.pdf"/>
    <hyperlink ref="Z38" r:id="rId804" display="https://rennamedia.com/wp-content/uploads/2024/09/RoselleParkOctober2024.pdf"/>
    <hyperlink ref="AA38" r:id="rId805" display="https://rennamedia.com/wp-content/uploads/2024/10/ScotchPlainsOctober2024x.pdf"/>
    <hyperlink ref="AB38" r:id="rId806" display="https://rennamedia.com/wp-content/uploads/2024/09/UnionOctober2024.pdf"/>
    <hyperlink ref="AC38" r:id="rId807" display="https://rennamedia.com/wp-content/uploads/2024/09/SummitOctober2024.pdf"/>
    <hyperlink ref="AE38" r:id="rId808" display="https://rennamedia.com/wp-content/uploads/2024/09/WarrenOctober2024.pdf"/>
    <hyperlink ref="AF38" r:id="rId809" display="https://rennamedia.com/wp-content/uploads/2024/09/WatchungOctober2024.pdf"/>
    <hyperlink ref="AG38" r:id="rId810" display="https://rennamedia.com/wp-content/uploads/2024/10/WestfieldOctober2024x.pdf"/>
    <hyperlink ref="B39" r:id="rId811" display="https://rennamedia.com/wp-content/uploads/2024/10/BerkeleyHeightsNovember2024.pdf"/>
    <hyperlink ref="C39" r:id="rId812" display="https://rennamedia.com/wp-content/uploads/2024/10/ClarkNovember2024.pdf"/>
    <hyperlink ref="D39" r:id="rId813" display="https://rennamedia.com/wp-content/uploads/2024/10/ChathamsNovember2024.pdf"/>
    <hyperlink ref="E39" r:id="rId814" display="https://rennamedia.com/wp-content/uploads/2024/10/CranfordNovember2024.pdf"/>
    <hyperlink ref="G39" r:id="rId815" display="https://rennamedia.com/wp-content/uploads/2024/10/ElmoraHillsMonthlyNovember2024.pdf"/>
    <hyperlink ref="H39" r:id="rId816" display="https://rennamedia.com/wp-content/uploads/2024/10/FanwoodNovember2024.pdf"/>
    <hyperlink ref="I39" r:id="rId817" display="https://rennamedia.com/wp-content/uploads/2024/10/FlorhamParkMonthlyNovember2024.pdf"/>
    <hyperlink ref="J39" r:id="rId818" display="https://rennamedia.com/wp-content/uploads/2024/10/GarwoodNovember2024.pdf"/>
    <hyperlink ref="K39" r:id="rId819" display="https://rennamedia.com/wp-content/uploads/2024/10/GreenBrookNovember2024.pdf"/>
    <hyperlink ref="M39" r:id="rId820" display="https://rennamedia.com/wp-content/uploads/2024/10/KenilworthNovember2024.pdf"/>
    <hyperlink ref="N39" r:id="rId821" display="https://rennamedia.com/wp-content/uploads/2024/10/LindenNovember2024.pdf"/>
    <hyperlink ref="Q39" r:id="rId822" display="https://rennamedia.com/wp-content/uploads/2024/10/MadisonNovember2024.pdf"/>
    <hyperlink ref="R39" r:id="rId823" display="https://rennamedia.com/wp-content/uploads/2024/10/MillburnShortHillsNovember2024.pdf"/>
    <hyperlink ref="S39" r:id="rId824" display="https://rennamedia.com/wp-content/uploads/2024/10/MountainsideNovember2024.pdf"/>
    <hyperlink ref="V39" r:id="rId825" display="https://rennamedia.com/wp-content/uploads/2024/10/NewProvidenceNovember2024.pdf"/>
    <hyperlink ref="W39" r:id="rId826" display="https://rennamedia.com/wp-content/uploads/2024/10/RahwayNovember2024.pdf"/>
    <hyperlink ref="Z39" r:id="rId827" display="https://rennamedia.com/wp-content/uploads/2024/10/RoselleParkNovember2024.pdf"/>
    <hyperlink ref="AA39" r:id="rId828" display="https://rennamedia.com/wp-content/uploads/2024/10/ScotchPlainsNovember2024.pdf"/>
    <hyperlink ref="AB39" r:id="rId829" display="https://rennamedia.com/wp-content/uploads/2024/10/UnionNovember2024.pdf"/>
    <hyperlink ref="AC39" r:id="rId830" display="https://rennamedia.com/wp-content/uploads/2024/10/SummitNovember2024.pdf"/>
    <hyperlink ref="AE39" r:id="rId831" display="https://rennamedia.com/wp-content/uploads/2024/10/WarrenNovember2024.pdf"/>
    <hyperlink ref="AF39" r:id="rId832" display="https://rennamedia.com/wp-content/uploads/2024/10/WatchungNovember2024.pdf"/>
    <hyperlink ref="AG39" r:id="rId833" display="https://rennamedia.com/wp-content/uploads/2024/10/WestfieldNovember2024.pdf"/>
    <hyperlink ref="B40" r:id="rId834" display="https://rennamedia.com/wp-content/uploads/2024/11/BerkeleyHeightsDecember2024.pdf"/>
    <hyperlink ref="C40" r:id="rId835" display="https://rennamedia.com/wp-content/uploads/2024/11/ClarkDecember2024.pdf"/>
    <hyperlink ref="D40" r:id="rId836" display="https://rennamedia.com/wp-content/uploads/2024/11/ChathamsDecember2024.pdf"/>
    <hyperlink ref="E40" r:id="rId837" display="https://rennamedia.com/wp-content/uploads/2024/11/CranfordDecember2024.pdf"/>
    <hyperlink ref="F40" r:id="rId838" display="https://rennamedia.com/wp-content/uploads/2024/11/EastHanoverViewDecember2024.pdf"/>
    <hyperlink ref="G40" r:id="rId839" display="https://rennamedia.com/wp-content/uploads/2024/11/ElmoraHillsMonthlyDecember2024.pdf"/>
    <hyperlink ref="H40" r:id="rId840" display="https://rennamedia.com/wp-content/uploads/2024/11/FanwoodDecember2024.pdf"/>
    <hyperlink ref="I40" r:id="rId841" display="https://rennamedia.com/wp-content/uploads/2024/11/FlorhamParkMonthlyDecember2024.pdf"/>
    <hyperlink ref="J40" r:id="rId842" display="https://rennamedia.com/wp-content/uploads/2024/11/GarwoodDecember2024.pdf"/>
    <hyperlink ref="K40" r:id="rId843" display="https://rennamedia.com/wp-content/uploads/2024/11/GreenBrookDecember2024.pdf"/>
    <hyperlink ref="L40" r:id="rId844" display="https://rennamedia.com/wp-content/uploads/2024/11/HanoverPressDecember2024.pdf"/>
    <hyperlink ref="M40" r:id="rId845" display="https://rennamedia.com/wp-content/uploads/2024/11/KenilworthDecember2024.pdf"/>
    <hyperlink ref="N40" r:id="rId846" display="https://rennamedia.com/wp-content/uploads/2024/11/LindenDecember2024.pdf"/>
    <hyperlink ref="O40" r:id="rId847" display="https://rennamedia.com/wp-content/uploads/2024/11/LivingstonMonthlyDecember2024.pdf"/>
    <hyperlink ref="P40" r:id="rId848" display="https://rennamedia.com/wp-content/uploads/2024/11/LongHillDecember2024.pdf"/>
    <hyperlink ref="Q40" r:id="rId849" display="https://rennamedia.com/wp-content/uploads/2024/11/MadisonDecember2024.pdf"/>
    <hyperlink ref="R40" r:id="rId850" display="https://rennamedia.com/wp-content/uploads/2024/11/MillburnShortHillsDecember2024.pdf"/>
    <hyperlink ref="S40" r:id="rId851" display="https://rennamedia.com/wp-content/uploads/2024/11/MountainsideDecember2024.pdf"/>
    <hyperlink ref="T40" r:id="rId852" display="https://rennamedia.com/wp-content/uploads/2024/11/MorristownMonthlyDecember2024.pdf"/>
    <hyperlink ref="U40" r:id="rId853" display="https://rennamedia.com/wp-content/uploads/2024/11/MorrisTownshipTimesDecember2024.pdf"/>
    <hyperlink ref="V40" r:id="rId854" display="https://rennamedia.com/wp-content/uploads/2024/11/NewProvidenceDecember2024.pdf"/>
    <hyperlink ref="W40" r:id="rId855" display="https://rennamedia.com/wp-content/uploads/2024/11/RahwayDecember2024.pdf"/>
    <hyperlink ref="Y40" r:id="rId856" display="https://rennamedia.com/wp-content/uploads/2024/11/LifeInRoselandDecember2024.pdf"/>
    <hyperlink ref="Z40" r:id="rId857" display="https://rennamedia.com/wp-content/uploads/2024/11/RoselleParkDecember2024.pdf"/>
    <hyperlink ref="AA40" r:id="rId858" display="https://rennamedia.com/wp-content/uploads/2024/11/ScotchPlainsDecember2024.pdf"/>
    <hyperlink ref="AB40" r:id="rId859" display="https://rennamedia.com/wp-content/uploads/2024/11/UnionDecember2024.pdf"/>
    <hyperlink ref="AC40" r:id="rId860" display="https://rennamedia.com/wp-content/uploads/2024/11/SummitDecember2024.pdf"/>
    <hyperlink ref="AE40" r:id="rId861" display="https://rennamedia.com/wp-content/uploads/2024/11/WarrenDecember2024.pdf"/>
    <hyperlink ref="AF40" r:id="rId862" display="https://rennamedia.com/wp-content/uploads/2024/11/WatchungDecember2024.pdf"/>
    <hyperlink ref="AG40" r:id="rId863" display="https://rennamedia.com/wp-content/uploads/2024/11/WestfieldDecember2024.pdf"/>
    <hyperlink ref="B41" r:id="rId864" display="https://rennamedia.com/wp-content/uploads/2024/12/BerkeleyHeightsJanuary2025.pdf"/>
    <hyperlink ref="C41" r:id="rId865" display="https://rennamedia.com/wp-content/uploads/2024/12/ClarkJanuary2025.pdf"/>
    <hyperlink ref="D41" r:id="rId866" display="https://rennamedia.com/wp-content/uploads/2024/12/ChathamsJanuary2025.pdf"/>
    <hyperlink ref="E41" r:id="rId867" display="https://rennamedia.com/wp-content/uploads/2024/12/CranfordJanuary2025.pdf"/>
    <hyperlink ref="F41" r:id="rId868" display="https://rennamedia.com/wp-content/uploads/2024/12/EastHanoverViewJanuary2025.pdf"/>
    <hyperlink ref="G41" r:id="rId869" display="https://rennamedia.com/wp-content/uploads/2024/12/ElmoraHillsMonthlyJanuary2025i.pdf"/>
    <hyperlink ref="H41" r:id="rId870" display="https://rennamedia.com/wp-content/uploads/2024/12/FanwoodJanuary2025.pdf"/>
    <hyperlink ref="I41" r:id="rId871" display="https://rennamedia.com/wp-content/uploads/2024/12/FlorhamParkMonthlyJanuary2025.pdf"/>
    <hyperlink ref="J41" r:id="rId872" display="https://rennamedia.com/wp-content/uploads/2024/12/GarwoodJanuary2025.pdf"/>
    <hyperlink ref="K41" r:id="rId873" display="https://rennamedia.com/wp-content/uploads/2024/12/GreenBrookJanuary2025.pdf"/>
    <hyperlink ref="L41" r:id="rId874" display="https://rennamedia.com/wp-content/uploads/2024/12/HanoverPressJanuary2025.pdf"/>
    <hyperlink ref="M41" r:id="rId875" display="https://rennamedia.com/wp-content/uploads/2024/12/KenilworthJanuary2025.pdf"/>
    <hyperlink ref="N41" r:id="rId876" display="https://rennamedia.com/wp-content/uploads/2024/12/LindenJanuary2025.pdf"/>
    <hyperlink ref="O41" r:id="rId877" display="https://rennamedia.com/wp-content/uploads/2024/12/LivingstonMonthlyJanuary2025.pdf"/>
    <hyperlink ref="P41" r:id="rId878" display="https://rennamedia.com/wp-content/uploads/2024/12/LongHillJanuary2025.pdf"/>
    <hyperlink ref="Q41" r:id="rId879" display="https://rennamedia.com/wp-content/uploads/2024/12/MadisonJanuary2025.pdf"/>
    <hyperlink ref="R41" r:id="rId880" display="https://rennamedia.com/wp-content/uploads/2024/12/MillburnShortHillsJanuary2025.pdf"/>
    <hyperlink ref="S41" r:id="rId881" display="https://rennamedia.com/wp-content/uploads/2025/01/MountainsideJanuary2025.pdf"/>
    <hyperlink ref="T41" r:id="rId882" display="https://rennamedia.com/wp-content/uploads/2024/12/MorristownMonthlyJanuary2025.pdf"/>
    <hyperlink ref="U41" r:id="rId883" display="https://rennamedia.com/wp-content/uploads/2024/12/MorrisTownshipTimesJanuary2025.pdf"/>
    <hyperlink ref="V41" r:id="rId884" display="https://rennamedia.com/wp-content/uploads/2024/12/NewProvidenceJanuary2025.pdf"/>
    <hyperlink ref="W41" r:id="rId885" display="https://rennamedia.com/wp-content/uploads/2024/12/RahwayJanuary2025.pdf"/>
    <hyperlink ref="Y41" r:id="rId886" display="https://rennamedia.com/wp-content/uploads/2024/12/LifeInRoselandJanuary2025.pdf"/>
    <hyperlink ref="Z41" r:id="rId887" display="https://rennamedia.com/wp-content/uploads/2024/12/RoselleParkJanuary2025.pdf"/>
    <hyperlink ref="AA41" r:id="rId888" display="https://rennamedia.com/wp-content/uploads/2024/12/ScotchPlainsJanuary2025.pdf"/>
    <hyperlink ref="AB41" r:id="rId889" display="https://rennamedia.com/wp-content/uploads/2024/12/UnionJanuary2025.pdf"/>
    <hyperlink ref="AC41" r:id="rId890" display="https://rennamedia.com/wp-content/uploads/2024/12/SummitJanuary2025.pdf"/>
    <hyperlink ref="AE41" r:id="rId891" display="https://rennamedia.com/wp-content/uploads/2024/12/WarrenJanuary2025.pdf"/>
    <hyperlink ref="AF41" r:id="rId892" display="https://rennamedia.com/wp-content/uploads/2024/12/WatchungJanuary2025.pdf"/>
    <hyperlink ref="AG41" r:id="rId893" display="https://rennamedia.com/wp-content/uploads/2024/12/WestfieldJanuary2025.pdf"/>
    <hyperlink ref="B42" r:id="rId894" display="https://rennamedia.com/wp-content/uploads/2025/02/BerkeleyHeightsFebruary2025.pdf"/>
    <hyperlink ref="C42" r:id="rId895" display="https://rennamedia.com/wp-content/uploads/2025/02/ClarkFebruary2025.pdf"/>
    <hyperlink ref="D42" r:id="rId896" display="https://rennamedia.com/wp-content/uploads/2025/02/ChathamsFebruary2025.pdf"/>
    <hyperlink ref="E42" r:id="rId897" display="https://rennamedia.com/wp-content/uploads/2025/02/CranfordFebruary2025.pdf"/>
    <hyperlink ref="F42" r:id="rId898" display="https://rennamedia.com/wp-content/uploads/2025/02/EastHanoverViewFebruary2025.pdf"/>
    <hyperlink ref="G42" r:id="rId899" display="https://rennamedia.com/wp-content/uploads/2025/02/ElmoraHillsMonthlyFebruary2025.pdf"/>
    <hyperlink ref="H42" r:id="rId900" display="https://rennamedia.com/wp-content/uploads/2025/02/FanwoodFebruary2025.pdf"/>
    <hyperlink ref="I42" r:id="rId901" display="https://rennamedia.com/wp-content/uploads/2025/02/FlorhamParkMonthlyFebruary2025.pdf"/>
    <hyperlink ref="J42" r:id="rId902" display="https://rennamedia.com/wp-content/uploads/2025/02/GarwoodFebruary2025.pdf"/>
    <hyperlink ref="K42" r:id="rId903" display="https://rennamedia.com/wp-content/uploads/2025/02/GreenBrookFebruary2025.pdf"/>
    <hyperlink ref="L42" r:id="rId904" display="https://rennamedia.com/wp-content/uploads/2025/02/HanoverPressFebruary2025.pdf"/>
    <hyperlink ref="M42" r:id="rId905" display="https://rennamedia.com/wp-content/uploads/2025/02/KenilworthFebruary2025.pdf"/>
    <hyperlink ref="N42" r:id="rId906" display="https://rennamedia.com/wp-content/uploads/2025/02/LindenFebruary2025.pdf"/>
    <hyperlink ref="O42" r:id="rId907" display="https://rennamedia.com/wp-content/uploads/2025/02/LindenFebruary2025.pdf"/>
    <hyperlink ref="P42" r:id="rId908" display="https://rennamedia.com/wp-content/uploads/2025/02/LongHillFebruary2025.pdf"/>
    <hyperlink ref="Q42" r:id="rId909" display="https://rennamedia.com/wp-content/uploads/2025/02/MadisonFebruary2025.pdf"/>
    <hyperlink ref="R42" r:id="rId910" display="https://rennamedia.com/wp-content/uploads/2025/02/MillburnShortHillsFebruary2025.pdf"/>
    <hyperlink ref="S42" r:id="rId911" display="https://rennamedia.com/wp-content/uploads/2025/02/MountainsideFebruary2025.pdf"/>
    <hyperlink ref="T42" r:id="rId912" display="https://rennamedia.com/wp-content/uploads/2025/02/MorristownMonthlyFebruary2025.pdf"/>
    <hyperlink ref="U42" r:id="rId913" display="https://rennamedia.com/wp-content/uploads/2025/02/MorrisTownshipTimesFebruary2025.pdf"/>
    <hyperlink ref="V42" r:id="rId914" display="https://rennamedia.com/wp-content/uploads/2025/02/NewProvidenceFebruary2025.pdf"/>
    <hyperlink ref="W42" r:id="rId915" display="https://rennamedia.com/wp-content/uploads/2025/02/RahwayFebruary2025.pdf"/>
    <hyperlink ref="Y42" r:id="rId916" display="https://rennamedia.com/wp-content/uploads/2025/02/LifeInRoselandFebruary2025.pdf"/>
    <hyperlink ref="Z42" r:id="rId917" display="https://rennamedia.com/wp-content/uploads/2025/02/RoselleParkFebruary2025.pdf"/>
    <hyperlink ref="AA42" r:id="rId918" display="https://rennamedia.com/wp-content/uploads/2025/02/ScotchPlainsFebruary2025.pdf"/>
    <hyperlink ref="AB42" r:id="rId919" display="https://rennamedia.com/wp-content/uploads/2025/02/UnionFebruary2025.pdf"/>
    <hyperlink ref="AC42" r:id="rId920" display="https://rennamedia.com/wp-content/uploads/2025/02/SummitFebruary2025.pdf"/>
    <hyperlink ref="AE42" r:id="rId921" display="https://rennamedia.com/wp-content/uploads/2025/02/WarrenFebruary2025.pdf"/>
    <hyperlink ref="AF42" r:id="rId922" display="https://rennamedia.com/wp-content/uploads/2025/02/WatchungFebruary2025.pdf"/>
    <hyperlink ref="AG42" r:id="rId923" display="https://rennamedia.com/wp-content/uploads/2025/02/WestfieldFebruary2025.pdf"/>
    <hyperlink ref="B43" r:id="rId924" display="https://rennamedia.com/wp-content/uploads/2025/02/BerkeleyHeightsMarch2025.pdf"/>
    <hyperlink ref="C43" r:id="rId925" display="https://rennamedia.com/wp-content/uploads/2025/02/ClarkMarch2025.pdf"/>
    <hyperlink ref="D43" r:id="rId926" display="https://rennamedia.com/wp-content/uploads/2025/02/ChathamsMarch2025.pdf"/>
    <hyperlink ref="E43" r:id="rId927" display="https://rennamedia.com/wp-content/uploads/2025/02/CranfordMarch2025.pdf"/>
    <hyperlink ref="F43" r:id="rId928" display="https://rennamedia.com/wp-content/uploads/2025/02/EastHanoverViewMarch2025.pdf"/>
    <hyperlink ref="G43" r:id="rId929" display="https://rennamedia.com/wp-content/uploads/2025/02/ElmoraHillsMonthlyMarch2025.pdf"/>
    <hyperlink ref="H43" r:id="rId930" display="https://rennamedia.com/wp-content/uploads/2025/02/FanwoodMarch2025.pdf"/>
    <hyperlink ref="I43" r:id="rId931" display="https://rennamedia.com/wp-content/uploads/2025/02/FlorhamParkMonthlyMarch2025.pdf"/>
    <hyperlink ref="J43" r:id="rId932" display="https://rennamedia.com/wp-content/uploads/2025/02/GarwoodMarch2025.pdf"/>
    <hyperlink ref="K43" r:id="rId933" display="https://rennamedia.com/wp-content/uploads/2025/02/GreenBrookMarch2025.pdf"/>
    <hyperlink ref="L43" r:id="rId934" display="https://rennamedia.com/wp-content/uploads/2025/02/HanoverPressMarch2025.pdf"/>
    <hyperlink ref="M43" r:id="rId935" display="https://rennamedia.com/wp-content/uploads/2025/02/KenilworthMarch2025.pdf"/>
    <hyperlink ref="N43" r:id="rId936" display="https://rennamedia.com/wp-content/uploads/2025/02/LindenMarch2025.pdf"/>
    <hyperlink ref="O43" r:id="rId937" display="https://rennamedia.com/wp-content/uploads/2025/02/LivingstonMonthlyMarch2025.pdf"/>
    <hyperlink ref="P43" r:id="rId938" display="https://rennamedia.com/wp-content/uploads/2025/02/LongHillMarch2025.pdf"/>
    <hyperlink ref="Q43" r:id="rId939" display="https://rennamedia.com/wp-content/uploads/2025/02/MadisonMarch2025.pdf"/>
    <hyperlink ref="R43" r:id="rId940" display="https://rennamedia.com/wp-content/uploads/2025/02/MillburnShortHillsMarch2025.pdf"/>
    <hyperlink ref="S43" r:id="rId941" display="https://rennamedia.com/wp-content/uploads/2025/02/MountainsideMarch2025.pdf"/>
    <hyperlink ref="T43" r:id="rId942" display="https://rennamedia.com/wp-content/uploads/2025/02/MorristownMonthlyMarch2025.pdf"/>
    <hyperlink ref="U43" r:id="rId943" display="https://rennamedia.com/wp-content/uploads/2025/02/MorrisTownshipTimesMarch2025.pdf"/>
    <hyperlink ref="V43" r:id="rId944" display="https://rennamedia.com/wp-content/uploads/2025/02/NewProvidenceMarch2025.pdf"/>
    <hyperlink ref="W43" r:id="rId945" display="https://rennamedia.com/wp-content/uploads/2025/02/RahwayMarch2025.pdf"/>
    <hyperlink ref="Y43" r:id="rId946" display="https://rennamedia.com/wp-content/uploads/2025/02/LifeInRoselandMarch2025.pdf"/>
    <hyperlink ref="Z43" r:id="rId947" display="https://rennamedia.com/wp-content/uploads/2025/02/RoselleParkMarch2025.pdf"/>
    <hyperlink ref="AA43" r:id="rId948" display="https://rennamedia.com/wp-content/uploads/2025/02/ScotchPlainsMarch2025.pdf"/>
    <hyperlink ref="AB43" r:id="rId949" display="https://rennamedia.com/wp-content/uploads/2025/02/UnionMarch2025.pdf"/>
    <hyperlink ref="AC43" r:id="rId950" display="https://rennamedia.com/wp-content/uploads/2025/02/SummitMarch2025.pdf"/>
    <hyperlink ref="AE43" r:id="rId951" display="https://rennamedia.com/wp-content/uploads/2025/02/WarrenMarch2025.pdf"/>
    <hyperlink ref="AF43" r:id="rId952" display="https://rennamedia.com/wp-content/uploads/2025/02/WatchungMarch2025.pdf"/>
    <hyperlink ref="AG43" r:id="rId953" display="https://rennamedia.com/wp-content/uploads/2025/02/WestfieldMarch2025.pdf"/>
    <hyperlink ref="B44" r:id="rId954" display="https://rennamedia.com/wp-content/uploads/2025/03/BerkeleyHeightsApril2025.pdf"/>
    <hyperlink ref="C44" r:id="rId955" display="https://rennamedia.com/wp-content/uploads/2025/03/ClarkApril2025.pdf"/>
    <hyperlink ref="D44" r:id="rId956" display="https://rennamedia.com/wp-content/uploads/2025/03/ChathamsApril2025.pdf"/>
    <hyperlink ref="E44" r:id="rId957" display="https://rennamedia.com/wp-content/uploads/2025/03/CranfordApril2025.pdf"/>
    <hyperlink ref="F44" r:id="rId958" display="https://rennamedia.com/wp-content/uploads/2025/03/EastHanoverViewApril2025.pdf"/>
    <hyperlink ref="G44" r:id="rId959" display="https://rennamedia.com/wp-content/uploads/2025/03/ElmoraHillsMonthlyApril2025.pdf"/>
    <hyperlink ref="H44" r:id="rId960" display="https://rennamedia.com/wp-content/uploads/2025/03/FanwoodApril2025.pdf"/>
    <hyperlink ref="I44" r:id="rId961" display="https://rennamedia.com/wp-content/uploads/2025/03/FlorhamParkMonthlyApril2025.pdf"/>
    <hyperlink ref="J44" r:id="rId962" display="https://rennamedia.com/wp-content/uploads/2025/03/GarwoodApril2025i.pdf"/>
    <hyperlink ref="K44" r:id="rId963" display="https://rennamedia.com/wp-content/uploads/2025/03/GreenBrookApril2025.pdf"/>
    <hyperlink ref="L44" r:id="rId964" display="https://rennamedia.com/wp-content/uploads/2025/03/HanoverPressApril2025.pdf"/>
    <hyperlink ref="M44" r:id="rId965" display="https://rennamedia.com/wp-content/uploads/2025/03/KenilworthApril2025.pdf"/>
    <hyperlink ref="N44" r:id="rId966" display="https://rennamedia.com/wp-content/uploads/2025/03/LindenApril2025.pdf"/>
    <hyperlink ref="O44" r:id="rId967" display="https://rennamedia.com/wp-content/uploads/2025/03/LivingstonMonthlyApril2025.pdf"/>
    <hyperlink ref="P44" r:id="rId968" display="https://rennamedia.com/wp-content/uploads/2025/03/LongHillApril2025.pdf"/>
    <hyperlink ref="Q44" r:id="rId969" display="https://rennamedia.com/wp-content/uploads/2025/03/MadisonApril2025.pdf"/>
    <hyperlink ref="R44" r:id="rId970" display="https://rennamedia.com/wp-content/uploads/2025/03/MillburnShortHillsApril2025.pdf"/>
    <hyperlink ref="S44" r:id="rId971" display="https://rennamedia.com/wp-content/uploads/2025/03/MountainsideApril2025.pdf"/>
    <hyperlink ref="T44" r:id="rId972" display="https://rennamedia.com/wp-content/uploads/2025/03/MorristownMonthlyApril2025.pdf"/>
    <hyperlink ref="U44" r:id="rId973" display="https://rennamedia.com/wp-content/uploads/2025/03/MorrisTownshipTimesApril2025.pdf"/>
    <hyperlink ref="V44" r:id="rId974" display="https://rennamedia.com/wp-content/uploads/2025/03/NewProvidenceApril2025.pdf"/>
    <hyperlink ref="W44" r:id="rId975" display="https://rennamedia.com/wp-content/uploads/2025/03/RahwayApril202.pdf"/>
    <hyperlink ref="Y44" r:id="rId976" display="https://rennamedia.com/wp-content/uploads/2025/03/LifeInRoselandApril2025.pdf"/>
    <hyperlink ref="Z44" r:id="rId977" display="https://rennamedia.com/wp-content/uploads/2025/03/RoselleParkApril2025.pdf"/>
    <hyperlink ref="AA44" r:id="rId978" display="https://rennamedia.com/wp-content/uploads/2025/03/ScotchPlainsApril2025.pdf"/>
    <hyperlink ref="AB44" r:id="rId979" display="https://rennamedia.com/wp-content/uploads/2025/03/UnionApril2025.pdf"/>
    <hyperlink ref="AC44" r:id="rId980" display="https://rennamedia.com/wp-content/uploads/2025/02/SummitMarch2025.pdf"/>
    <hyperlink ref="AE44" r:id="rId981" display="https://rennamedia.com/wp-content/uploads/2025/03/WarrenApril2025.pdf"/>
    <hyperlink ref="AF44" r:id="rId982" display="https://rennamedia.com/wp-content/uploads/2025/03/WatchungApril2025.pdf"/>
    <hyperlink ref="AG44" r:id="rId983" display="https://rennamedia.com/wp-content/uploads/2025/03/WestfieldApril2025.pdf"/>
    <hyperlink ref="B45" r:id="rId984" display="https://rennamedia.com/wp-content/uploads/2025/04/BerkeleyHeightsMay2025.pdf"/>
    <hyperlink ref="C45" r:id="rId985" display="https://rennamedia.com/wp-content/uploads/2025/04/ClarkMay2025.pdf"/>
    <hyperlink ref="D45" r:id="rId986" display="https://rennamedia.com/wp-content/uploads/2025/04/ChathamsMay2025.pdf"/>
    <hyperlink ref="E45" r:id="rId987" display="https://rennamedia.com/wp-content/uploads/2025/04/CranfordMay2025.pdf"/>
    <hyperlink ref="F45" r:id="rId988" display="https://rennamedia.com/wp-content/uploads/2025/04/EastHanoverViewMay2025.pdf"/>
    <hyperlink ref="G45" r:id="rId989" display="https://rennamedia.com/wp-content/uploads/2025/04/ElmoraHillsMonthlyMay2025.pdf"/>
    <hyperlink ref="H45" r:id="rId990" display="https://rennamedia.com/wp-content/uploads/2025/04/FanwoodMay2025.pdf"/>
    <hyperlink ref="I45" r:id="rId991" display="https://rennamedia.com/wp-content/uploads/2025/04/FlorhamParkMonthlyMay2025.pdf"/>
    <hyperlink ref="J45" r:id="rId992" display="https://rennamedia.com/wp-content/uploads/2025/04/GarwoodMay2025.pdf"/>
    <hyperlink ref="K45" r:id="rId993" display="https://rennamedia.com/wp-content/uploads/2025/04/GreenBrookMay2025.pdf"/>
    <hyperlink ref="L45" r:id="rId994" display="https://rennamedia.com/wp-content/uploads/2025/04/HanoverPressMay2025.pdf"/>
    <hyperlink ref="M45" r:id="rId995" display="https://rennamedia.com/wp-content/uploads/2025/04/KenilworthMay2025.pdf"/>
    <hyperlink ref="N45" r:id="rId996" display="https://rennamedia.com/wp-content/uploads/2025/04/LindenMay2025.pdf"/>
    <hyperlink ref="O45" r:id="rId997" display="https://rennamedia.com/wp-content/uploads/2025/04/LivingstonMonthlyMay2025.pdf"/>
    <hyperlink ref="P45" r:id="rId998" display="https://rennamedia.com/wp-content/uploads/2025/04/LongHillMay2025.pdf"/>
    <hyperlink ref="Q45" r:id="rId999" display="https://rennamedia.com/wp-content/uploads/2025/04/MadisonMay2025.pdf"/>
    <hyperlink ref="R45" r:id="rId1000" display="https://rennamedia.com/wp-content/uploads/2025/04/MillburnShortHillsMay2025.pdf"/>
    <hyperlink ref="S45" r:id="rId1001" display="https://rennamedia.com/wp-content/uploads/2025/04/MountainsideMay2025.pdf"/>
    <hyperlink ref="T45" r:id="rId1002" display="https://rennamedia.com/wp-content/uploads/2025/04/MorristownMonthlyMay2025.pdf"/>
    <hyperlink ref="U45" r:id="rId1003" display="https://rennamedia.com/wp-content/uploads/2025/04/MorrisTownshipTimesMay2025.pdf"/>
    <hyperlink ref="V45" r:id="rId1004" display="https://rennamedia.com/wp-content/uploads/2025/04/NewProvidenceMay2025.pdf"/>
    <hyperlink ref="W45" r:id="rId1005" display="https://rennamedia.com/wp-content/uploads/2025/04/RahwayMay2025.pdf"/>
    <hyperlink ref="Y45" r:id="rId1006" display="https://rennamedia.com/wp-content/uploads/2025/04/LifeInRoselandMay2025.pdf"/>
    <hyperlink ref="Z45" r:id="rId1007" display="https://rennamedia.com/wp-content/uploads/2025/04/RoselleParkMay2025.pdf"/>
    <hyperlink ref="AA45" r:id="rId1008" display="https://rennamedia.com/wp-content/uploads/2025/04/ScotchPlainsMay2025.pdf"/>
    <hyperlink ref="AB45" r:id="rId1009" display="https://rennamedia.com/wp-content/uploads/2025/04/UnionMay2025.pdf"/>
    <hyperlink ref="AC45" r:id="rId1010" display="https://rennamedia.com/wp-content/uploads/2025/04/SummitMay2025.pdf"/>
    <hyperlink ref="AE45" r:id="rId1011" display="https://rennamedia.com/wp-content/uploads/2025/04/WarrenMay2025.pdf"/>
    <hyperlink ref="AF45" r:id="rId1012" display="https://rennamedia.com/wp-content/uploads/2025/04/WatchungMay2025.pdf"/>
    <hyperlink ref="AG45" r:id="rId1013" display="https://rennamedia.com/wp-content/uploads/2025/04/WestfieldMay2025.pdf"/>
    <hyperlink ref="B46" r:id="rId1014" display="https://rennamedia.com/wp-content/uploads/2025/05/BerkeleyHeightsJune2025.pdf"/>
    <hyperlink ref="C46" r:id="rId1015" display="https://rennamedia.com/wp-content/uploads/2025/05/ClarkJune2025.pdf"/>
    <hyperlink ref="D46" r:id="rId1016" display="https://rennamedia.com/wp-content/uploads/2025/05/ChathamsJune2025.pdf"/>
    <hyperlink ref="E46" r:id="rId1017" display="https://rennamedia.com/wp-content/uploads/2025/05/CranfordJune2025.pdf"/>
    <hyperlink ref="F46" r:id="rId1018" display="https://rennamedia.com/wp-content/uploads/2025/05/EastHanoverViewJune2025.pdf"/>
    <hyperlink ref="G46" r:id="rId1019" display="https://rennamedia.com/wp-content/uploads/2025/05/ElmoraHillsMonthlyJune2025.pdf"/>
    <hyperlink ref="H46" r:id="rId1020" display="https://rennamedia.com/wp-content/uploads/2025/05/FanwoodJune2025.pdf"/>
    <hyperlink ref="I46" r:id="rId1021" display="https://rennamedia.com/wp-content/uploads/2025/05/FlorhamParkMonthlyJune2025.pdf"/>
    <hyperlink ref="J46" r:id="rId1022" display="https://rennamedia.com/wp-content/uploads/2025/05/GarwoodJune2025.pdf"/>
    <hyperlink ref="K46" r:id="rId1023" display="https://rennamedia.com/wp-content/uploads/2025/05/GreenBrookJune2025.pdf"/>
    <hyperlink ref="L46" r:id="rId1024" display="https://rennamedia.com/wp-content/uploads/2025/05/HanoverPressJune2025.pdf"/>
    <hyperlink ref="M46" r:id="rId1025" display="https://rennamedia.com/wp-content/uploads/2025/05/KenilworthJune2025.pdf"/>
    <hyperlink ref="N46" r:id="rId1026" display="https://rennamedia.com/wp-content/uploads/2025/05/LindenJune2025.pdf"/>
    <hyperlink ref="O46" r:id="rId1027" display="https://rennamedia.com/wp-content/uploads/2025/05/LivingstonMonthlyJune2025.pdf"/>
    <hyperlink ref="P46" r:id="rId1028" display="https://rennamedia.com/wp-content/uploads/2025/05/LongHillJune2025.pdf"/>
    <hyperlink ref="Q46" r:id="rId1029" display="https://rennamedia.com/wp-content/uploads/2025/05/MadisonJune2025.pdf"/>
    <hyperlink ref="R46" r:id="rId1030" display="https://rennamedia.com/wp-content/uploads/2025/05/MillburnShortHillsJune2025.pdf"/>
    <hyperlink ref="S46" r:id="rId1031" display="https://rennamedia.com/wp-content/uploads/2025/05/MountainsideJune2025.pdf"/>
    <hyperlink ref="T46" r:id="rId1032" display="https://rennamedia.com/wp-content/uploads/2025/05/MorristownMonthlyJune2025.pdf"/>
    <hyperlink ref="U46" r:id="rId1033" display="https://rennamedia.com/wp-content/uploads/2025/05/MorrisTownshipTimesJune2025.pdf"/>
    <hyperlink ref="V46" r:id="rId1034" display="https://rennamedia.com/wp-content/uploads/2025/05/NewProvidenceJune2025.pdf"/>
    <hyperlink ref="W46" r:id="rId1035" display="https://rennamedia.com/wp-content/uploads/2025/05/RahwayJune2025.pdf"/>
    <hyperlink ref="Y46" r:id="rId1036" display="https://rennamedia.com/wp-content/uploads/2025/05/LifeInRoselandJune2025.pdf"/>
    <hyperlink ref="Z46" r:id="rId1037" display="https://rennamedia.com/wp-content/uploads/2025/05/RoselleParkJune2025.pdf"/>
    <hyperlink ref="AA46" r:id="rId1038" display="https://rennamedia.com/wp-content/uploads/2025/05/ScotchPlainsJune2025.pdf"/>
    <hyperlink ref="AB46" r:id="rId1039" display="https://rennamedia.com/wp-content/uploads/2025/05/UnionJune2025.pdf"/>
    <hyperlink ref="AC46" r:id="rId1040" display="https://rennamedia.com/wp-content/uploads/2025/05/SummitJune2025.pdf"/>
    <hyperlink ref="AE46" r:id="rId1041" display="https://rennamedia.com/wp-content/uploads/2025/05/WarrenJune2025.pdf"/>
    <hyperlink ref="AF46" r:id="rId1042" display="https://rennamedia.com/wp-content/uploads/2025/05/WatchungJune2025.pdf"/>
    <hyperlink ref="AG46" r:id="rId1043" display="https://rennamedia.com/wp-content/uploads/2025/05/WestfieldJune2025.pdf"/>
    <hyperlink ref="B47" r:id="rId1044" display="https://rennamedia.com/wp-content/uploads/2025/06/BerkeleyHeightsJuly2025.pdf"/>
    <hyperlink ref="C47" r:id="rId1045" display="https://rennamedia.com/wp-content/uploads/2025/06/ClarkJuly2025.pdf"/>
    <hyperlink ref="D47" r:id="rId1046" display="https://rennamedia.com/wp-content/uploads/2025/06/ChathamsJuly2025.pdf"/>
    <hyperlink ref="E47" r:id="rId1047" display="https://rennamedia.com/wp-content/uploads/2025/06/CranfordJuly2025.pdf"/>
    <hyperlink ref="F47" r:id="rId1048" display="https://rennamedia.com/wp-content/uploads/2025/06/EastHanoverViewJuly2025.pdf"/>
    <hyperlink ref="G47" r:id="rId1049" display="https://rennamedia.com/wp-content/uploads/2025/06/ElmoraHillsMonthlyJuly2025.pdf"/>
    <hyperlink ref="H47" r:id="rId1050" display="https://rennamedia.com/wp-content/uploads/2025/06/FanwoodJuly2025.pdf"/>
    <hyperlink ref="I47" r:id="rId1051" display="https://rennamedia.com/wp-content/uploads/2025/06/FlorhamParkMonthlyJuly2025.pdf"/>
    <hyperlink ref="J47" r:id="rId1052" display="https://rennamedia.com/wp-content/uploads/2025/06/GarwoodJuly2025.pdf"/>
    <hyperlink ref="K47" r:id="rId1053" display="https://rennamedia.com/wp-content/uploads/2025/06/GreenBrookJuly2025.pdf"/>
    <hyperlink ref="L47" r:id="rId1054" display="https://rennamedia.com/wp-content/uploads/2025/06/HanoverPressJuly2025.pdf"/>
    <hyperlink ref="M47" r:id="rId1055" display="https://rennamedia.com/wp-content/uploads/2025/06/KenilworthJuly2025.pdf"/>
    <hyperlink ref="N47" r:id="rId1056" display="https://rennamedia.com/wp-content/uploads/2025/06/LindenJuly2025.pdf"/>
    <hyperlink ref="O47" r:id="rId1057" display="https://rennamedia.com/wp-content/uploads/2025/06/LivingstonMonthlyJuly2025.pdf"/>
    <hyperlink ref="P47" r:id="rId1058" display="https://rennamedia.com/wp-content/uploads/2025/06/LongHillJuly2025.pdf"/>
    <hyperlink ref="Q47" r:id="rId1059" display="https://rennamedia.com/wp-content/uploads/2025/06/MadisonJuly2025.pdf"/>
    <hyperlink ref="R47" r:id="rId1060" display="https://rennamedia.com/wp-content/uploads/2025/06/MillburnShortHillsJuly2025.pdf"/>
    <hyperlink ref="S47" r:id="rId1061" display="https://rennamedia.com/wp-content/uploads/2025/06/MountainsideJuly2025.pdf"/>
    <hyperlink ref="T47" r:id="rId1062" display="https://rennamedia.com/wp-content/uploads/2025/06/MorristownMonthlyJuly2025b.pdf"/>
    <hyperlink ref="U47" r:id="rId1063" display="https://rennamedia.com/wp-content/uploads/2025/06/MorrisTownshipTimesJuly2025b.pdf"/>
    <hyperlink ref="V47" r:id="rId1064" display="https://rennamedia.com/wp-content/uploads/2025/06/NewProvidenceJuly2025.pdf"/>
    <hyperlink ref="W47" r:id="rId1065" display="https://rennamedia.com/wp-content/uploads/2025/06/RahwayJuly2025.pdf"/>
    <hyperlink ref="Y47" r:id="rId1066" display="https://rennamedia.com/wp-content/uploads/2025/06/LifeInRoselandJuly2025.pdf"/>
    <hyperlink ref="Z47" r:id="rId1067" display="https://rennamedia.com/wp-content/uploads/2025/06/RoselleParkJuly2025.pdf"/>
    <hyperlink ref="AA47" r:id="rId1068" display="https://rennamedia.com/wp-content/uploads/2025/06/ScotchPlainsJuly2025.pdf"/>
    <hyperlink ref="AB47" r:id="rId1069" display="https://rennamedia.com/wp-content/uploads/2025/06/UnionJuly2025.pdf"/>
    <hyperlink ref="AC47" r:id="rId1070" display="https://rennamedia.com/wp-content/uploads/2025/06/SummitJuly2025.pdf"/>
    <hyperlink ref="AE47" r:id="rId1071" display="https://rennamedia.com/wp-content/uploads/2025/06/WarrenJuly2025.pdf"/>
    <hyperlink ref="AF47" r:id="rId1072" display="https://rennamedia.com/wp-content/uploads/2025/06/WatchungJuly2025.pdf"/>
    <hyperlink ref="AG47" r:id="rId1073" display="https://rennamedia.com/wp-content/uploads/2025/06/WestfieldJuly2025.pdf"/>
    <hyperlink ref="B48" r:id="rId1074" display="https://rennamedia.com/wp-content/uploads/2025/07/BerkeleyHeightsAugust2025.pdf"/>
    <hyperlink ref="C48" r:id="rId1075" display="https://rennamedia.com/wp-content/uploads/2025/07/ClarkAugust2025.pdf"/>
    <hyperlink ref="D48" r:id="rId1076" display="https://rennamedia.com/wp-content/uploads/2025/07/ChathamsAugust2025.pdf"/>
    <hyperlink ref="E48" r:id="rId1077" display="https://rennamedia.com/wp-content/uploads/2025/07/CranfordJAugust2025.pdf"/>
    <hyperlink ref="F48" r:id="rId1078" display="https://rennamedia.com/wp-content/uploads/2025/07/EastHanoverViewAugust2025.pdf"/>
    <hyperlink ref="G48" r:id="rId1079" display="https://rennamedia.com/wp-content/uploads/2025/07/ElmoraHillsMonthlyAugust2025.pdf"/>
    <hyperlink ref="H48" r:id="rId1080" display="https://rennamedia.com/wp-content/uploads/2025/07/FanwoodAugust2025.pdf"/>
    <hyperlink ref="I48" r:id="rId1081" display="https://rennamedia.com/wp-content/uploads/2025/07/FlorhamParkMonthlyAugust2025.pdf"/>
    <hyperlink ref="J48" r:id="rId1082" display="https://rennamedia.com/wp-content/uploads/2025/07/GarwoodAugust2025.pdf"/>
    <hyperlink ref="K48" r:id="rId1083" display="https://rennamedia.com/wp-content/uploads/2025/07/GreenBrookAugust2025.pdf"/>
    <hyperlink ref="L48" r:id="rId1084" display="https://rennamedia.com/wp-content/uploads/2025/07/HanoverPressAugust2025.pdf"/>
    <hyperlink ref="M48" r:id="rId1085" display="https://rennamedia.com/wp-content/uploads/2025/07/KenilworthAugust2025.pdf"/>
    <hyperlink ref="N48" r:id="rId1086" display="https://rennamedia.com/wp-content/uploads/2025/07/LindenAugust2025.pdf"/>
    <hyperlink ref="O48" r:id="rId1087" display="https://rennamedia.com/wp-content/uploads/2025/07/LivingstonMonthlyAugust2025.pdf"/>
    <hyperlink ref="P48" r:id="rId1088" display="https://rennamedia.com/wp-content/uploads/2025/07/LongHillAugust2025.pdf"/>
    <hyperlink ref="Q48" r:id="rId1089" display="https://rennamedia.com/wp-content/uploads/2025/07/MadisonAugust2025.pdf"/>
    <hyperlink ref="R48" r:id="rId1090" display="https://rennamedia.com/wp-content/uploads/2025/07/MillburnShortHillsAugust2025.pdf"/>
    <hyperlink ref="S48" r:id="rId1091" display="https://rennamedia.com/wp-content/uploads/2025/07/MountainsideAugust2025.pdf"/>
    <hyperlink ref="T48" r:id="rId1092" display="https://rennamedia.com/wp-content/uploads/2025/07/MorristownMonthlyAugust2025.pdf"/>
    <hyperlink ref="U48" r:id="rId1093" display="https://rennamedia.com/wp-content/uploads/2025/07/MorrisTownshipTimesAugust2025.pdf"/>
    <hyperlink ref="V48" r:id="rId1094" display="https://rennamedia.com/wp-content/uploads/2025/07/NewProvidenceAugust2025.pdf"/>
    <hyperlink ref="W48" r:id="rId1095" display="https://rennamedia.com/wp-content/uploads/2025/07/RahwayAugust2025.pdf"/>
    <hyperlink ref="Y48" r:id="rId1096" display="https://rennamedia.com/wp-content/uploads/2025/07/LifeInRoselandAugust2025.pdf"/>
    <hyperlink ref="Z48" r:id="rId1097" display="https://rennamedia.com/wp-content/uploads/2025/07/RoselleParkAugust2025.pdf"/>
    <hyperlink ref="AA48" r:id="rId1098" display="https://rennamedia.com/wp-content/uploads/2025/07/ScotchPlainsAugust2025.pdf"/>
    <hyperlink ref="AB48" r:id="rId1099" display="https://rennamedia.com/wp-content/uploads/2025/07/UnionAugust2025.pdf"/>
    <hyperlink ref="AC48" r:id="rId1100" display="https://rennamedia.com/wp-content/uploads/2025/07/SummitAugust2025.pdf"/>
    <hyperlink ref="AE48" r:id="rId1101" display="https://rennamedia.com/wp-content/uploads/2025/07/WarrenAugust2025.pdf"/>
    <hyperlink ref="AF48" r:id="rId1102" display="https://rennamedia.com/wp-content/uploads/2025/07/WatchungAugust2025.pdf"/>
    <hyperlink ref="AG48" r:id="rId1103" display="https://rennamedia.com/wp-content/uploads/2025/07/WestfieldAugust2025.pdf"/>
    <hyperlink ref="B49" r:id="rId1104" display="https://rennamedia.com/wp-content/uploads/2025/08/BerkeleyHeightsSeptember2025.pdf"/>
    <hyperlink ref="C49" r:id="rId1105" display="https://rennamedia.com/wp-content/uploads/2025/08/ClarkSeptember2025.pdf"/>
    <hyperlink ref="D49" r:id="rId1106" display="https://rennamedia.com/wp-content/uploads/2025/08/ChathamsSeptember2025.pdf"/>
    <hyperlink ref="E49" r:id="rId1107" display="https://rennamedia.com/wp-content/uploads/2025/08/CranfordSeptember2025.pdf"/>
    <hyperlink ref="F49" r:id="rId1108" display="https://rennamedia.com/wp-content/uploads/2025/08/EastHanoverViewSeptember2025.pdf"/>
    <hyperlink ref="G49" r:id="rId1109" display="https://rennamedia.com/wp-content/uploads/2025/08/ElmoraHillsMonthlySeptember2025.pdf"/>
    <hyperlink ref="H49" r:id="rId1110" display="https://rennamedia.com/wp-content/uploads/2025/08/FanwoodSeptember2025.pdf"/>
    <hyperlink ref="J49" r:id="rId1111" display="https://rennamedia.com/wp-content/uploads/2025/08/GarwoodSeptember2025.pdf"/>
    <hyperlink ref="K49" r:id="rId1112" display="https://rennamedia.com/wp-content/uploads/2025/08/GreenBrookSeptember2025.pdf"/>
    <hyperlink ref="L49" r:id="rId1113" display="https://rennamedia.com/wp-content/uploads/2025/08/HanoverPressSeptember2025.pdf"/>
    <hyperlink ref="M49" r:id="rId1114" display="https://rennamedia.com/wp-content/uploads/2025/08/KenilworthSeptember2025.pdf"/>
    <hyperlink ref="N49" r:id="rId1115" display="https://rennamedia.com/wp-content/uploads/2025/08/LindenSeptember2025.pdf"/>
    <hyperlink ref="O49" r:id="rId1116" display="https://rennamedia.com/wp-content/uploads/2025/08/LivingstonMonthlySeptember2025.pdf"/>
    <hyperlink ref="P49" r:id="rId1117" display="https://rennamedia.com/wp-content/uploads/2025/08/LongHillSeptember2025.pdf"/>
    <hyperlink ref="Q49" r:id="rId1118" display="https://rennamedia.com/wp-content/uploads/2025/08/MadisonSeptember2025.pdf"/>
    <hyperlink ref="R49" r:id="rId1119" display="https://rennamedia.com/wp-content/uploads/2025/08/MillburnShortHillsSeptember2025.pdf"/>
    <hyperlink ref="S49" r:id="rId1120" display="https://rennamedia.com/wp-content/uploads/2025/08/MountainsideSeptember2025.pdf"/>
    <hyperlink ref="T49" r:id="rId1121" display="https://rennamedia.com/wp-content/uploads/2025/08/MorristownMonthlySeptember2025.pdf"/>
    <hyperlink ref="U49" r:id="rId1122" display="https://rennamedia.com/wp-content/uploads/2025/08/MorrisTownshipTimesSeptember2025.pdf"/>
    <hyperlink ref="V49" r:id="rId1123" display="https://rennamedia.com/wp-content/uploads/2025/08/NewProvidenceSeptember2025.pdf"/>
    <hyperlink ref="W49" r:id="rId1124" display="https://rennamedia.com/wp-content/uploads/2025/08/RahwaySeptember2025.pdf"/>
    <hyperlink ref="Y49" r:id="rId1125" display="https://rennamedia.com/wp-content/uploads/2025/08/LifeInRoselandSeptember2025.pdf"/>
    <hyperlink ref="Z49" r:id="rId1126" display="https://rennamedia.com/wp-content/uploads/2025/08/RoselleParkSeptember2025.pdf"/>
    <hyperlink ref="AA49" r:id="rId1127" display="https://rennamedia.com/wp-content/uploads/2025/08/ScotchPlainsSeptember2025.pdf"/>
    <hyperlink ref="AB49" r:id="rId1128" display="https://rennamedia.com/wp-content/uploads/2025/08/UnionSeptember202.pdf"/>
    <hyperlink ref="AC49" r:id="rId1129" display="https://rennamedia.com/wp-content/uploads/2025/08/SummitSeptember2025.pdf"/>
    <hyperlink ref="AE49" r:id="rId1130" display="https://rennamedia.com/wp-content/uploads/2025/08/WarrenSeptember2025.pdf"/>
    <hyperlink ref="AF49" r:id="rId1131" display="https://rennamedia.com/wp-content/uploads/2025/08/WatchungSeptember2025.pdf"/>
    <hyperlink ref="AG49" r:id="rId1132" display="https://rennamedia.com/wp-content/uploads/2025/08/WestfieldSeptember2025.pdf"/>
    <hyperlink ref="B50" r:id="rId1133" display="https://rennamedia.com/wp-content/uploads/2025/09/BerkeleyHeightsOctober2025.pdf"/>
    <hyperlink ref="C50" r:id="rId1134" display="https://rennamedia.com/wp-content/uploads/2025/09/ClarkOctober2025.pdf"/>
    <hyperlink ref="D50" r:id="rId1135" display="https://rennamedia.com/wp-content/uploads/2025/09/ChathamsOctober2025.pdf"/>
    <hyperlink ref="E50" r:id="rId1136" display="https://rennamedia.com/wp-content/uploads/2025/09/CranfordOctober2025.pdf"/>
    <hyperlink ref="F50" r:id="rId1137" display="https://rennamedia.com/wp-content/uploads/2025/09/EastHanoverViewOctober2025.pdf"/>
    <hyperlink ref="G50" r:id="rId1138" display="https://rennamedia.com/wp-content/uploads/2025/09/ElmoraHillsMonthlyOctober2025.pdf"/>
    <hyperlink ref="H50" r:id="rId1139" display="https://rennamedia.com/wp-content/uploads/2025/09/FanwoodOctober2025.pdf"/>
    <hyperlink ref="I50" r:id="rId1140" display="https://rennamedia.com/wp-content/uploads/2025/09/FlorhamParkMonthlyOctober2025.pdf"/>
    <hyperlink ref="J50" r:id="rId1141" display="https://rennamedia.com/wp-content/uploads/2025/09/GarwoodOctober2025.pdf"/>
    <hyperlink ref="K50" r:id="rId1142" display="https://rennamedia.com/wp-content/uploads/2025/09/GreenBrookOctober2025.pdf"/>
    <hyperlink ref="L50" r:id="rId1143" display="https://rennamedia.com/wp-content/uploads/2025/09/HanoverPressOctober2025.pdf"/>
    <hyperlink ref="M50" r:id="rId1144" display="https://rennamedia.com/wp-content/uploads/2025/09/KenilworthOctober2025.pdf"/>
    <hyperlink ref="N50" r:id="rId1145" display="https://rennamedia.com/wp-content/uploads/2025/09/LindenOctober2025.pdf"/>
    <hyperlink ref="O50" r:id="rId1146" display="https://rennamedia.com/wp-content/uploads/2025/09/LivingstonMonthlyOctober2025.pdf"/>
    <hyperlink ref="P50" r:id="rId1147" display="https://rennamedia.com/wp-content/uploads/2025/09/LongHillOctober2025.pdf"/>
    <hyperlink ref="Q50" r:id="rId1148" display="https://rennamedia.com/wp-content/uploads/2025/09/MadisonOctober2025.pdf"/>
    <hyperlink ref="R50" r:id="rId1149" display="https://rennamedia.com/wp-content/uploads/2025/09/MillburnShortHillsOctober2025.pdf"/>
    <hyperlink ref="S50" r:id="rId1150" display="https://rennamedia.com/wp-content/uploads/2025/09/MountainsideOctober2025.pdf"/>
    <hyperlink ref="T50" r:id="rId1151" display="https://rennamedia.com/wp-content/uploads/2025/09/MorristownMonthlyOctober2025.pdf"/>
    <hyperlink ref="U50" r:id="rId1152" display="https://rennamedia.com/wp-content/uploads/2025/09/MorrisTownshipTimesOctober2025.pdf"/>
    <hyperlink ref="V50" r:id="rId1153" display="https://rennamedia.com/wp-content/uploads/2025/09/NewProvidenceOctober2025.pdf"/>
    <hyperlink ref="W50" r:id="rId1154" display="https://rennamedia.com/wp-content/uploads/2025/09/RahwayOctober2025.pdf"/>
    <hyperlink ref="Y50" r:id="rId1155" display="https://rennamedia.com/wp-content/uploads/2025/09/LifeInRoselandOctober2025.pdf"/>
    <hyperlink ref="Z50" r:id="rId1156" display="https://rennamedia.com/wp-content/uploads/2025/09/RoselleParkOctober2025.pdf"/>
    <hyperlink ref="AA50" r:id="rId1157" display="https://rennamedia.com/wp-content/uploads/2025/09/ScotchPlainsOctober2025.pdf"/>
    <hyperlink ref="AB50" r:id="rId1158" display="https://rennamedia.com/wp-content/uploads/2025/09/UnionOctober2025.pdf"/>
    <hyperlink ref="AC50" r:id="rId1159" display="https://rennamedia.com/wp-content/uploads/2025/09/SummitOctober2025.pdf"/>
    <hyperlink ref="AE50" r:id="rId1160" display="https://rennamedia.com/wp-content/uploads/2025/09/WarrenOctober2025.pdf"/>
    <hyperlink ref="AF50" r:id="rId1161" display="https://rennamedia.com/wp-content/uploads/2025/09/WatchungOctober2025.pdf"/>
    <hyperlink ref="AG50" r:id="rId1162" display="https://rennamedia.com/wp-content/uploads/2025/09/WestfieldOctober2025.pdf"/>
    <hyperlink ref="B51" r:id="rId1163" display="https://rennamedia.com/wp-content/uploads/2025/10/BerkeleyHeightsNovember2025.pdf"/>
    <hyperlink ref="C51" r:id="rId1164" display="https://rennamedia.com/wp-content/uploads/2025/10/ClarkNovember2025.pdf"/>
    <hyperlink ref="D51" r:id="rId1165" display="https://rennamedia.com/wp-content/uploads/2025/10/ChathamsNovember2025.pdf"/>
    <hyperlink ref="E51" r:id="rId1166" display="https://rennamedia.com/wp-content/uploads/2025/10/CranfordNovember2025.pdf"/>
    <hyperlink ref="F51" r:id="rId1167" display="https://rennamedia.com/wp-content/uploads/2025/10/EastHanoverViewNovember2025.pdf"/>
    <hyperlink ref="G51" r:id="rId1168" display="https://rennamedia.com/wp-content/uploads/2025/10/ElmoraHillsMonthlyNovember2025.pdf"/>
    <hyperlink ref="H51" r:id="rId1169" display="https://rennamedia.com/wp-content/uploads/2025/10/FanwoodNovember2025.pdf"/>
    <hyperlink ref="I51" r:id="rId1170" display="https://rennamedia.com/wp-content/uploads/2025/10/FlorhamParkMonthlyNovember2025.pdf"/>
    <hyperlink ref="J51" r:id="rId1171" display="https://rennamedia.com/wp-content/uploads/2025/10/GarwoodNovember2025.pdf"/>
    <hyperlink ref="K51" r:id="rId1172" display="https://rennamedia.com/wp-content/uploads/2025/10/GreenBrookNovember2025.pdf"/>
    <hyperlink ref="L51" r:id="rId1173" display="https://rennamedia.com/wp-content/uploads/2025/10/HanoverPressNovember2025.pdf"/>
    <hyperlink ref="M51" r:id="rId1174" display="https://rennamedia.com/wp-content/uploads/2025/10/KenilworthNovember2025.pdf"/>
    <hyperlink ref="N51" r:id="rId1175" display="https://rennamedia.com/wp-content/uploads/2025/10/LindenNovember2025.pdf"/>
    <hyperlink ref="O51" r:id="rId1176" display="https://rennamedia.com/wp-content/uploads/2025/10/LivingstonMonthlyNovember2025.pdf"/>
    <hyperlink ref="P51" r:id="rId1177" display="https://rennamedia.com/wp-content/uploads/2025/10/LongHillNovember2025.pdf"/>
    <hyperlink ref="Q51" r:id="rId1178" display="https://rennamedia.com/wp-content/uploads/2025/10/MadisonNovember2025.pdf"/>
    <hyperlink ref="R51" r:id="rId1179" display="https://rennamedia.com/wp-content/uploads/2025/10/MillburnShortHillsNovember2025.pdf"/>
    <hyperlink ref="S51" r:id="rId1180" display="https://rennamedia.com/wp-content/uploads/2025/10/MountainsideNovember2025.pdf"/>
    <hyperlink ref="T51" r:id="rId1181" display="https://rennamedia.com/wp-content/uploads/2025/10/MorristownMonthlyNovember2025.pdf"/>
    <hyperlink ref="U51" r:id="rId1182" display="https://rennamedia.com/wp-content/uploads/2025/10/MorrisTownshipTimesNovember2025.pdf"/>
    <hyperlink ref="V51" r:id="rId1183" display="https://rennamedia.com/wp-content/uploads/2025/10/NewProvidenceNovember2025.pdf"/>
    <hyperlink ref="W51" r:id="rId1184" display="https://rennamedia.com/wp-content/uploads/2025/10/RahwayNovember2025.pdf"/>
    <hyperlink ref="Y51" r:id="rId1185" display="https://rennamedia.com/wp-content/uploads/2025/10/LifeInRoselandNovember2025.pdf"/>
    <hyperlink ref="Z51" r:id="rId1186" display="https://rennamedia.com/wp-content/uploads/2025/10/RoselleParkNovember2025.pdf"/>
    <hyperlink ref="AA51" r:id="rId1187" display="https://rennamedia.com/wp-content/uploads/2025/10/ScotchPlainsNovember2025.pdf"/>
    <hyperlink ref="AB51" r:id="rId1188" display="https://rennamedia.com/wp-content/uploads/2025/10/UnionNovember2025.pdf"/>
    <hyperlink ref="AC51" r:id="rId1189" display="https://rennamedia.com/wp-content/uploads/2025/10/SummitNovember2025.pdf"/>
    <hyperlink ref="AE51" r:id="rId1190" display="https://rennamedia.com/wp-content/uploads/2025/10/WarrenNovember2025.pdf"/>
    <hyperlink ref="AF51" r:id="rId1191" display="https://rennamedia.com/wp-content/uploads/2025/10/WatchungNovember2025.pdf"/>
    <hyperlink ref="AG51" r:id="rId1192" display="https://rennamedia.com/wp-content/uploads/2025/10/WestfieldNovember2025.pdf"/>
    <hyperlink ref="B52" r:id="rId1193" display="https://rennamedia.com/wp-content/uploads/2025/11/BerkeleyHeightsDecember2025.pdf"/>
    <hyperlink ref="C52" r:id="rId1194" display="https://rennamedia.com/wp-content/uploads/2025/11/ClarkDecember2025.pdf"/>
    <hyperlink ref="D52" r:id="rId1195" display="https://rennamedia.com/wp-content/uploads/2025/11/ChathamsDecember2025.pdf"/>
    <hyperlink ref="E52" r:id="rId1196" display="https://rennamedia.com/wp-content/uploads/2025/11/CranfordDecember2025.pdf"/>
    <hyperlink ref="F52" r:id="rId1197" display="https://rennamedia.com/wp-content/uploads/2025/11/EastHanoverViewDecember2025.pdf"/>
    <hyperlink ref="G52" r:id="rId1198" display="https://rennamedia.com/wp-content/uploads/2025/11/ElmoraHillsMonthlyDecember2025.pdf"/>
    <hyperlink ref="H52" r:id="rId1199" display="https://rennamedia.com/wp-content/uploads/2025/11/FanwoodDecember2025.pdf"/>
    <hyperlink ref="I52" r:id="rId1200" display="https://rennamedia.com/wp-content/uploads/2025/11/FlorhamParkMonthlyDecember2025.pdf"/>
    <hyperlink ref="J52" r:id="rId1201" display="https://rennamedia.com/wp-content/uploads/2025/11/GarwoodDecember2025.pdf"/>
    <hyperlink ref="K52" r:id="rId1202" display="https://rennamedia.com/wp-content/uploads/2025/11/GreenBrookDecember2025.pdf"/>
    <hyperlink ref="L52" r:id="rId1203" display="https://rennamedia.com/wp-content/uploads/2025/11/HanoverPressDecember2025.pdf"/>
    <hyperlink ref="M52" r:id="rId1204" display="https://rennamedia.com/wp-content/uploads/2025/11/KenilworthDecember2025.pdf"/>
    <hyperlink ref="N52" r:id="rId1205" display="https://rennamedia.com/wp-content/uploads/2025/11/LindenDecember2025.pdf"/>
    <hyperlink ref="O52" r:id="rId1206" display="https://rennamedia.com/wp-content/uploads/2025/11/LivingstonMonthlyDecember2025.pdf"/>
    <hyperlink ref="P52" r:id="rId1207" display="https://rennamedia.com/wp-content/uploads/2025/11/LongHillDecember2025.pdf"/>
    <hyperlink ref="Q52" r:id="rId1208" display="https://rennamedia.com/wp-content/uploads/2025/11/MadisonDecember2025.pdf"/>
    <hyperlink ref="R52" r:id="rId1209" display="https://rennamedia.com/wp-content/uploads/2025/11/MillburnShortHillsDecember2025.pdf"/>
    <hyperlink ref="S52" r:id="rId1210" display="https://rennamedia.com/wp-content/uploads/2025/11/MountainsideDecember2025.pdf"/>
    <hyperlink ref="T52" r:id="rId1211" display="https://rennamedia.com/wp-content/uploads/2025/11/MorristownMonthlyDecember2025.pdf"/>
    <hyperlink ref="U52" r:id="rId1212" display="https://rennamedia.com/wp-content/uploads/2025/11/MorrisTownshipTimesDecember2025.pdf"/>
    <hyperlink ref="V52" r:id="rId1213" display="https://rennamedia.com/wp-content/uploads/2025/11/NewProvidenceDecember2025.pdf"/>
    <hyperlink ref="W52" r:id="rId1214" display="https://rennamedia.com/wp-content/uploads/2025/11/RahwayDecember2025.pdf"/>
    <hyperlink ref="Y52" r:id="rId1215" display="https://rennamedia.com/wp-content/uploads/2025/11/LifeInRoselandDecember2025.pdf"/>
    <hyperlink ref="Z52" r:id="rId1216" display="https://rennamedia.com/wp-content/uploads/2025/11/RoselleParkDecember2025.pdf"/>
    <hyperlink ref="AA52" r:id="rId1217" display="https://rennamedia.com/wp-content/uploads/2025/11/ScotchPlainsDecember2025.pdf"/>
    <hyperlink ref="AB52" r:id="rId1218" display="https://rennamedia.com/wp-content/uploads/2025/11/UnionNDecember2025.pdf"/>
    <hyperlink ref="AC52" r:id="rId1219" display="https://rennamedia.com/wp-content/uploads/2025/11/SummitDecember2025.pdf"/>
    <hyperlink ref="AE52" r:id="rId1220" display="https://rennamedia.com/wp-content/uploads/2025/11/WarrenDecember2025.pdf"/>
    <hyperlink ref="AF52" r:id="rId1221" display="https://rennamedia.com/wp-content/uploads/2025/11/WatchungDecember2025.pdf"/>
    <hyperlink ref="AG52" r:id="rId1222" display="https://rennamedia.com/wp-content/uploads/2025/11/WestfieldDecember2025.pdf"/>
    <hyperlink ref="B53" r:id="rId1223" display="https://rennamedia.com/wp-content/uploads/2025/12/BerkeleyHeightsJanuary2026.pdf"/>
    <hyperlink ref="C53" r:id="rId1224" display="https://rennamedia.com/wp-content/uploads/2025/12/ClarkJanuary2026.pdf"/>
    <hyperlink ref="D53" r:id="rId1225" display="https://rennamedia.com/wp-content/uploads/2025/12/ChathamsJanuary2026.pdf"/>
    <hyperlink ref="E53" r:id="rId1226" display="https://rennamedia.com/wp-content/uploads/2025/12/CranfordJanuary2026.pdf"/>
    <hyperlink ref="F53" r:id="rId1227" display="https://rennamedia.com/wp-content/uploads/2025/12/EastHanoverViewJanuary2026.pdf"/>
    <hyperlink ref="G53" r:id="rId1228" display="https://rennamedia.com/wp-content/uploads/2025/12/ElmoraHillsMonthlyJanuary2026.pdf"/>
    <hyperlink ref="H53" r:id="rId1229" display="https://rennamedia.com/wp-content/uploads/2025/12/FanwoodJanuary2026.pdf"/>
    <hyperlink ref="I53" r:id="rId1230" display="https://rennamedia.com/wp-content/uploads/2025/12/FlorhamParkMonthlyJanuary2026.pdf"/>
    <hyperlink ref="J53" r:id="rId1231" display="https://rennamedia.com/wp-content/uploads/2025/12/GarwoodJanuary2026.pdf"/>
    <hyperlink ref="K53" r:id="rId1232" display="https://rennamedia.com/wp-content/uploads/2025/12/GreenBrookJanuary2026.pdf"/>
    <hyperlink ref="L53" r:id="rId1233" display="https://rennamedia.com/wp-content/uploads/2025/12/HanoverPressJanuary2026.pdf"/>
    <hyperlink ref="M53" r:id="rId1234" display="https://rennamedia.com/wp-content/uploads/2025/12/KenilworthJanuary2026.pdf"/>
    <hyperlink ref="N53" r:id="rId1235" display="https://rennamedia.com/wp-content/uploads/2025/12/LindenJanuary2026.pdf"/>
    <hyperlink ref="O53" r:id="rId1236" display="https://rennamedia.com/wp-content/uploads/2025/12/LivingstonMonthlyJanuary2026.pdf"/>
    <hyperlink ref="P53" r:id="rId1237" display="https://rennamedia.com/wp-content/uploads/2025/12/LongHillJanuary2026.pdf"/>
    <hyperlink ref="Q53" r:id="rId1238" display="https://rennamedia.com/wp-content/uploads/2025/12/MadisonJanuary2026.pdf"/>
    <hyperlink ref="R53" r:id="rId1239" display="https://rennamedia.com/wp-content/uploads/2025/12/MillburnShortHillsJanuary2026.pdf"/>
    <hyperlink ref="S53" r:id="rId1240" display="https://rennamedia.com/wp-content/uploads/2025/12/MountainsideJanuary2026.pdf"/>
    <hyperlink ref="T53" r:id="rId1241" display="https://rennamedia.com/wp-content/uploads/2025/12/MorristownMonthlyJanuary2026.pdf"/>
    <hyperlink ref="U53" r:id="rId1242" display="https://rennamedia.com/wp-content/uploads/2025/12/MorrisTownshipTimesJanuary2026.pdf"/>
    <hyperlink ref="V53" r:id="rId1243" display="https://rennamedia.com/wp-content/uploads/2025/12/NewProvidenceJanuary2026.pdf"/>
    <hyperlink ref="W53" r:id="rId1244" display="https://rennamedia.com/wp-content/uploads/2025/12/RahwayJanuary2026.pdf"/>
    <hyperlink ref="Y53" r:id="rId1245" display="https://rennamedia.com/wp-content/uploads/2025/12/LifeInRoselandJanuary2026.pdf"/>
    <hyperlink ref="Z53" r:id="rId1246" display="https://rennamedia.com/wp-content/uploads/2025/12/RoselleParkJanuary2026.pdf"/>
    <hyperlink ref="AA53" r:id="rId1247" display="https://rennamedia.com/wp-content/uploads/2025/12/ScotchPlainsJanuary2026.pdf"/>
    <hyperlink ref="AB53" r:id="rId1248" display="https://rennamedia.com/wp-content/uploads/2025/12/UnionJanuary2026.pdf"/>
    <hyperlink ref="AC53" r:id="rId1249" display="https://rennamedia.com/wp-content/uploads/2025/12/SummitJanuary2026.pdf"/>
    <hyperlink ref="AE53" r:id="rId1250" display="https://rennamedia.com/wp-content/uploads/2025/12/WarrenJanuary2026.pdf"/>
    <hyperlink ref="AF53" r:id="rId1251" display="https://rennamedia.com/wp-content/uploads/2025/12/WatchungJanuary2026.pdf"/>
    <hyperlink ref="AG53" r:id="rId1252" display="https://rennamedia.com/wp-content/uploads/2025/12/WestfieldJanuary2026.pdf"/>
    <hyperlink ref="B54" r:id="rId1253" display="https://rennamedia.com/wp-content/uploads/2026/01/BerkeleyHeightsFebruary2026.pdf"/>
    <hyperlink ref="C54" r:id="rId1254" display="https://rennamedia.com/wp-content/uploads/2026/01/ClarkFebruary2026.pdf"/>
    <hyperlink ref="D54" r:id="rId1255" display="https://rennamedia.com/wp-content/uploads/2026/01/ChathamsFebruary2026.pdf"/>
    <hyperlink ref="E54" r:id="rId1256" display="https://rennamedia.com/wp-content/uploads/2026/01/CranfordFebruary2026.pdf"/>
    <hyperlink ref="F54" r:id="rId1257" display="https://rennamedia.com/wp-content/uploads/2026/01/EastHanoverViewFebruary2026.pdf"/>
    <hyperlink ref="G54" r:id="rId1258" display="https://rennamedia.com/wp-content/uploads/2026/01/ElmoraHillsMonthlyFebruary2026.pdf"/>
    <hyperlink ref="H54" r:id="rId1259" display="https://rennamedia.com/wp-content/uploads/2026/01/FanwoodFebruary2026.pdf"/>
    <hyperlink ref="I54" r:id="rId1260" display="https://rennamedia.com/wp-content/uploads/2026/01/FlorhamParkMonthlyFebruary2026.pdf"/>
    <hyperlink ref="J54" r:id="rId1261" display="https://rennamedia.com/wp-content/uploads/2026/01/GarwoodFebruary2026.pdf"/>
    <hyperlink ref="K54" r:id="rId1262" display="https://rennamedia.com/wp-content/uploads/2026/02/GreenBrookFebruary2026.pdf"/>
    <hyperlink ref="L54" r:id="rId1263" display="https://rennamedia.com/wp-content/uploads/2026/01/HanoverPressFebruary2026.pdf"/>
    <hyperlink ref="M54" r:id="rId1264" display="https://rennamedia.com/wp-content/uploads/2026/01/KenilworthFebruary2026.pdf"/>
    <hyperlink ref="N54" r:id="rId1265" display="https://rennamedia.com/wp-content/uploads/2026/01/LindenFebruary2026.pdf"/>
    <hyperlink ref="O54" r:id="rId1266" display="https://rennamedia.com/wp-content/uploads/2026/01/LivingstonMonthlyFebruary2026.pdf"/>
    <hyperlink ref="P54" r:id="rId1267" display="https://rennamedia.com/wp-content/uploads/2026/01/LongHillFebruary2026.pdf"/>
    <hyperlink ref="Q54" r:id="rId1268" display="https://rennamedia.com/wp-content/uploads/2026/01/MadisonFebruary2026.pdf"/>
    <hyperlink ref="R54" r:id="rId1269" display="https://rennamedia.com/wp-content/uploads/2026/01/MillburnShortHillsFebruary2026.pdf"/>
    <hyperlink ref="S54" r:id="rId1270" display="https://rennamedia.com/wp-content/uploads/2026/01/MountainsideFebruary2026.pdf"/>
    <hyperlink ref="T54" r:id="rId1271" display="https://rennamedia.com/wp-content/uploads/2026/01/MorristownMonthlyFebruary2026.pdf"/>
    <hyperlink ref="U54" r:id="rId1272" display="https://rennamedia.com/wp-content/uploads/2026/01/MorrisTownshipTimesFebruary2026.pdf"/>
    <hyperlink ref="V54" r:id="rId1273" display="https://rennamedia.com/wp-content/uploads/2026/01/NewProvidenceFebruary2026.pdf"/>
    <hyperlink ref="W54" r:id="rId1274" display="https://rennamedia.com/wp-content/uploads/2026/01/RahwayFebruary2026.pdf"/>
    <hyperlink ref="Y54" r:id="rId1275" display="https://rennamedia.com/wp-content/uploads/2026/01/LifeInRoselandFebruary2026.pdf"/>
    <hyperlink ref="Z54" r:id="rId1276" display="https://rennamedia.com/wp-content/uploads/2026/01/RoselleParkFebruary2026.pdf"/>
    <hyperlink ref="AA54" r:id="rId1277" display="https://rennamedia.com/wp-content/uploads/2026/01/ScotchPlainsFebruary2026.pdf"/>
    <hyperlink ref="AB54" r:id="rId1278" display="https://rennamedia.com/wp-content/uploads/2026/01/UnionFebruary2026.pdf"/>
    <hyperlink ref="AC54" r:id="rId1279" display="https://rennamedia.com/wp-content/uploads/2026/02/SummitFebruary2026.pdf"/>
    <hyperlink ref="AE54" r:id="rId1280" display="https://rennamedia.com/wp-content/uploads/2026/01/WarrenFebruary2026.pdf"/>
    <hyperlink ref="AF54" r:id="rId1281" display="https://rennamedia.com/wp-content/uploads/2026/01/WatchungFebruary2026.pdf"/>
    <hyperlink ref="AG54" r:id="rId1282" display="https://rennamedia.com/wp-content/uploads/2026/01/WestfieldFebruary2026.pdf"/>
    <hyperlink ref="B55" r:id="rId1283" display="https://rennamedia.com/wp-content/uploads/2026/02/BerkeleyHeightsMarch2026.pdf"/>
    <hyperlink ref="C55" r:id="rId1284" display="https://rennamedia.com/wp-content/uploads/2026/02/ClarkMarch2026.pdf"/>
    <hyperlink ref="D55" r:id="rId1285" display="https://rennamedia.com/wp-content/uploads/2026/02/ChathamsMarch2026proof.pdf"/>
    <hyperlink ref="E55" r:id="rId1286" display="https://rennamedia.com/wp-content/uploads/2026/02/CranfordMarch2026.pdf"/>
    <hyperlink ref="F55" r:id="rId1287" display="https://rennamedia.com/wp-content/uploads/2026/02/EastHanoverViewMarch2026.pdf"/>
    <hyperlink ref="G55" r:id="rId1288" display="https://rennamedia.com/wp-content/uploads/2026/02/ElmoraHillsMonthlyMarch2026.pdf"/>
    <hyperlink ref="H55" r:id="rId1289" display="https://rennamedia.com/wp-content/uploads/2026/02/FanwoodMarch2026.pdf"/>
    <hyperlink ref="I55" r:id="rId1290" display="https://rennamedia.com/wp-content/uploads/2026/02/FlorhamParkMonthlyMarch2026.pdf"/>
    <hyperlink ref="J55" r:id="rId1291" display="https://rennamedia.com/wp-content/uploads/2026/02/GarwoodMarch2026.pdf"/>
    <hyperlink ref="K55" r:id="rId1292" display="https://rennamedia.com/wp-content/uploads/2026/02/GreenBrookMarch2026.pdf"/>
    <hyperlink ref="L55" r:id="rId1293" display="https://rennamedia.com/wp-content/uploads/2026/02/HanoverPressMarch2026.pdf"/>
    <hyperlink ref="M55" r:id="rId1294" display="https://rennamedia.com/wp-content/uploads/2026/02/KenilworthMarch2026.pdf"/>
    <hyperlink ref="N55" r:id="rId1295" display="https://rennamedia.com/wp-content/uploads/2026/02/LindenMarch2026.pdf"/>
    <hyperlink ref="O55" r:id="rId1296" display="https://rennamedia.com/wp-content/uploads/2026/02/LivingstonMonthlyMarch2026.pdf"/>
    <hyperlink ref="P55" r:id="rId1297" display="https://rennamedia.com/wp-content/uploads/2026/02/LongHillMarch2026.pdf"/>
    <hyperlink ref="Q55" r:id="rId1298" display="https://rennamedia.com/wp-content/uploads/2026/02/MadisonMarch2026.pdf"/>
    <hyperlink ref="R55" r:id="rId1299" display="https://rennamedia.com/wp-content/uploads/2026/02/MillburnShortHillsMarch2026.pdf"/>
    <hyperlink ref="S55" r:id="rId1300" display="https://rennamedia.com/wp-content/uploads/2026/02/MountainsideMarch2026.pdf"/>
    <hyperlink ref="T55" r:id="rId1301" display="https://rennamedia.com/wp-content/uploads/2026/02/MorristownMonthlyMarch2026.pdf"/>
    <hyperlink ref="U55" r:id="rId1302" display="https://rennamedia.com/wp-content/uploads/2026/02/MorrisTownshipTimesMarch2026.pdf"/>
    <hyperlink ref="V55" r:id="rId1303" display="https://rennamedia.com/wp-content/uploads/2026/02/NewProvidenceMarch2026.pdf"/>
    <hyperlink ref="W55" r:id="rId1304" display="https://rennamedia.com/wp-content/uploads/2026/02/RahwayMarch2026.pdf"/>
    <hyperlink ref="Y55" r:id="rId1305" display="https://rennamedia.com/wp-content/uploads/2026/02/LifeInRoselandMarch2026.pdf"/>
    <hyperlink ref="Z55" r:id="rId1306" display="https://rennamedia.com/wp-content/uploads/2026/02/RoselleParkMarch2026.pdf"/>
    <hyperlink ref="AA55" r:id="rId1307" display="https://rennamedia.com/wp-content/uploads/2026/02/ScotchPlainsMarch2026.pdf"/>
    <hyperlink ref="AB55" r:id="rId1308" display="https://rennamedia.com/wp-content/uploads/2026/02/UnionMarch2026.pdf"/>
    <hyperlink ref="AC55" r:id="rId1309" display="https://rennamedia.com/wp-content/uploads/2026/02/SummitMarch2026.pdf"/>
    <hyperlink ref="AE55" r:id="rId1310" display="https://rennamedia.com/wp-content/uploads/2026/02/WarrenMarch2026.pdf"/>
    <hyperlink ref="AF55" r:id="rId1311" display="https://rennamedia.com/wp-content/uploads/2026/02/WatchungMarch2026.pdf"/>
    <hyperlink ref="AG55" r:id="rId1312" display="https://rennamedia.com/wp-content/uploads/2026/02/WestfieldMarch2026.pdf"/>
    <hyperlink ref="B56" r:id="rId1313" display="https://rennamedia.com/wp-content/uploads/2026/03/BerkeleyHeightsApril2026.pdf"/>
    <hyperlink ref="C56" r:id="rId1314" display="https://rennamedia.com/wp-content/uploads/2026/03/ClarkApril2026.pdf"/>
    <hyperlink ref="D56" r:id="rId1315" display="https://rennamedia.com/wp-content/uploads/2026/03/ChathamsApril2026.pdf"/>
    <hyperlink ref="E56" r:id="rId1316" display="https://rennamedia.com/wp-content/uploads/2026/03/CranfordApril2026.pdf"/>
    <hyperlink ref="F56" r:id="rId1317" display="https://rennamedia.com/wp-content/uploads/2026/03/EastHanoverViewApril2026.pdf"/>
    <hyperlink ref="G56" r:id="rId1318" display="https://rennamedia.com/wp-content/uploads/2026/03/ElmoraHillsMonthlyApril2026.pdf"/>
    <hyperlink ref="H56" r:id="rId1319" display="https://rennamedia.com/wp-content/uploads/2026/03/FanwoodApril2026.pdf"/>
    <hyperlink ref="I56" r:id="rId1320" display="https://rennamedia.com/wp-content/uploads/2026/03/FlorhamParkMonthlyApril2026.pdf"/>
    <hyperlink ref="J56" r:id="rId1321" display="https://rennamedia.com/wp-content/uploads/2026/03/GarwoodApril2026.pdf"/>
    <hyperlink ref="K56" r:id="rId1322" display="https://rennamedia.com/wp-content/uploads/2026/03/GreenBrookApril2026.pdf"/>
    <hyperlink ref="L56" r:id="rId1323" display="https://rennamedia.com/wp-content/uploads/2026/03/HanoverPressApril2026.pdf"/>
    <hyperlink ref="M56" r:id="rId1324" display="https://rennamedia.com/wp-content/uploads/2026/03/KenilworthApril2026.pdf"/>
    <hyperlink ref="N56" r:id="rId1325" display="https://rennamedia.com/wp-content/uploads/2026/03/LindenApril2026.pdf"/>
    <hyperlink ref="O56" r:id="rId1326" display="https://rennamedia.com/wp-content/uploads/2026/03/LivingstonMonthlyApril2026.pdf"/>
    <hyperlink ref="P56" r:id="rId1327" display="https://rennamedia.com/wp-content/uploads/2026/03/LongHillApril2026.pdf"/>
    <hyperlink ref="Q56" r:id="rId1328" display="https://rennamedia.com/wp-content/uploads/2026/03/MadisonApril2026.pdf"/>
    <hyperlink ref="R56" r:id="rId1329" display="https://rennamedia.com/wp-content/uploads/2026/03/MillburnShortHillsApril2026.pdf"/>
    <hyperlink ref="S56" r:id="rId1330" display="https://rennamedia.com/wp-content/uploads/2026/03/MountainsideApril2026.pdf"/>
    <hyperlink ref="T56" r:id="rId1331" display="https://rennamedia.com/wp-content/uploads/2026/03/MorristownMonthlyApril2026.pdf"/>
    <hyperlink ref="U56" r:id="rId1332" display="https://rennamedia.com/wp-content/uploads/2026/03/MorrisTownshipTimesApril2026.pdf"/>
    <hyperlink ref="V56" r:id="rId1333" display="https://rennamedia.com/wp-content/uploads/2026/03/NewProvidenceApril2026.pdf"/>
    <hyperlink ref="W56" r:id="rId1334" display="https://rennamedia.com/wp-content/uploads/2026/03/RahwayApril2026.pdf"/>
    <hyperlink ref="Y56" r:id="rId1335" display="https://rennamedia.com/wp-content/uploads/2026/03/LifeInRoselandApril2026.pdf"/>
    <hyperlink ref="Z56" r:id="rId1336" display="https://rennamedia.com/wp-content/uploads/2026/03/RoselleParkApril2026.pdf"/>
    <hyperlink ref="AA56" r:id="rId1337" display="https://rennamedia.com/wp-content/uploads/2026/03/ScotchPlainsApril2026.pdf"/>
    <hyperlink ref="AB56" r:id="rId1338" display="https://rennamedia.com/wp-content/uploads/2026/04/UnionMay2026.pdf"/>
    <hyperlink ref="AC56" r:id="rId1339" display="https://rennamedia.com/wp-content/uploads/2026/03/SummitApril2026.pdf"/>
    <hyperlink ref="AE56" r:id="rId1340" display="https://rennamedia.com/wp-content/uploads/2026/03/WarrenApril2026.pdf"/>
    <hyperlink ref="AF56" r:id="rId1341" display="https://rennamedia.com/wp-content/uploads/2026/03/WatchungApril2026.pdf"/>
    <hyperlink ref="AG56" r:id="rId1342" display="https://rennamedia.com/wp-content/uploads/2026/03/WestfieldApril2026.pdf"/>
    <hyperlink ref="B57" r:id="rId1343" display="https://rennamedia.com/wp-content/uploads/2026/04/BerkeleyHeightsMay2026.pdf"/>
    <hyperlink ref="C57" r:id="rId1344" display="https://rennamedia.com/wp-content/uploads/2026/04/ClarkMay2026.pdf"/>
    <hyperlink ref="D57" r:id="rId1345" display="https://rennamedia.com/wp-content/uploads/2026/04/ChathamsMay2026.pdf"/>
    <hyperlink ref="E57" r:id="rId1346" display="https://rennamedia.com/wp-content/uploads/2026/04/CranfordMay2026.pdf"/>
    <hyperlink ref="F57" r:id="rId1347" display="https://rennamedia.com/wp-content/uploads/2026/04/EastHanoverViewMay2026.pdf"/>
    <hyperlink ref="G57" r:id="rId1348" display="https://rennamedia.com/wp-content/uploads/2026/04/ElmoraHillsMonthlymay2026.pdf"/>
    <hyperlink ref="H57" r:id="rId1349" display="https://rennamedia.com/wp-content/uploads/2026/04/FanwoodMay2026.pdf"/>
    <hyperlink ref="I57" r:id="rId1350" display="https://rennamedia.com/wp-content/uploads/2026/04/FlorhamParkMonthlyMay2026.pdf"/>
    <hyperlink ref="J57" r:id="rId1351" display="https://rennamedia.com/wp-content/uploads/2026/04/GarwoodMay2026.pdf"/>
    <hyperlink ref="K57" r:id="rId1352" display="https://rennamedia.com/wp-content/uploads/2026/04/GreenBrookMay2026.pdf"/>
    <hyperlink ref="L57" r:id="rId1353" display="https://rennamedia.com/wp-content/uploads/2026/04/HanoverPressMay2026.pdf"/>
    <hyperlink ref="M57" r:id="rId1354" display="https://rennamedia.com/wp-content/uploads/2026/04/KenilworthMay2026.pdf"/>
    <hyperlink ref="N57" r:id="rId1355" display="https://rennamedia.com/wp-content/uploads/2026/04/LindenMay2026.pdf"/>
    <hyperlink ref="O57" r:id="rId1356" display="https://rennamedia.com/wp-content/uploads/2026/04/LivingstonMonthlyMay2026.pdf"/>
    <hyperlink ref="P57" r:id="rId1357" display="https://rennamedia.com/wp-content/uploads/2026/04/LongHillMay2026.pdf"/>
    <hyperlink ref="Q57" r:id="rId1358" display="https://rennamedia.com/wp-content/uploads/2026/04/MadisonMay2026.pdf"/>
    <hyperlink ref="R57" r:id="rId1359" display="https://rennamedia.com/wp-content/uploads/2026/04/MillburnShortHillsMay2026.pdf"/>
    <hyperlink ref="S57" r:id="rId1360" display="https://rennamedia.com/wp-content/uploads/2026/04/MountainsideMay2026.pdf"/>
    <hyperlink ref="T57" r:id="rId1361" display="https://rennamedia.com/wp-content/uploads/2026/04/MorristownMonthlyMay2026.pdf"/>
    <hyperlink ref="U57" r:id="rId1362" display="https://rennamedia.com/wp-content/uploads/2026/04/MorrisTownshipTimesMay2026.pdf"/>
    <hyperlink ref="V57" r:id="rId1363" display="https://rennamedia.com/wp-content/uploads/2026/04/NewProvidenceMay2026.pdf"/>
    <hyperlink ref="W57" r:id="rId1364" display="https://rennamedia.com/wp-content/uploads/2026/04/RahwayMay2026.pdf"/>
    <hyperlink ref="Y57" r:id="rId1365" display="https://rennamedia.com/wp-content/uploads/2026/04/LifeInRoselandMay2026.pdf"/>
    <hyperlink ref="Z57" r:id="rId1366" display="https://rennamedia.com/wp-content/uploads/2026/04/RoselleParkMay2026.pdf"/>
    <hyperlink ref="AA57" r:id="rId1367" display="https://rennamedia.com/wp-content/uploads/2026/04/ScotchPlainsMay2026.pdf"/>
    <hyperlink ref="AC57" r:id="rId1368" display="https://rennamedia.com/wp-content/uploads/2026/04/SummitMay2026.pdf"/>
    <hyperlink ref="AE57" r:id="rId1369" display="https://rennamedia.com/wp-content/uploads/2026/04/WarrenMay2026.pdf"/>
    <hyperlink ref="AF57" r:id="rId1370" display="https://rennamedia.com/wp-content/uploads/2026/04/WatchungMay2026.pdf"/>
    <hyperlink ref="AG57" r:id="rId1371" display="https://rennamedia.com/wp-content/uploads/2026/04/WestfieldMay2026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8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10" t="s">
        <v>91</v>
      </c>
      <c r="B1" s="10" t="s">
        <v>92</v>
      </c>
      <c r="C1" s="10" t="s">
        <v>93</v>
      </c>
      <c r="D1" s="10" t="s">
        <v>2</v>
      </c>
      <c r="E1" s="10" t="s">
        <v>94</v>
      </c>
      <c r="F1" s="10" t="s">
        <v>95</v>
      </c>
      <c r="G1" s="10" t="s">
        <v>96</v>
      </c>
      <c r="H1" s="10" t="s">
        <v>97</v>
      </c>
    </row>
    <row r="2" customFormat="false" ht="15" hidden="false" customHeight="false" outlineLevel="0" collapsed="false">
      <c r="A2" s="11" t="s">
        <v>98</v>
      </c>
      <c r="B2" s="11" t="s">
        <v>3</v>
      </c>
      <c r="C2" s="11" t="n">
        <v>2022</v>
      </c>
      <c r="D2" s="11" t="n">
        <v>1</v>
      </c>
      <c r="E2" s="11" t="s">
        <v>99</v>
      </c>
      <c r="F2" s="11" t="s">
        <v>100</v>
      </c>
      <c r="G2" s="11" t="n">
        <v>16</v>
      </c>
      <c r="H2" s="12" t="s">
        <v>101</v>
      </c>
    </row>
    <row r="3" customFormat="false" ht="15" hidden="false" customHeight="false" outlineLevel="0" collapsed="false">
      <c r="A3" s="11" t="s">
        <v>98</v>
      </c>
      <c r="B3" s="11" t="s">
        <v>3</v>
      </c>
      <c r="C3" s="11" t="n">
        <v>2022</v>
      </c>
      <c r="D3" s="11" t="n">
        <v>2</v>
      </c>
      <c r="E3" s="11" t="s">
        <v>102</v>
      </c>
      <c r="F3" s="11" t="s">
        <v>103</v>
      </c>
      <c r="G3" s="11" t="n">
        <v>16</v>
      </c>
      <c r="H3" s="12" t="s">
        <v>104</v>
      </c>
    </row>
    <row r="4" customFormat="false" ht="15" hidden="false" customHeight="false" outlineLevel="0" collapsed="false">
      <c r="A4" s="11" t="s">
        <v>98</v>
      </c>
      <c r="B4" s="11" t="s">
        <v>3</v>
      </c>
      <c r="C4" s="11" t="n">
        <v>2022</v>
      </c>
      <c r="D4" s="11" t="n">
        <v>3</v>
      </c>
      <c r="E4" s="11" t="s">
        <v>105</v>
      </c>
      <c r="F4" s="11" t="s">
        <v>106</v>
      </c>
      <c r="G4" s="11" t="n">
        <v>24</v>
      </c>
      <c r="H4" s="12" t="s">
        <v>107</v>
      </c>
    </row>
    <row r="5" customFormat="false" ht="15" hidden="false" customHeight="false" outlineLevel="0" collapsed="false">
      <c r="A5" s="11" t="s">
        <v>98</v>
      </c>
      <c r="B5" s="11" t="s">
        <v>3</v>
      </c>
      <c r="C5" s="11" t="n">
        <v>2022</v>
      </c>
      <c r="D5" s="11" t="n">
        <v>4</v>
      </c>
      <c r="E5" s="11" t="s">
        <v>108</v>
      </c>
      <c r="F5" s="11" t="s">
        <v>109</v>
      </c>
      <c r="G5" s="11" t="n">
        <v>24</v>
      </c>
      <c r="H5" s="12" t="s">
        <v>110</v>
      </c>
    </row>
    <row r="6" customFormat="false" ht="15" hidden="false" customHeight="false" outlineLevel="0" collapsed="false">
      <c r="A6" s="11" t="s">
        <v>98</v>
      </c>
      <c r="B6" s="11" t="s">
        <v>3</v>
      </c>
      <c r="C6" s="11" t="n">
        <v>2022</v>
      </c>
      <c r="D6" s="11" t="n">
        <v>5</v>
      </c>
      <c r="E6" s="11" t="s">
        <v>111</v>
      </c>
      <c r="F6" s="11" t="s">
        <v>112</v>
      </c>
      <c r="G6" s="11" t="n">
        <v>24</v>
      </c>
      <c r="H6" s="12" t="s">
        <v>113</v>
      </c>
    </row>
    <row r="7" customFormat="false" ht="15" hidden="false" customHeight="false" outlineLevel="0" collapsed="false">
      <c r="A7" s="11" t="s">
        <v>98</v>
      </c>
      <c r="B7" s="11" t="s">
        <v>3</v>
      </c>
      <c r="C7" s="11" t="n">
        <v>2022</v>
      </c>
      <c r="D7" s="11" t="n">
        <v>6</v>
      </c>
      <c r="E7" s="11" t="s">
        <v>114</v>
      </c>
      <c r="F7" s="11" t="s">
        <v>115</v>
      </c>
      <c r="G7" s="11" t="n">
        <v>28</v>
      </c>
      <c r="H7" s="12" t="s">
        <v>116</v>
      </c>
    </row>
    <row r="8" customFormat="false" ht="15" hidden="false" customHeight="false" outlineLevel="0" collapsed="false">
      <c r="A8" s="11" t="s">
        <v>98</v>
      </c>
      <c r="B8" s="11" t="s">
        <v>3</v>
      </c>
      <c r="C8" s="11" t="n">
        <v>2022</v>
      </c>
      <c r="D8" s="11" t="n">
        <v>7</v>
      </c>
      <c r="E8" s="11" t="s">
        <v>117</v>
      </c>
      <c r="F8" s="11" t="s">
        <v>118</v>
      </c>
      <c r="G8" s="11" t="n">
        <v>20</v>
      </c>
      <c r="H8" s="12" t="s">
        <v>119</v>
      </c>
    </row>
    <row r="9" customFormat="false" ht="15" hidden="false" customHeight="false" outlineLevel="0" collapsed="false">
      <c r="A9" s="11" t="s">
        <v>98</v>
      </c>
      <c r="B9" s="11" t="s">
        <v>3</v>
      </c>
      <c r="C9" s="11" t="n">
        <v>2022</v>
      </c>
      <c r="D9" s="11" t="n">
        <v>8</v>
      </c>
      <c r="E9" s="11" t="s">
        <v>120</v>
      </c>
      <c r="F9" s="11" t="s">
        <v>121</v>
      </c>
      <c r="G9" s="11" t="n">
        <v>20</v>
      </c>
      <c r="H9" s="12" t="s">
        <v>122</v>
      </c>
    </row>
    <row r="10" customFormat="false" ht="15" hidden="false" customHeight="false" outlineLevel="0" collapsed="false">
      <c r="A10" s="11" t="s">
        <v>98</v>
      </c>
      <c r="B10" s="11" t="s">
        <v>3</v>
      </c>
      <c r="C10" s="11" t="n">
        <v>2022</v>
      </c>
      <c r="D10" s="11" t="n">
        <v>9</v>
      </c>
      <c r="E10" s="11" t="s">
        <v>123</v>
      </c>
      <c r="F10" s="11" t="s">
        <v>124</v>
      </c>
      <c r="G10" s="11" t="n">
        <v>24</v>
      </c>
      <c r="H10" s="12" t="s">
        <v>125</v>
      </c>
    </row>
    <row r="11" customFormat="false" ht="15" hidden="false" customHeight="false" outlineLevel="0" collapsed="false">
      <c r="A11" s="11" t="s">
        <v>98</v>
      </c>
      <c r="B11" s="11" t="s">
        <v>3</v>
      </c>
      <c r="C11" s="11" t="n">
        <v>2022</v>
      </c>
      <c r="D11" s="11" t="n">
        <v>10</v>
      </c>
      <c r="E11" s="11" t="s">
        <v>126</v>
      </c>
      <c r="F11" s="11" t="s">
        <v>127</v>
      </c>
      <c r="G11" s="11" t="n">
        <v>20</v>
      </c>
      <c r="H11" s="12" t="s">
        <v>128</v>
      </c>
    </row>
    <row r="12" customFormat="false" ht="15" hidden="false" customHeight="false" outlineLevel="0" collapsed="false">
      <c r="A12" s="11" t="s">
        <v>98</v>
      </c>
      <c r="B12" s="11" t="s">
        <v>3</v>
      </c>
      <c r="C12" s="11" t="n">
        <v>2022</v>
      </c>
      <c r="D12" s="11" t="n">
        <v>11</v>
      </c>
      <c r="E12" s="11" t="s">
        <v>129</v>
      </c>
      <c r="F12" s="11" t="s">
        <v>130</v>
      </c>
      <c r="G12" s="11" t="n">
        <v>16</v>
      </c>
      <c r="H12" s="12" t="s">
        <v>131</v>
      </c>
    </row>
    <row r="13" customFormat="false" ht="15" hidden="false" customHeight="false" outlineLevel="0" collapsed="false">
      <c r="A13" s="11" t="s">
        <v>98</v>
      </c>
      <c r="B13" s="11" t="s">
        <v>3</v>
      </c>
      <c r="C13" s="11" t="n">
        <v>2022</v>
      </c>
      <c r="D13" s="11" t="n">
        <v>12</v>
      </c>
      <c r="E13" s="11" t="s">
        <v>132</v>
      </c>
      <c r="F13" s="11" t="s">
        <v>133</v>
      </c>
      <c r="G13" s="11" t="n">
        <v>20</v>
      </c>
      <c r="H13" s="12" t="s">
        <v>134</v>
      </c>
    </row>
    <row r="14" customFormat="false" ht="15" hidden="false" customHeight="false" outlineLevel="0" collapsed="false">
      <c r="A14" s="11" t="s">
        <v>98</v>
      </c>
      <c r="B14" s="11" t="s">
        <v>3</v>
      </c>
      <c r="C14" s="11" t="n">
        <v>2023</v>
      </c>
      <c r="D14" s="11" t="n">
        <v>1</v>
      </c>
      <c r="E14" s="11" t="s">
        <v>99</v>
      </c>
      <c r="F14" s="11" t="s">
        <v>135</v>
      </c>
      <c r="G14" s="11" t="n">
        <v>16</v>
      </c>
      <c r="H14" s="12" t="s">
        <v>136</v>
      </c>
    </row>
    <row r="15" customFormat="false" ht="15" hidden="false" customHeight="false" outlineLevel="0" collapsed="false">
      <c r="A15" s="11" t="s">
        <v>98</v>
      </c>
      <c r="B15" s="11" t="s">
        <v>3</v>
      </c>
      <c r="C15" s="11" t="n">
        <v>2023</v>
      </c>
      <c r="D15" s="11" t="n">
        <v>2</v>
      </c>
      <c r="E15" s="11" t="s">
        <v>102</v>
      </c>
      <c r="F15" s="11" t="s">
        <v>137</v>
      </c>
      <c r="G15" s="11" t="n">
        <v>16</v>
      </c>
      <c r="H15" s="12" t="s">
        <v>138</v>
      </c>
    </row>
    <row r="16" customFormat="false" ht="15" hidden="false" customHeight="false" outlineLevel="0" collapsed="false">
      <c r="A16" s="11" t="s">
        <v>98</v>
      </c>
      <c r="B16" s="11" t="s">
        <v>3</v>
      </c>
      <c r="C16" s="11" t="n">
        <v>2023</v>
      </c>
      <c r="D16" s="11" t="n">
        <v>3</v>
      </c>
      <c r="E16" s="11" t="s">
        <v>105</v>
      </c>
      <c r="F16" s="11" t="s">
        <v>139</v>
      </c>
      <c r="G16" s="11" t="n">
        <v>20</v>
      </c>
      <c r="H16" s="12" t="s">
        <v>140</v>
      </c>
    </row>
    <row r="17" customFormat="false" ht="15" hidden="false" customHeight="false" outlineLevel="0" collapsed="false">
      <c r="A17" s="11" t="s">
        <v>98</v>
      </c>
      <c r="B17" s="11" t="s">
        <v>3</v>
      </c>
      <c r="C17" s="11" t="n">
        <v>2023</v>
      </c>
      <c r="D17" s="11" t="n">
        <v>4</v>
      </c>
      <c r="E17" s="11" t="s">
        <v>108</v>
      </c>
      <c r="F17" s="11" t="s">
        <v>141</v>
      </c>
      <c r="G17" s="11" t="n">
        <v>24</v>
      </c>
      <c r="H17" s="12" t="s">
        <v>142</v>
      </c>
    </row>
    <row r="18" customFormat="false" ht="15" hidden="false" customHeight="false" outlineLevel="0" collapsed="false">
      <c r="A18" s="11" t="s">
        <v>98</v>
      </c>
      <c r="B18" s="11" t="s">
        <v>3</v>
      </c>
      <c r="C18" s="11" t="n">
        <v>2023</v>
      </c>
      <c r="D18" s="11" t="n">
        <v>5</v>
      </c>
      <c r="E18" s="11" t="s">
        <v>111</v>
      </c>
      <c r="F18" s="11" t="s">
        <v>143</v>
      </c>
      <c r="G18" s="11" t="n">
        <v>28</v>
      </c>
      <c r="H18" s="12" t="s">
        <v>144</v>
      </c>
    </row>
    <row r="19" customFormat="false" ht="15" hidden="false" customHeight="false" outlineLevel="0" collapsed="false">
      <c r="A19" s="11" t="s">
        <v>98</v>
      </c>
      <c r="B19" s="11" t="s">
        <v>3</v>
      </c>
      <c r="C19" s="11" t="n">
        <v>2023</v>
      </c>
      <c r="D19" s="11" t="n">
        <v>6</v>
      </c>
      <c r="E19" s="11" t="s">
        <v>114</v>
      </c>
      <c r="F19" s="11" t="s">
        <v>145</v>
      </c>
      <c r="G19" s="11" t="n">
        <v>28</v>
      </c>
      <c r="H19" s="12" t="s">
        <v>146</v>
      </c>
    </row>
    <row r="20" customFormat="false" ht="15" hidden="false" customHeight="false" outlineLevel="0" collapsed="false">
      <c r="A20" s="11" t="s">
        <v>98</v>
      </c>
      <c r="B20" s="11" t="s">
        <v>3</v>
      </c>
      <c r="C20" s="11" t="n">
        <v>2023</v>
      </c>
      <c r="D20" s="11" t="n">
        <v>7</v>
      </c>
      <c r="E20" s="11" t="s">
        <v>117</v>
      </c>
      <c r="F20" s="11" t="s">
        <v>147</v>
      </c>
      <c r="G20" s="11" t="n">
        <v>28</v>
      </c>
      <c r="H20" s="12" t="s">
        <v>148</v>
      </c>
    </row>
    <row r="21" customFormat="false" ht="15" hidden="false" customHeight="false" outlineLevel="0" collapsed="false">
      <c r="A21" s="11" t="s">
        <v>98</v>
      </c>
      <c r="B21" s="11" t="s">
        <v>3</v>
      </c>
      <c r="C21" s="11" t="n">
        <v>2023</v>
      </c>
      <c r="D21" s="11" t="n">
        <v>8</v>
      </c>
      <c r="E21" s="11" t="s">
        <v>120</v>
      </c>
      <c r="F21" s="11" t="s">
        <v>149</v>
      </c>
      <c r="G21" s="11" t="n">
        <v>20</v>
      </c>
      <c r="H21" s="12" t="s">
        <v>150</v>
      </c>
    </row>
    <row r="22" customFormat="false" ht="15" hidden="false" customHeight="false" outlineLevel="0" collapsed="false">
      <c r="A22" s="11" t="s">
        <v>98</v>
      </c>
      <c r="B22" s="11" t="s">
        <v>3</v>
      </c>
      <c r="C22" s="11" t="n">
        <v>2023</v>
      </c>
      <c r="D22" s="11" t="n">
        <v>9</v>
      </c>
      <c r="E22" s="11" t="s">
        <v>123</v>
      </c>
      <c r="F22" s="11" t="s">
        <v>151</v>
      </c>
      <c r="G22" s="11" t="n">
        <v>24</v>
      </c>
      <c r="H22" s="12" t="s">
        <v>152</v>
      </c>
    </row>
    <row r="23" customFormat="false" ht="15" hidden="false" customHeight="false" outlineLevel="0" collapsed="false">
      <c r="A23" s="11" t="s">
        <v>98</v>
      </c>
      <c r="B23" s="11" t="s">
        <v>3</v>
      </c>
      <c r="C23" s="11" t="n">
        <v>2023</v>
      </c>
      <c r="D23" s="11" t="n">
        <v>10</v>
      </c>
      <c r="E23" s="11" t="s">
        <v>126</v>
      </c>
      <c r="F23" s="11" t="s">
        <v>153</v>
      </c>
      <c r="G23" s="11" t="n">
        <v>20</v>
      </c>
      <c r="H23" s="12" t="s">
        <v>154</v>
      </c>
    </row>
    <row r="24" customFormat="false" ht="15" hidden="false" customHeight="false" outlineLevel="0" collapsed="false">
      <c r="A24" s="11" t="s">
        <v>98</v>
      </c>
      <c r="B24" s="11" t="s">
        <v>3</v>
      </c>
      <c r="C24" s="11" t="n">
        <v>2023</v>
      </c>
      <c r="D24" s="11" t="n">
        <v>11</v>
      </c>
      <c r="E24" s="11" t="s">
        <v>129</v>
      </c>
      <c r="F24" s="11" t="s">
        <v>155</v>
      </c>
      <c r="G24" s="11" t="n">
        <v>20</v>
      </c>
      <c r="H24" s="12" t="s">
        <v>156</v>
      </c>
    </row>
    <row r="25" customFormat="false" ht="15" hidden="false" customHeight="false" outlineLevel="0" collapsed="false">
      <c r="A25" s="11" t="s">
        <v>98</v>
      </c>
      <c r="B25" s="11" t="s">
        <v>3</v>
      </c>
      <c r="C25" s="11" t="n">
        <v>2023</v>
      </c>
      <c r="D25" s="11" t="n">
        <v>12</v>
      </c>
      <c r="E25" s="11" t="s">
        <v>132</v>
      </c>
      <c r="F25" s="11" t="s">
        <v>157</v>
      </c>
      <c r="G25" s="11" t="n">
        <v>24</v>
      </c>
      <c r="H25" s="12" t="s">
        <v>158</v>
      </c>
    </row>
    <row r="26" customFormat="false" ht="15" hidden="false" customHeight="false" outlineLevel="0" collapsed="false">
      <c r="A26" s="11" t="s">
        <v>98</v>
      </c>
      <c r="B26" s="11" t="s">
        <v>3</v>
      </c>
      <c r="C26" s="11" t="n">
        <v>2024</v>
      </c>
      <c r="D26" s="11" t="n">
        <v>1</v>
      </c>
      <c r="E26" s="11" t="s">
        <v>99</v>
      </c>
      <c r="F26" s="11" t="s">
        <v>159</v>
      </c>
      <c r="G26" s="11" t="n">
        <v>20</v>
      </c>
      <c r="H26" s="12" t="s">
        <v>160</v>
      </c>
    </row>
    <row r="27" customFormat="false" ht="15" hidden="false" customHeight="false" outlineLevel="0" collapsed="false">
      <c r="A27" s="11" t="s">
        <v>98</v>
      </c>
      <c r="B27" s="11" t="s">
        <v>3</v>
      </c>
      <c r="C27" s="11" t="n">
        <v>2024</v>
      </c>
      <c r="D27" s="11" t="n">
        <v>2</v>
      </c>
      <c r="E27" s="11" t="s">
        <v>102</v>
      </c>
      <c r="F27" s="11" t="s">
        <v>161</v>
      </c>
      <c r="G27" s="11" t="n">
        <v>16</v>
      </c>
      <c r="H27" s="12" t="s">
        <v>162</v>
      </c>
    </row>
    <row r="28" customFormat="false" ht="15" hidden="false" customHeight="false" outlineLevel="0" collapsed="false">
      <c r="A28" s="11" t="s">
        <v>98</v>
      </c>
      <c r="B28" s="11" t="s">
        <v>3</v>
      </c>
      <c r="C28" s="11" t="n">
        <v>2024</v>
      </c>
      <c r="D28" s="11" t="n">
        <v>3</v>
      </c>
      <c r="E28" s="11" t="s">
        <v>105</v>
      </c>
      <c r="F28" s="11" t="s">
        <v>163</v>
      </c>
      <c r="G28" s="11" t="n">
        <v>20</v>
      </c>
      <c r="H28" s="12" t="s">
        <v>164</v>
      </c>
    </row>
    <row r="29" customFormat="false" ht="15" hidden="false" customHeight="false" outlineLevel="0" collapsed="false">
      <c r="A29" s="11" t="s">
        <v>98</v>
      </c>
      <c r="B29" s="11" t="s">
        <v>3</v>
      </c>
      <c r="C29" s="11" t="n">
        <v>2024</v>
      </c>
      <c r="D29" s="11" t="n">
        <v>4</v>
      </c>
      <c r="E29" s="11" t="s">
        <v>108</v>
      </c>
      <c r="F29" s="11" t="s">
        <v>165</v>
      </c>
      <c r="G29" s="11" t="n">
        <v>20</v>
      </c>
      <c r="H29" s="12" t="s">
        <v>166</v>
      </c>
    </row>
    <row r="30" customFormat="false" ht="15" hidden="false" customHeight="false" outlineLevel="0" collapsed="false">
      <c r="A30" s="11" t="s">
        <v>98</v>
      </c>
      <c r="B30" s="11" t="s">
        <v>3</v>
      </c>
      <c r="C30" s="11" t="n">
        <v>2024</v>
      </c>
      <c r="D30" s="11" t="n">
        <v>5</v>
      </c>
      <c r="E30" s="11" t="s">
        <v>111</v>
      </c>
      <c r="F30" s="11" t="s">
        <v>167</v>
      </c>
      <c r="G30" s="11" t="n">
        <v>24</v>
      </c>
      <c r="H30" s="12" t="s">
        <v>168</v>
      </c>
    </row>
    <row r="31" customFormat="false" ht="15" hidden="false" customHeight="false" outlineLevel="0" collapsed="false">
      <c r="A31" s="11" t="s">
        <v>98</v>
      </c>
      <c r="B31" s="11" t="s">
        <v>3</v>
      </c>
      <c r="C31" s="11" t="n">
        <v>2024</v>
      </c>
      <c r="D31" s="11" t="n">
        <v>6</v>
      </c>
      <c r="E31" s="11" t="s">
        <v>114</v>
      </c>
      <c r="F31" s="11" t="s">
        <v>169</v>
      </c>
      <c r="G31" s="11" t="n">
        <v>24</v>
      </c>
      <c r="H31" s="12" t="s">
        <v>170</v>
      </c>
    </row>
    <row r="32" customFormat="false" ht="15" hidden="false" customHeight="false" outlineLevel="0" collapsed="false">
      <c r="A32" s="11" t="s">
        <v>98</v>
      </c>
      <c r="B32" s="11" t="s">
        <v>3</v>
      </c>
      <c r="C32" s="11" t="n">
        <v>2024</v>
      </c>
      <c r="D32" s="11" t="n">
        <v>7</v>
      </c>
      <c r="E32" s="11" t="s">
        <v>117</v>
      </c>
      <c r="F32" s="11" t="s">
        <v>171</v>
      </c>
      <c r="G32" s="11" t="n">
        <v>16</v>
      </c>
      <c r="H32" s="12" t="s">
        <v>172</v>
      </c>
    </row>
    <row r="33" customFormat="false" ht="15" hidden="false" customHeight="false" outlineLevel="0" collapsed="false">
      <c r="A33" s="11" t="s">
        <v>98</v>
      </c>
      <c r="B33" s="11" t="s">
        <v>3</v>
      </c>
      <c r="C33" s="11" t="n">
        <v>2024</v>
      </c>
      <c r="D33" s="11" t="n">
        <v>8</v>
      </c>
      <c r="E33" s="11" t="s">
        <v>120</v>
      </c>
      <c r="F33" s="11" t="s">
        <v>173</v>
      </c>
      <c r="G33" s="11" t="n">
        <v>16</v>
      </c>
      <c r="H33" s="12" t="s">
        <v>174</v>
      </c>
    </row>
    <row r="34" customFormat="false" ht="15" hidden="false" customHeight="false" outlineLevel="0" collapsed="false">
      <c r="A34" s="11" t="s">
        <v>98</v>
      </c>
      <c r="B34" s="11" t="s">
        <v>3</v>
      </c>
      <c r="C34" s="11" t="n">
        <v>2024</v>
      </c>
      <c r="D34" s="11" t="n">
        <v>9</v>
      </c>
      <c r="E34" s="11" t="s">
        <v>123</v>
      </c>
      <c r="F34" s="11" t="s">
        <v>175</v>
      </c>
      <c r="G34" s="11" t="n">
        <v>20</v>
      </c>
      <c r="H34" s="12" t="s">
        <v>176</v>
      </c>
    </row>
    <row r="35" customFormat="false" ht="15" hidden="false" customHeight="false" outlineLevel="0" collapsed="false">
      <c r="A35" s="11" t="s">
        <v>98</v>
      </c>
      <c r="B35" s="11" t="s">
        <v>3</v>
      </c>
      <c r="C35" s="11" t="n">
        <v>2024</v>
      </c>
      <c r="D35" s="11" t="n">
        <v>10</v>
      </c>
      <c r="E35" s="11" t="s">
        <v>126</v>
      </c>
      <c r="F35" s="11" t="s">
        <v>177</v>
      </c>
      <c r="G35" s="11" t="n">
        <v>20</v>
      </c>
      <c r="H35" s="12" t="s">
        <v>178</v>
      </c>
    </row>
    <row r="36" customFormat="false" ht="15" hidden="false" customHeight="false" outlineLevel="0" collapsed="false">
      <c r="A36" s="11" t="s">
        <v>98</v>
      </c>
      <c r="B36" s="11" t="s">
        <v>3</v>
      </c>
      <c r="C36" s="11" t="n">
        <v>2024</v>
      </c>
      <c r="D36" s="11" t="n">
        <v>11</v>
      </c>
      <c r="E36" s="11" t="s">
        <v>129</v>
      </c>
      <c r="F36" s="11" t="s">
        <v>179</v>
      </c>
      <c r="G36" s="11" t="n">
        <v>20</v>
      </c>
      <c r="H36" s="12" t="s">
        <v>180</v>
      </c>
    </row>
    <row r="37" customFormat="false" ht="15" hidden="false" customHeight="false" outlineLevel="0" collapsed="false">
      <c r="A37" s="11" t="s">
        <v>98</v>
      </c>
      <c r="B37" s="11" t="s">
        <v>3</v>
      </c>
      <c r="C37" s="11" t="n">
        <v>2024</v>
      </c>
      <c r="D37" s="11" t="n">
        <v>12</v>
      </c>
      <c r="E37" s="11" t="s">
        <v>132</v>
      </c>
      <c r="F37" s="11" t="s">
        <v>181</v>
      </c>
      <c r="G37" s="11" t="n">
        <v>20</v>
      </c>
      <c r="H37" s="12" t="s">
        <v>182</v>
      </c>
    </row>
    <row r="38" customFormat="false" ht="15" hidden="false" customHeight="false" outlineLevel="0" collapsed="false">
      <c r="A38" s="11" t="s">
        <v>98</v>
      </c>
      <c r="B38" s="11" t="s">
        <v>3</v>
      </c>
      <c r="C38" s="11" t="n">
        <v>2025</v>
      </c>
      <c r="D38" s="11" t="n">
        <v>1</v>
      </c>
      <c r="E38" s="11" t="s">
        <v>99</v>
      </c>
      <c r="F38" s="11" t="s">
        <v>183</v>
      </c>
      <c r="G38" s="11" t="n">
        <v>20</v>
      </c>
      <c r="H38" s="12" t="s">
        <v>184</v>
      </c>
    </row>
    <row r="39" customFormat="false" ht="15" hidden="false" customHeight="false" outlineLevel="0" collapsed="false">
      <c r="A39" s="11" t="s">
        <v>98</v>
      </c>
      <c r="B39" s="11" t="s">
        <v>3</v>
      </c>
      <c r="C39" s="11" t="n">
        <v>2025</v>
      </c>
      <c r="D39" s="11" t="n">
        <v>2</v>
      </c>
      <c r="E39" s="11" t="s">
        <v>102</v>
      </c>
      <c r="F39" s="11" t="s">
        <v>185</v>
      </c>
      <c r="G39" s="11" t="n">
        <v>16</v>
      </c>
      <c r="H39" s="12" t="s">
        <v>186</v>
      </c>
    </row>
    <row r="40" customFormat="false" ht="15" hidden="false" customHeight="false" outlineLevel="0" collapsed="false">
      <c r="A40" s="11" t="s">
        <v>98</v>
      </c>
      <c r="B40" s="11" t="s">
        <v>3</v>
      </c>
      <c r="C40" s="11" t="n">
        <v>2025</v>
      </c>
      <c r="D40" s="11" t="n">
        <v>3</v>
      </c>
      <c r="E40" s="11" t="s">
        <v>105</v>
      </c>
      <c r="F40" s="11" t="s">
        <v>187</v>
      </c>
      <c r="G40" s="11" t="n">
        <v>20</v>
      </c>
      <c r="H40" s="12" t="s">
        <v>188</v>
      </c>
    </row>
    <row r="41" customFormat="false" ht="15" hidden="false" customHeight="false" outlineLevel="0" collapsed="false">
      <c r="A41" s="11" t="s">
        <v>98</v>
      </c>
      <c r="B41" s="11" t="s">
        <v>3</v>
      </c>
      <c r="C41" s="11" t="n">
        <v>2025</v>
      </c>
      <c r="D41" s="11" t="n">
        <v>4</v>
      </c>
      <c r="E41" s="11" t="s">
        <v>108</v>
      </c>
      <c r="F41" s="11" t="s">
        <v>189</v>
      </c>
      <c r="G41" s="11" t="n">
        <v>20</v>
      </c>
      <c r="H41" s="12" t="s">
        <v>190</v>
      </c>
    </row>
    <row r="42" customFormat="false" ht="15" hidden="false" customHeight="false" outlineLevel="0" collapsed="false">
      <c r="A42" s="11" t="s">
        <v>98</v>
      </c>
      <c r="B42" s="11" t="s">
        <v>3</v>
      </c>
      <c r="C42" s="11" t="n">
        <v>2025</v>
      </c>
      <c r="D42" s="11" t="n">
        <v>5</v>
      </c>
      <c r="E42" s="11" t="s">
        <v>111</v>
      </c>
      <c r="F42" s="11" t="s">
        <v>191</v>
      </c>
      <c r="G42" s="11" t="n">
        <v>24</v>
      </c>
      <c r="H42" s="12" t="s">
        <v>192</v>
      </c>
    </row>
    <row r="43" customFormat="false" ht="15" hidden="false" customHeight="false" outlineLevel="0" collapsed="false">
      <c r="A43" s="11" t="s">
        <v>98</v>
      </c>
      <c r="B43" s="11" t="s">
        <v>3</v>
      </c>
      <c r="C43" s="11" t="n">
        <v>2025</v>
      </c>
      <c r="D43" s="11" t="n">
        <v>6</v>
      </c>
      <c r="E43" s="11" t="s">
        <v>114</v>
      </c>
      <c r="F43" s="11" t="s">
        <v>193</v>
      </c>
      <c r="G43" s="11" t="n">
        <v>20</v>
      </c>
      <c r="H43" s="12" t="s">
        <v>194</v>
      </c>
    </row>
    <row r="44" customFormat="false" ht="15" hidden="false" customHeight="false" outlineLevel="0" collapsed="false">
      <c r="A44" s="11" t="s">
        <v>98</v>
      </c>
      <c r="B44" s="11" t="s">
        <v>3</v>
      </c>
      <c r="C44" s="11" t="n">
        <v>2025</v>
      </c>
      <c r="D44" s="11" t="n">
        <v>7</v>
      </c>
      <c r="E44" s="11" t="s">
        <v>117</v>
      </c>
      <c r="F44" s="11" t="s">
        <v>195</v>
      </c>
      <c r="G44" s="11" t="n">
        <v>30</v>
      </c>
      <c r="H44" s="12" t="s">
        <v>196</v>
      </c>
    </row>
    <row r="45" customFormat="false" ht="15" hidden="false" customHeight="false" outlineLevel="0" collapsed="false">
      <c r="A45" s="11" t="s">
        <v>98</v>
      </c>
      <c r="B45" s="11" t="s">
        <v>3</v>
      </c>
      <c r="C45" s="11" t="n">
        <v>2025</v>
      </c>
      <c r="D45" s="11" t="n">
        <v>8</v>
      </c>
      <c r="E45" s="11" t="s">
        <v>120</v>
      </c>
      <c r="F45" s="11" t="s">
        <v>197</v>
      </c>
      <c r="G45" s="11" t="n">
        <v>20</v>
      </c>
      <c r="H45" s="12" t="s">
        <v>198</v>
      </c>
    </row>
    <row r="46" customFormat="false" ht="15" hidden="false" customHeight="false" outlineLevel="0" collapsed="false">
      <c r="A46" s="11" t="s">
        <v>98</v>
      </c>
      <c r="B46" s="11" t="s">
        <v>3</v>
      </c>
      <c r="C46" s="11" t="n">
        <v>2025</v>
      </c>
      <c r="D46" s="11" t="n">
        <v>9</v>
      </c>
      <c r="E46" s="11" t="s">
        <v>123</v>
      </c>
      <c r="F46" s="11" t="s">
        <v>199</v>
      </c>
      <c r="G46" s="11" t="n">
        <v>20</v>
      </c>
      <c r="H46" s="12" t="s">
        <v>200</v>
      </c>
    </row>
    <row r="47" customFormat="false" ht="15" hidden="false" customHeight="false" outlineLevel="0" collapsed="false">
      <c r="A47" s="11" t="s">
        <v>98</v>
      </c>
      <c r="B47" s="11" t="s">
        <v>3</v>
      </c>
      <c r="C47" s="11" t="n">
        <v>2025</v>
      </c>
      <c r="D47" s="11" t="n">
        <v>10</v>
      </c>
      <c r="E47" s="11" t="s">
        <v>126</v>
      </c>
      <c r="F47" s="11" t="s">
        <v>201</v>
      </c>
      <c r="G47" s="11" t="n">
        <v>24</v>
      </c>
      <c r="H47" s="12" t="s">
        <v>202</v>
      </c>
    </row>
    <row r="48" customFormat="false" ht="15" hidden="false" customHeight="false" outlineLevel="0" collapsed="false">
      <c r="A48" s="11" t="s">
        <v>98</v>
      </c>
      <c r="B48" s="11" t="s">
        <v>3</v>
      </c>
      <c r="C48" s="11" t="n">
        <v>2025</v>
      </c>
      <c r="D48" s="11" t="n">
        <v>11</v>
      </c>
      <c r="E48" s="11" t="s">
        <v>129</v>
      </c>
      <c r="F48" s="11" t="s">
        <v>203</v>
      </c>
      <c r="G48" s="11" t="n">
        <v>20</v>
      </c>
      <c r="H48" s="12" t="s">
        <v>204</v>
      </c>
    </row>
    <row r="49" customFormat="false" ht="15" hidden="false" customHeight="false" outlineLevel="0" collapsed="false">
      <c r="A49" s="11" t="s">
        <v>98</v>
      </c>
      <c r="B49" s="11" t="s">
        <v>3</v>
      </c>
      <c r="C49" s="11" t="n">
        <v>2025</v>
      </c>
      <c r="D49" s="11" t="n">
        <v>12</v>
      </c>
      <c r="E49" s="11" t="s">
        <v>132</v>
      </c>
      <c r="F49" s="11" t="s">
        <v>205</v>
      </c>
      <c r="G49" s="11" t="n">
        <v>30</v>
      </c>
      <c r="H49" s="12" t="s">
        <v>206</v>
      </c>
    </row>
    <row r="50" customFormat="false" ht="15" hidden="false" customHeight="false" outlineLevel="0" collapsed="false">
      <c r="A50" s="11" t="s">
        <v>98</v>
      </c>
      <c r="B50" s="11" t="s">
        <v>3</v>
      </c>
      <c r="C50" s="11" t="n">
        <v>2026</v>
      </c>
      <c r="D50" s="11" t="n">
        <v>1</v>
      </c>
      <c r="E50" s="11" t="s">
        <v>99</v>
      </c>
      <c r="F50" s="11" t="s">
        <v>207</v>
      </c>
      <c r="G50" s="11" t="n">
        <v>16</v>
      </c>
      <c r="H50" s="12" t="s">
        <v>208</v>
      </c>
    </row>
    <row r="51" customFormat="false" ht="15" hidden="false" customHeight="false" outlineLevel="0" collapsed="false">
      <c r="A51" s="11" t="s">
        <v>98</v>
      </c>
      <c r="B51" s="11" t="s">
        <v>3</v>
      </c>
      <c r="C51" s="11" t="n">
        <v>2026</v>
      </c>
      <c r="D51" s="11" t="n">
        <v>2</v>
      </c>
      <c r="E51" s="11" t="s">
        <v>102</v>
      </c>
      <c r="F51" s="11" t="s">
        <v>209</v>
      </c>
      <c r="G51" s="11" t="n">
        <v>16</v>
      </c>
      <c r="H51" s="12" t="s">
        <v>210</v>
      </c>
    </row>
    <row r="52" customFormat="false" ht="15" hidden="false" customHeight="false" outlineLevel="0" collapsed="false">
      <c r="A52" s="11" t="s">
        <v>98</v>
      </c>
      <c r="B52" s="11" t="s">
        <v>3</v>
      </c>
      <c r="C52" s="11" t="n">
        <v>2026</v>
      </c>
      <c r="D52" s="11" t="n">
        <v>3</v>
      </c>
      <c r="E52" s="11" t="s">
        <v>105</v>
      </c>
      <c r="F52" s="11" t="s">
        <v>211</v>
      </c>
      <c r="G52" s="11" t="n">
        <v>16</v>
      </c>
      <c r="H52" s="12" t="s">
        <v>212</v>
      </c>
    </row>
    <row r="53" customFormat="false" ht="15" hidden="false" customHeight="false" outlineLevel="0" collapsed="false">
      <c r="A53" s="11" t="s">
        <v>98</v>
      </c>
      <c r="B53" s="11" t="s">
        <v>3</v>
      </c>
      <c r="C53" s="11" t="n">
        <v>2026</v>
      </c>
      <c r="D53" s="11" t="n">
        <v>4</v>
      </c>
      <c r="E53" s="11" t="s">
        <v>108</v>
      </c>
      <c r="F53" s="11" t="s">
        <v>213</v>
      </c>
      <c r="G53" s="11" t="n">
        <v>20</v>
      </c>
      <c r="H53" s="12" t="s">
        <v>214</v>
      </c>
    </row>
    <row r="54" customFormat="false" ht="15" hidden="false" customHeight="false" outlineLevel="0" collapsed="false">
      <c r="A54" s="11" t="s">
        <v>98</v>
      </c>
      <c r="B54" s="11" t="s">
        <v>3</v>
      </c>
      <c r="C54" s="11" t="n">
        <v>2026</v>
      </c>
      <c r="D54" s="11" t="n">
        <v>5</v>
      </c>
      <c r="E54" s="11" t="s">
        <v>111</v>
      </c>
      <c r="F54" s="11" t="s">
        <v>215</v>
      </c>
      <c r="G54" s="11" t="n">
        <v>20</v>
      </c>
      <c r="H54" s="12" t="s">
        <v>216</v>
      </c>
    </row>
    <row r="55" customFormat="false" ht="15" hidden="false" customHeight="false" outlineLevel="0" collapsed="false">
      <c r="A55" s="11" t="s">
        <v>217</v>
      </c>
      <c r="B55" s="11" t="s">
        <v>4</v>
      </c>
      <c r="C55" s="11" t="n">
        <v>2022</v>
      </c>
      <c r="D55" s="11" t="n">
        <v>1</v>
      </c>
      <c r="E55" s="11" t="s">
        <v>99</v>
      </c>
      <c r="F55" s="11" t="s">
        <v>100</v>
      </c>
      <c r="G55" s="11" t="n">
        <v>20</v>
      </c>
      <c r="H55" s="12" t="s">
        <v>218</v>
      </c>
    </row>
    <row r="56" customFormat="false" ht="15" hidden="false" customHeight="false" outlineLevel="0" collapsed="false">
      <c r="A56" s="11" t="s">
        <v>217</v>
      </c>
      <c r="B56" s="11" t="s">
        <v>4</v>
      </c>
      <c r="C56" s="11" t="n">
        <v>2022</v>
      </c>
      <c r="D56" s="11" t="n">
        <v>2</v>
      </c>
      <c r="E56" s="11" t="s">
        <v>102</v>
      </c>
      <c r="F56" s="11" t="s">
        <v>103</v>
      </c>
      <c r="G56" s="11" t="n">
        <v>16</v>
      </c>
      <c r="H56" s="12" t="s">
        <v>219</v>
      </c>
    </row>
    <row r="57" customFormat="false" ht="15" hidden="false" customHeight="false" outlineLevel="0" collapsed="false">
      <c r="A57" s="11" t="s">
        <v>217</v>
      </c>
      <c r="B57" s="11" t="s">
        <v>4</v>
      </c>
      <c r="C57" s="11" t="n">
        <v>2022</v>
      </c>
      <c r="D57" s="11" t="n">
        <v>3</v>
      </c>
      <c r="E57" s="11" t="s">
        <v>105</v>
      </c>
      <c r="F57" s="11" t="s">
        <v>106</v>
      </c>
      <c r="G57" s="11" t="n">
        <v>24</v>
      </c>
      <c r="H57" s="12" t="s">
        <v>220</v>
      </c>
    </row>
    <row r="58" customFormat="false" ht="15" hidden="false" customHeight="false" outlineLevel="0" collapsed="false">
      <c r="A58" s="11" t="s">
        <v>217</v>
      </c>
      <c r="B58" s="11" t="s">
        <v>4</v>
      </c>
      <c r="C58" s="11" t="n">
        <v>2022</v>
      </c>
      <c r="D58" s="11" t="n">
        <v>4</v>
      </c>
      <c r="E58" s="11" t="s">
        <v>108</v>
      </c>
      <c r="F58" s="11" t="s">
        <v>109</v>
      </c>
      <c r="G58" s="11" t="n">
        <v>24</v>
      </c>
      <c r="H58" s="12" t="s">
        <v>221</v>
      </c>
    </row>
    <row r="59" customFormat="false" ht="15" hidden="false" customHeight="false" outlineLevel="0" collapsed="false">
      <c r="A59" s="11" t="s">
        <v>217</v>
      </c>
      <c r="B59" s="11" t="s">
        <v>4</v>
      </c>
      <c r="C59" s="11" t="n">
        <v>2022</v>
      </c>
      <c r="D59" s="11" t="n">
        <v>5</v>
      </c>
      <c r="E59" s="11" t="s">
        <v>111</v>
      </c>
      <c r="F59" s="11" t="s">
        <v>112</v>
      </c>
      <c r="G59" s="11" t="n">
        <v>28</v>
      </c>
      <c r="H59" s="12" t="s">
        <v>222</v>
      </c>
    </row>
    <row r="60" customFormat="false" ht="15" hidden="false" customHeight="false" outlineLevel="0" collapsed="false">
      <c r="A60" s="11" t="s">
        <v>217</v>
      </c>
      <c r="B60" s="11" t="s">
        <v>4</v>
      </c>
      <c r="C60" s="11" t="n">
        <v>2022</v>
      </c>
      <c r="D60" s="11" t="n">
        <v>6</v>
      </c>
      <c r="E60" s="11" t="s">
        <v>114</v>
      </c>
      <c r="F60" s="11" t="s">
        <v>115</v>
      </c>
      <c r="G60" s="11" t="n">
        <v>24</v>
      </c>
      <c r="H60" s="12" t="s">
        <v>223</v>
      </c>
    </row>
    <row r="61" customFormat="false" ht="15" hidden="false" customHeight="false" outlineLevel="0" collapsed="false">
      <c r="A61" s="11" t="s">
        <v>217</v>
      </c>
      <c r="B61" s="11" t="s">
        <v>4</v>
      </c>
      <c r="C61" s="11" t="n">
        <v>2022</v>
      </c>
      <c r="D61" s="11" t="n">
        <v>7</v>
      </c>
      <c r="E61" s="11" t="s">
        <v>117</v>
      </c>
      <c r="F61" s="11" t="s">
        <v>118</v>
      </c>
      <c r="G61" s="11" t="n">
        <v>20</v>
      </c>
      <c r="H61" s="12" t="s">
        <v>224</v>
      </c>
    </row>
    <row r="62" customFormat="false" ht="15" hidden="false" customHeight="false" outlineLevel="0" collapsed="false">
      <c r="A62" s="11" t="s">
        <v>217</v>
      </c>
      <c r="B62" s="11" t="s">
        <v>4</v>
      </c>
      <c r="C62" s="11" t="n">
        <v>2022</v>
      </c>
      <c r="D62" s="11" t="n">
        <v>8</v>
      </c>
      <c r="E62" s="11" t="s">
        <v>120</v>
      </c>
      <c r="F62" s="11" t="s">
        <v>121</v>
      </c>
      <c r="G62" s="11" t="n">
        <v>16</v>
      </c>
      <c r="H62" s="12" t="s">
        <v>225</v>
      </c>
    </row>
    <row r="63" customFormat="false" ht="15" hidden="false" customHeight="false" outlineLevel="0" collapsed="false">
      <c r="A63" s="11" t="s">
        <v>217</v>
      </c>
      <c r="B63" s="11" t="s">
        <v>4</v>
      </c>
      <c r="C63" s="11" t="n">
        <v>2022</v>
      </c>
      <c r="D63" s="11" t="n">
        <v>9</v>
      </c>
      <c r="E63" s="11" t="s">
        <v>123</v>
      </c>
      <c r="F63" s="11" t="s">
        <v>124</v>
      </c>
      <c r="G63" s="11" t="n">
        <v>28</v>
      </c>
      <c r="H63" s="12" t="s">
        <v>226</v>
      </c>
    </row>
    <row r="64" customFormat="false" ht="15" hidden="false" customHeight="false" outlineLevel="0" collapsed="false">
      <c r="A64" s="11" t="s">
        <v>217</v>
      </c>
      <c r="B64" s="11" t="s">
        <v>4</v>
      </c>
      <c r="C64" s="11" t="n">
        <v>2022</v>
      </c>
      <c r="D64" s="11" t="n">
        <v>10</v>
      </c>
      <c r="E64" s="11" t="s">
        <v>126</v>
      </c>
      <c r="F64" s="11" t="s">
        <v>127</v>
      </c>
      <c r="G64" s="11" t="n">
        <v>24</v>
      </c>
      <c r="H64" s="12" t="s">
        <v>227</v>
      </c>
    </row>
    <row r="65" customFormat="false" ht="15" hidden="false" customHeight="false" outlineLevel="0" collapsed="false">
      <c r="A65" s="11" t="s">
        <v>217</v>
      </c>
      <c r="B65" s="11" t="s">
        <v>4</v>
      </c>
      <c r="C65" s="11" t="n">
        <v>2022</v>
      </c>
      <c r="D65" s="11" t="n">
        <v>11</v>
      </c>
      <c r="E65" s="11" t="s">
        <v>129</v>
      </c>
      <c r="F65" s="11" t="s">
        <v>130</v>
      </c>
      <c r="G65" s="11" t="n">
        <v>24</v>
      </c>
      <c r="H65" s="12" t="s">
        <v>228</v>
      </c>
    </row>
    <row r="66" customFormat="false" ht="15" hidden="false" customHeight="false" outlineLevel="0" collapsed="false">
      <c r="A66" s="11" t="s">
        <v>217</v>
      </c>
      <c r="B66" s="11" t="s">
        <v>4</v>
      </c>
      <c r="C66" s="11" t="n">
        <v>2022</v>
      </c>
      <c r="D66" s="11" t="n">
        <v>12</v>
      </c>
      <c r="E66" s="11" t="s">
        <v>132</v>
      </c>
      <c r="F66" s="11" t="s">
        <v>133</v>
      </c>
      <c r="G66" s="11" t="n">
        <v>28</v>
      </c>
      <c r="H66" s="12" t="s">
        <v>229</v>
      </c>
    </row>
    <row r="67" customFormat="false" ht="15" hidden="false" customHeight="false" outlineLevel="0" collapsed="false">
      <c r="A67" s="11" t="s">
        <v>217</v>
      </c>
      <c r="B67" s="11" t="s">
        <v>4</v>
      </c>
      <c r="C67" s="11" t="n">
        <v>2023</v>
      </c>
      <c r="D67" s="11" t="n">
        <v>1</v>
      </c>
      <c r="E67" s="11" t="s">
        <v>99</v>
      </c>
      <c r="F67" s="11" t="s">
        <v>135</v>
      </c>
      <c r="G67" s="11" t="n">
        <v>24</v>
      </c>
      <c r="H67" s="12" t="s">
        <v>230</v>
      </c>
    </row>
    <row r="68" customFormat="false" ht="15" hidden="false" customHeight="false" outlineLevel="0" collapsed="false">
      <c r="A68" s="11" t="s">
        <v>217</v>
      </c>
      <c r="B68" s="11" t="s">
        <v>4</v>
      </c>
      <c r="C68" s="11" t="n">
        <v>2023</v>
      </c>
      <c r="D68" s="11" t="n">
        <v>2</v>
      </c>
      <c r="E68" s="11" t="s">
        <v>102</v>
      </c>
      <c r="F68" s="11" t="s">
        <v>137</v>
      </c>
      <c r="G68" s="11" t="n">
        <v>20</v>
      </c>
      <c r="H68" s="12" t="s">
        <v>231</v>
      </c>
    </row>
    <row r="69" customFormat="false" ht="15" hidden="false" customHeight="false" outlineLevel="0" collapsed="false">
      <c r="A69" s="11" t="s">
        <v>217</v>
      </c>
      <c r="B69" s="11" t="s">
        <v>4</v>
      </c>
      <c r="C69" s="11" t="n">
        <v>2023</v>
      </c>
      <c r="D69" s="11" t="n">
        <v>3</v>
      </c>
      <c r="E69" s="11" t="s">
        <v>105</v>
      </c>
      <c r="F69" s="11" t="s">
        <v>139</v>
      </c>
      <c r="G69" s="11" t="n">
        <v>24</v>
      </c>
      <c r="H69" s="12" t="s">
        <v>232</v>
      </c>
    </row>
    <row r="70" customFormat="false" ht="15" hidden="false" customHeight="false" outlineLevel="0" collapsed="false">
      <c r="A70" s="11" t="s">
        <v>217</v>
      </c>
      <c r="B70" s="11" t="s">
        <v>4</v>
      </c>
      <c r="C70" s="11" t="n">
        <v>2023</v>
      </c>
      <c r="D70" s="11" t="n">
        <v>4</v>
      </c>
      <c r="E70" s="11" t="s">
        <v>108</v>
      </c>
      <c r="F70" s="11" t="s">
        <v>141</v>
      </c>
      <c r="G70" s="11" t="n">
        <v>24</v>
      </c>
      <c r="H70" s="12" t="s">
        <v>233</v>
      </c>
    </row>
    <row r="71" customFormat="false" ht="15" hidden="false" customHeight="false" outlineLevel="0" collapsed="false">
      <c r="A71" s="11" t="s">
        <v>217</v>
      </c>
      <c r="B71" s="11" t="s">
        <v>4</v>
      </c>
      <c r="C71" s="11" t="n">
        <v>2023</v>
      </c>
      <c r="D71" s="11" t="n">
        <v>5</v>
      </c>
      <c r="E71" s="11" t="s">
        <v>111</v>
      </c>
      <c r="F71" s="11" t="s">
        <v>143</v>
      </c>
      <c r="G71" s="11" t="n">
        <v>28</v>
      </c>
      <c r="H71" s="12" t="s">
        <v>234</v>
      </c>
    </row>
    <row r="72" customFormat="false" ht="15" hidden="false" customHeight="false" outlineLevel="0" collapsed="false">
      <c r="A72" s="11" t="s">
        <v>217</v>
      </c>
      <c r="B72" s="11" t="s">
        <v>4</v>
      </c>
      <c r="C72" s="11" t="n">
        <v>2023</v>
      </c>
      <c r="D72" s="11" t="n">
        <v>6</v>
      </c>
      <c r="E72" s="11" t="s">
        <v>114</v>
      </c>
      <c r="F72" s="11" t="s">
        <v>145</v>
      </c>
      <c r="G72" s="11" t="n">
        <v>28</v>
      </c>
      <c r="H72" s="12" t="s">
        <v>235</v>
      </c>
    </row>
    <row r="73" customFormat="false" ht="15" hidden="false" customHeight="false" outlineLevel="0" collapsed="false">
      <c r="A73" s="11" t="s">
        <v>217</v>
      </c>
      <c r="B73" s="11" t="s">
        <v>4</v>
      </c>
      <c r="C73" s="11" t="n">
        <v>2023</v>
      </c>
      <c r="D73" s="11" t="n">
        <v>7</v>
      </c>
      <c r="E73" s="11" t="s">
        <v>117</v>
      </c>
      <c r="F73" s="11" t="s">
        <v>147</v>
      </c>
      <c r="G73" s="11" t="n">
        <v>28</v>
      </c>
      <c r="H73" s="12" t="s">
        <v>236</v>
      </c>
    </row>
    <row r="74" customFormat="false" ht="15" hidden="false" customHeight="false" outlineLevel="0" collapsed="false">
      <c r="A74" s="11" t="s">
        <v>217</v>
      </c>
      <c r="B74" s="11" t="s">
        <v>4</v>
      </c>
      <c r="C74" s="11" t="n">
        <v>2023</v>
      </c>
      <c r="D74" s="11" t="n">
        <v>8</v>
      </c>
      <c r="E74" s="11" t="s">
        <v>120</v>
      </c>
      <c r="F74" s="11" t="s">
        <v>149</v>
      </c>
      <c r="G74" s="11" t="n">
        <v>24</v>
      </c>
      <c r="H74" s="12" t="s">
        <v>237</v>
      </c>
    </row>
    <row r="75" customFormat="false" ht="15" hidden="false" customHeight="false" outlineLevel="0" collapsed="false">
      <c r="A75" s="11" t="s">
        <v>217</v>
      </c>
      <c r="B75" s="11" t="s">
        <v>4</v>
      </c>
      <c r="C75" s="11" t="n">
        <v>2023</v>
      </c>
      <c r="D75" s="11" t="n">
        <v>9</v>
      </c>
      <c r="E75" s="11" t="s">
        <v>123</v>
      </c>
      <c r="F75" s="11" t="s">
        <v>151</v>
      </c>
      <c r="G75" s="11" t="n">
        <v>28</v>
      </c>
      <c r="H75" s="12" t="s">
        <v>238</v>
      </c>
    </row>
    <row r="76" customFormat="false" ht="15" hidden="false" customHeight="false" outlineLevel="0" collapsed="false">
      <c r="A76" s="11" t="s">
        <v>217</v>
      </c>
      <c r="B76" s="11" t="s">
        <v>4</v>
      </c>
      <c r="C76" s="11" t="n">
        <v>2023</v>
      </c>
      <c r="D76" s="11" t="n">
        <v>10</v>
      </c>
      <c r="E76" s="11" t="s">
        <v>126</v>
      </c>
      <c r="F76" s="11" t="s">
        <v>153</v>
      </c>
      <c r="G76" s="11" t="n">
        <v>24</v>
      </c>
      <c r="H76" s="12" t="s">
        <v>239</v>
      </c>
    </row>
    <row r="77" customFormat="false" ht="15" hidden="false" customHeight="false" outlineLevel="0" collapsed="false">
      <c r="A77" s="11" t="s">
        <v>217</v>
      </c>
      <c r="B77" s="11" t="s">
        <v>4</v>
      </c>
      <c r="C77" s="11" t="n">
        <v>2023</v>
      </c>
      <c r="D77" s="11" t="n">
        <v>11</v>
      </c>
      <c r="E77" s="11" t="s">
        <v>129</v>
      </c>
      <c r="F77" s="11" t="s">
        <v>155</v>
      </c>
      <c r="G77" s="11" t="n">
        <v>24</v>
      </c>
      <c r="H77" s="12" t="s">
        <v>240</v>
      </c>
    </row>
    <row r="78" customFormat="false" ht="15" hidden="false" customHeight="false" outlineLevel="0" collapsed="false">
      <c r="A78" s="11" t="s">
        <v>217</v>
      </c>
      <c r="B78" s="11" t="s">
        <v>4</v>
      </c>
      <c r="C78" s="11" t="n">
        <v>2023</v>
      </c>
      <c r="D78" s="11" t="n">
        <v>12</v>
      </c>
      <c r="E78" s="11" t="s">
        <v>132</v>
      </c>
      <c r="F78" s="11" t="s">
        <v>157</v>
      </c>
      <c r="G78" s="11" t="n">
        <v>24</v>
      </c>
      <c r="H78" s="12" t="s">
        <v>241</v>
      </c>
    </row>
    <row r="79" customFormat="false" ht="15" hidden="false" customHeight="false" outlineLevel="0" collapsed="false">
      <c r="A79" s="11" t="s">
        <v>217</v>
      </c>
      <c r="B79" s="11" t="s">
        <v>4</v>
      </c>
      <c r="C79" s="11" t="n">
        <v>2024</v>
      </c>
      <c r="D79" s="11" t="n">
        <v>1</v>
      </c>
      <c r="E79" s="11" t="s">
        <v>99</v>
      </c>
      <c r="F79" s="11" t="s">
        <v>159</v>
      </c>
      <c r="G79" s="11" t="n">
        <v>20</v>
      </c>
      <c r="H79" s="12" t="s">
        <v>242</v>
      </c>
    </row>
    <row r="80" customFormat="false" ht="15" hidden="false" customHeight="false" outlineLevel="0" collapsed="false">
      <c r="A80" s="11" t="s">
        <v>217</v>
      </c>
      <c r="B80" s="11" t="s">
        <v>4</v>
      </c>
      <c r="C80" s="11" t="n">
        <v>2024</v>
      </c>
      <c r="D80" s="11" t="n">
        <v>2</v>
      </c>
      <c r="E80" s="11" t="s">
        <v>102</v>
      </c>
      <c r="F80" s="11" t="s">
        <v>161</v>
      </c>
      <c r="G80" s="11" t="n">
        <v>16</v>
      </c>
      <c r="H80" s="12" t="s">
        <v>243</v>
      </c>
    </row>
    <row r="81" customFormat="false" ht="15" hidden="false" customHeight="false" outlineLevel="0" collapsed="false">
      <c r="A81" s="11" t="s">
        <v>217</v>
      </c>
      <c r="B81" s="11" t="s">
        <v>4</v>
      </c>
      <c r="C81" s="11" t="n">
        <v>2024</v>
      </c>
      <c r="D81" s="11" t="n">
        <v>3</v>
      </c>
      <c r="E81" s="11" t="s">
        <v>105</v>
      </c>
      <c r="F81" s="11" t="s">
        <v>163</v>
      </c>
      <c r="G81" s="11" t="n">
        <v>20</v>
      </c>
      <c r="H81" s="12" t="s">
        <v>244</v>
      </c>
    </row>
    <row r="82" customFormat="false" ht="15" hidden="false" customHeight="false" outlineLevel="0" collapsed="false">
      <c r="A82" s="11" t="s">
        <v>217</v>
      </c>
      <c r="B82" s="11" t="s">
        <v>4</v>
      </c>
      <c r="C82" s="11" t="n">
        <v>2024</v>
      </c>
      <c r="D82" s="11" t="n">
        <v>4</v>
      </c>
      <c r="E82" s="11" t="s">
        <v>108</v>
      </c>
      <c r="F82" s="11" t="s">
        <v>165</v>
      </c>
      <c r="G82" s="11" t="n">
        <v>24</v>
      </c>
      <c r="H82" s="12" t="s">
        <v>245</v>
      </c>
    </row>
    <row r="83" customFormat="false" ht="15" hidden="false" customHeight="false" outlineLevel="0" collapsed="false">
      <c r="A83" s="11" t="s">
        <v>217</v>
      </c>
      <c r="B83" s="11" t="s">
        <v>4</v>
      </c>
      <c r="C83" s="11" t="n">
        <v>2024</v>
      </c>
      <c r="D83" s="11" t="n">
        <v>5</v>
      </c>
      <c r="E83" s="11" t="s">
        <v>111</v>
      </c>
      <c r="F83" s="11" t="s">
        <v>167</v>
      </c>
      <c r="G83" s="11" t="n">
        <v>28</v>
      </c>
      <c r="H83" s="12" t="s">
        <v>246</v>
      </c>
    </row>
    <row r="84" customFormat="false" ht="15" hidden="false" customHeight="false" outlineLevel="0" collapsed="false">
      <c r="A84" s="11" t="s">
        <v>217</v>
      </c>
      <c r="B84" s="11" t="s">
        <v>4</v>
      </c>
      <c r="C84" s="11" t="n">
        <v>2024</v>
      </c>
      <c r="D84" s="11" t="n">
        <v>6</v>
      </c>
      <c r="E84" s="11" t="s">
        <v>114</v>
      </c>
      <c r="F84" s="11" t="s">
        <v>169</v>
      </c>
      <c r="G84" s="11" t="n">
        <v>24</v>
      </c>
      <c r="H84" s="12" t="s">
        <v>247</v>
      </c>
    </row>
    <row r="85" customFormat="false" ht="15" hidden="false" customHeight="false" outlineLevel="0" collapsed="false">
      <c r="A85" s="11" t="s">
        <v>217</v>
      </c>
      <c r="B85" s="11" t="s">
        <v>4</v>
      </c>
      <c r="C85" s="11" t="n">
        <v>2024</v>
      </c>
      <c r="D85" s="11" t="n">
        <v>7</v>
      </c>
      <c r="E85" s="11" t="s">
        <v>117</v>
      </c>
      <c r="F85" s="11" t="s">
        <v>171</v>
      </c>
      <c r="G85" s="11" t="n">
        <v>24</v>
      </c>
      <c r="H85" s="12" t="s">
        <v>248</v>
      </c>
    </row>
    <row r="86" customFormat="false" ht="15" hidden="false" customHeight="false" outlineLevel="0" collapsed="false">
      <c r="A86" s="11" t="s">
        <v>217</v>
      </c>
      <c r="B86" s="11" t="s">
        <v>4</v>
      </c>
      <c r="C86" s="11" t="n">
        <v>2024</v>
      </c>
      <c r="D86" s="11" t="n">
        <v>8</v>
      </c>
      <c r="E86" s="11" t="s">
        <v>120</v>
      </c>
      <c r="F86" s="11" t="s">
        <v>173</v>
      </c>
      <c r="G86" s="11" t="n">
        <v>20</v>
      </c>
      <c r="H86" s="12" t="s">
        <v>249</v>
      </c>
    </row>
    <row r="87" customFormat="false" ht="15" hidden="false" customHeight="false" outlineLevel="0" collapsed="false">
      <c r="A87" s="11" t="s">
        <v>217</v>
      </c>
      <c r="B87" s="11" t="s">
        <v>4</v>
      </c>
      <c r="C87" s="11" t="n">
        <v>2024</v>
      </c>
      <c r="D87" s="11" t="n">
        <v>9</v>
      </c>
      <c r="E87" s="11" t="s">
        <v>123</v>
      </c>
      <c r="F87" s="11" t="s">
        <v>175</v>
      </c>
      <c r="G87" s="11" t="n">
        <v>24</v>
      </c>
      <c r="H87" s="12" t="s">
        <v>250</v>
      </c>
    </row>
    <row r="88" customFormat="false" ht="15" hidden="false" customHeight="false" outlineLevel="0" collapsed="false">
      <c r="A88" s="11" t="s">
        <v>217</v>
      </c>
      <c r="B88" s="11" t="s">
        <v>4</v>
      </c>
      <c r="C88" s="11" t="n">
        <v>2024</v>
      </c>
      <c r="D88" s="11" t="n">
        <v>10</v>
      </c>
      <c r="E88" s="11" t="s">
        <v>126</v>
      </c>
      <c r="F88" s="11" t="s">
        <v>177</v>
      </c>
      <c r="G88" s="11" t="n">
        <v>24</v>
      </c>
      <c r="H88" s="12" t="s">
        <v>251</v>
      </c>
    </row>
    <row r="89" customFormat="false" ht="15" hidden="false" customHeight="false" outlineLevel="0" collapsed="false">
      <c r="A89" s="11" t="s">
        <v>217</v>
      </c>
      <c r="B89" s="11" t="s">
        <v>4</v>
      </c>
      <c r="C89" s="11" t="n">
        <v>2024</v>
      </c>
      <c r="D89" s="11" t="n">
        <v>11</v>
      </c>
      <c r="E89" s="11" t="s">
        <v>129</v>
      </c>
      <c r="F89" s="11" t="s">
        <v>179</v>
      </c>
      <c r="G89" s="11" t="n">
        <v>20</v>
      </c>
      <c r="H89" s="12" t="s">
        <v>252</v>
      </c>
    </row>
    <row r="90" customFormat="false" ht="15" hidden="false" customHeight="false" outlineLevel="0" collapsed="false">
      <c r="A90" s="11" t="s">
        <v>217</v>
      </c>
      <c r="B90" s="11" t="s">
        <v>4</v>
      </c>
      <c r="C90" s="11" t="n">
        <v>2024</v>
      </c>
      <c r="D90" s="11" t="n">
        <v>12</v>
      </c>
      <c r="E90" s="11" t="s">
        <v>132</v>
      </c>
      <c r="F90" s="11" t="s">
        <v>181</v>
      </c>
      <c r="G90" s="11" t="n">
        <v>20</v>
      </c>
      <c r="H90" s="12" t="s">
        <v>253</v>
      </c>
    </row>
    <row r="91" customFormat="false" ht="15" hidden="false" customHeight="false" outlineLevel="0" collapsed="false">
      <c r="A91" s="11" t="s">
        <v>217</v>
      </c>
      <c r="B91" s="11" t="s">
        <v>4</v>
      </c>
      <c r="C91" s="11" t="n">
        <v>2025</v>
      </c>
      <c r="D91" s="11" t="n">
        <v>1</v>
      </c>
      <c r="E91" s="11" t="s">
        <v>99</v>
      </c>
      <c r="F91" s="11" t="s">
        <v>183</v>
      </c>
      <c r="G91" s="11" t="n">
        <v>16</v>
      </c>
      <c r="H91" s="12" t="s">
        <v>254</v>
      </c>
    </row>
    <row r="92" customFormat="false" ht="15" hidden="false" customHeight="false" outlineLevel="0" collapsed="false">
      <c r="A92" s="11" t="s">
        <v>217</v>
      </c>
      <c r="B92" s="11" t="s">
        <v>4</v>
      </c>
      <c r="C92" s="11" t="n">
        <v>2025</v>
      </c>
      <c r="D92" s="11" t="n">
        <v>2</v>
      </c>
      <c r="E92" s="11" t="s">
        <v>102</v>
      </c>
      <c r="F92" s="11" t="s">
        <v>185</v>
      </c>
      <c r="G92" s="11" t="n">
        <v>20</v>
      </c>
      <c r="H92" s="12" t="s">
        <v>255</v>
      </c>
    </row>
    <row r="93" customFormat="false" ht="15" hidden="false" customHeight="false" outlineLevel="0" collapsed="false">
      <c r="A93" s="11" t="s">
        <v>217</v>
      </c>
      <c r="B93" s="11" t="s">
        <v>4</v>
      </c>
      <c r="C93" s="11" t="n">
        <v>2025</v>
      </c>
      <c r="D93" s="11" t="n">
        <v>3</v>
      </c>
      <c r="E93" s="11" t="s">
        <v>105</v>
      </c>
      <c r="F93" s="11" t="s">
        <v>187</v>
      </c>
      <c r="G93" s="11" t="n">
        <v>16</v>
      </c>
      <c r="H93" s="12" t="s">
        <v>256</v>
      </c>
    </row>
    <row r="94" customFormat="false" ht="15" hidden="false" customHeight="false" outlineLevel="0" collapsed="false">
      <c r="A94" s="11" t="s">
        <v>217</v>
      </c>
      <c r="B94" s="11" t="s">
        <v>4</v>
      </c>
      <c r="C94" s="11" t="n">
        <v>2025</v>
      </c>
      <c r="D94" s="11" t="n">
        <v>4</v>
      </c>
      <c r="E94" s="11" t="s">
        <v>108</v>
      </c>
      <c r="F94" s="11" t="s">
        <v>189</v>
      </c>
      <c r="G94" s="11" t="n">
        <v>24</v>
      </c>
      <c r="H94" s="12" t="s">
        <v>257</v>
      </c>
    </row>
    <row r="95" customFormat="false" ht="15" hidden="false" customHeight="false" outlineLevel="0" collapsed="false">
      <c r="A95" s="11" t="s">
        <v>217</v>
      </c>
      <c r="B95" s="11" t="s">
        <v>4</v>
      </c>
      <c r="C95" s="11" t="n">
        <v>2025</v>
      </c>
      <c r="D95" s="11" t="n">
        <v>5</v>
      </c>
      <c r="E95" s="11" t="s">
        <v>111</v>
      </c>
      <c r="F95" s="11" t="s">
        <v>191</v>
      </c>
      <c r="G95" s="11" t="n">
        <v>20</v>
      </c>
      <c r="H95" s="12" t="s">
        <v>258</v>
      </c>
    </row>
    <row r="96" customFormat="false" ht="15" hidden="false" customHeight="false" outlineLevel="0" collapsed="false">
      <c r="A96" s="11" t="s">
        <v>217</v>
      </c>
      <c r="B96" s="11" t="s">
        <v>4</v>
      </c>
      <c r="C96" s="11" t="n">
        <v>2025</v>
      </c>
      <c r="D96" s="11" t="n">
        <v>6</v>
      </c>
      <c r="E96" s="11" t="s">
        <v>114</v>
      </c>
      <c r="F96" s="11" t="s">
        <v>193</v>
      </c>
      <c r="G96" s="11" t="n">
        <v>20</v>
      </c>
      <c r="H96" s="12" t="s">
        <v>259</v>
      </c>
    </row>
    <row r="97" customFormat="false" ht="15" hidden="false" customHeight="false" outlineLevel="0" collapsed="false">
      <c r="A97" s="11" t="s">
        <v>217</v>
      </c>
      <c r="B97" s="11" t="s">
        <v>4</v>
      </c>
      <c r="C97" s="11" t="n">
        <v>2025</v>
      </c>
      <c r="D97" s="11" t="n">
        <v>7</v>
      </c>
      <c r="E97" s="11" t="s">
        <v>117</v>
      </c>
      <c r="F97" s="11" t="s">
        <v>195</v>
      </c>
      <c r="G97" s="11" t="n">
        <v>20</v>
      </c>
      <c r="H97" s="12" t="s">
        <v>260</v>
      </c>
    </row>
    <row r="98" customFormat="false" ht="15" hidden="false" customHeight="false" outlineLevel="0" collapsed="false">
      <c r="A98" s="11" t="s">
        <v>217</v>
      </c>
      <c r="B98" s="11" t="s">
        <v>4</v>
      </c>
      <c r="C98" s="11" t="n">
        <v>2025</v>
      </c>
      <c r="D98" s="11" t="n">
        <v>8</v>
      </c>
      <c r="E98" s="11" t="s">
        <v>120</v>
      </c>
      <c r="F98" s="11" t="s">
        <v>197</v>
      </c>
      <c r="G98" s="11" t="n">
        <v>20</v>
      </c>
      <c r="H98" s="12" t="s">
        <v>261</v>
      </c>
    </row>
    <row r="99" customFormat="false" ht="15" hidden="false" customHeight="false" outlineLevel="0" collapsed="false">
      <c r="A99" s="11" t="s">
        <v>217</v>
      </c>
      <c r="B99" s="11" t="s">
        <v>4</v>
      </c>
      <c r="C99" s="11" t="n">
        <v>2025</v>
      </c>
      <c r="D99" s="11" t="n">
        <v>9</v>
      </c>
      <c r="E99" s="11" t="s">
        <v>123</v>
      </c>
      <c r="F99" s="11" t="s">
        <v>199</v>
      </c>
      <c r="G99" s="11" t="n">
        <v>20</v>
      </c>
      <c r="H99" s="12" t="s">
        <v>262</v>
      </c>
    </row>
    <row r="100" customFormat="false" ht="15" hidden="false" customHeight="false" outlineLevel="0" collapsed="false">
      <c r="A100" s="11" t="s">
        <v>217</v>
      </c>
      <c r="B100" s="11" t="s">
        <v>4</v>
      </c>
      <c r="C100" s="11" t="n">
        <v>2025</v>
      </c>
      <c r="D100" s="11" t="n">
        <v>10</v>
      </c>
      <c r="E100" s="11" t="s">
        <v>126</v>
      </c>
      <c r="F100" s="11" t="s">
        <v>201</v>
      </c>
      <c r="G100" s="11" t="n">
        <v>24</v>
      </c>
      <c r="H100" s="12" t="s">
        <v>263</v>
      </c>
    </row>
    <row r="101" customFormat="false" ht="15" hidden="false" customHeight="false" outlineLevel="0" collapsed="false">
      <c r="A101" s="11" t="s">
        <v>217</v>
      </c>
      <c r="B101" s="11" t="s">
        <v>4</v>
      </c>
      <c r="C101" s="11" t="n">
        <v>2025</v>
      </c>
      <c r="D101" s="11" t="n">
        <v>11</v>
      </c>
      <c r="E101" s="11" t="s">
        <v>129</v>
      </c>
      <c r="F101" s="11" t="s">
        <v>203</v>
      </c>
      <c r="G101" s="11" t="n">
        <v>26</v>
      </c>
      <c r="H101" s="12" t="s">
        <v>264</v>
      </c>
    </row>
    <row r="102" customFormat="false" ht="15" hidden="false" customHeight="false" outlineLevel="0" collapsed="false">
      <c r="A102" s="11" t="s">
        <v>217</v>
      </c>
      <c r="B102" s="11" t="s">
        <v>4</v>
      </c>
      <c r="C102" s="11" t="n">
        <v>2025</v>
      </c>
      <c r="D102" s="11" t="n">
        <v>12</v>
      </c>
      <c r="E102" s="11" t="s">
        <v>132</v>
      </c>
      <c r="F102" s="11" t="s">
        <v>205</v>
      </c>
      <c r="G102" s="11" t="n">
        <v>16</v>
      </c>
      <c r="H102" s="12" t="s">
        <v>265</v>
      </c>
    </row>
    <row r="103" customFormat="false" ht="15" hidden="false" customHeight="false" outlineLevel="0" collapsed="false">
      <c r="A103" s="11" t="s">
        <v>217</v>
      </c>
      <c r="B103" s="11" t="s">
        <v>4</v>
      </c>
      <c r="C103" s="11" t="n">
        <v>2026</v>
      </c>
      <c r="D103" s="11" t="n">
        <v>1</v>
      </c>
      <c r="E103" s="11" t="s">
        <v>99</v>
      </c>
      <c r="F103" s="11" t="s">
        <v>207</v>
      </c>
      <c r="G103" s="11" t="n">
        <v>20</v>
      </c>
      <c r="H103" s="12" t="s">
        <v>266</v>
      </c>
    </row>
    <row r="104" customFormat="false" ht="15" hidden="false" customHeight="false" outlineLevel="0" collapsed="false">
      <c r="A104" s="11" t="s">
        <v>217</v>
      </c>
      <c r="B104" s="11" t="s">
        <v>4</v>
      </c>
      <c r="C104" s="11" t="n">
        <v>2026</v>
      </c>
      <c r="D104" s="11" t="n">
        <v>2</v>
      </c>
      <c r="E104" s="11" t="s">
        <v>102</v>
      </c>
      <c r="F104" s="11" t="s">
        <v>209</v>
      </c>
      <c r="G104" s="11" t="n">
        <v>16</v>
      </c>
      <c r="H104" s="12" t="s">
        <v>267</v>
      </c>
    </row>
    <row r="105" customFormat="false" ht="15" hidden="false" customHeight="false" outlineLevel="0" collapsed="false">
      <c r="A105" s="11" t="s">
        <v>217</v>
      </c>
      <c r="B105" s="11" t="s">
        <v>4</v>
      </c>
      <c r="C105" s="11" t="n">
        <v>2026</v>
      </c>
      <c r="D105" s="11" t="n">
        <v>3</v>
      </c>
      <c r="E105" s="11" t="s">
        <v>105</v>
      </c>
      <c r="F105" s="11" t="s">
        <v>211</v>
      </c>
      <c r="G105" s="11" t="n">
        <v>16</v>
      </c>
      <c r="H105" s="12" t="s">
        <v>268</v>
      </c>
    </row>
    <row r="106" customFormat="false" ht="15" hidden="false" customHeight="false" outlineLevel="0" collapsed="false">
      <c r="A106" s="11" t="s">
        <v>217</v>
      </c>
      <c r="B106" s="11" t="s">
        <v>4</v>
      </c>
      <c r="C106" s="11" t="n">
        <v>2026</v>
      </c>
      <c r="D106" s="11" t="n">
        <v>4</v>
      </c>
      <c r="E106" s="11" t="s">
        <v>108</v>
      </c>
      <c r="F106" s="11" t="s">
        <v>213</v>
      </c>
      <c r="G106" s="11" t="n">
        <v>20</v>
      </c>
      <c r="H106" s="12" t="s">
        <v>269</v>
      </c>
    </row>
    <row r="107" customFormat="false" ht="15" hidden="false" customHeight="false" outlineLevel="0" collapsed="false">
      <c r="A107" s="11" t="s">
        <v>217</v>
      </c>
      <c r="B107" s="11" t="s">
        <v>4</v>
      </c>
      <c r="C107" s="11" t="n">
        <v>2026</v>
      </c>
      <c r="D107" s="11" t="n">
        <v>5</v>
      </c>
      <c r="E107" s="11" t="s">
        <v>111</v>
      </c>
      <c r="F107" s="11" t="s">
        <v>215</v>
      </c>
      <c r="G107" s="11" t="n">
        <v>16</v>
      </c>
      <c r="H107" s="12" t="s">
        <v>270</v>
      </c>
    </row>
    <row r="108" customFormat="false" ht="15" hidden="false" customHeight="false" outlineLevel="0" collapsed="false">
      <c r="A108" s="11" t="s">
        <v>271</v>
      </c>
      <c r="B108" s="11" t="s">
        <v>5</v>
      </c>
      <c r="C108" s="11" t="n">
        <v>2022</v>
      </c>
      <c r="D108" s="11" t="n">
        <v>1</v>
      </c>
      <c r="E108" s="11" t="s">
        <v>99</v>
      </c>
      <c r="F108" s="11" t="s">
        <v>100</v>
      </c>
      <c r="G108" s="11" t="n">
        <v>16</v>
      </c>
      <c r="H108" s="12" t="s">
        <v>272</v>
      </c>
    </row>
    <row r="109" customFormat="false" ht="15" hidden="false" customHeight="false" outlineLevel="0" collapsed="false">
      <c r="A109" s="11" t="s">
        <v>271</v>
      </c>
      <c r="B109" s="11" t="s">
        <v>5</v>
      </c>
      <c r="C109" s="11" t="n">
        <v>2022</v>
      </c>
      <c r="D109" s="11" t="n">
        <v>2</v>
      </c>
      <c r="E109" s="11" t="s">
        <v>102</v>
      </c>
      <c r="F109" s="11" t="s">
        <v>103</v>
      </c>
      <c r="G109" s="11" t="n">
        <v>16</v>
      </c>
      <c r="H109" s="12" t="s">
        <v>273</v>
      </c>
    </row>
    <row r="110" customFormat="false" ht="15" hidden="false" customHeight="false" outlineLevel="0" collapsed="false">
      <c r="A110" s="11" t="s">
        <v>271</v>
      </c>
      <c r="B110" s="11" t="s">
        <v>5</v>
      </c>
      <c r="C110" s="11" t="n">
        <v>2022</v>
      </c>
      <c r="D110" s="11" t="n">
        <v>3</v>
      </c>
      <c r="E110" s="11" t="s">
        <v>105</v>
      </c>
      <c r="F110" s="11" t="s">
        <v>106</v>
      </c>
      <c r="G110" s="11" t="n">
        <v>20</v>
      </c>
      <c r="H110" s="12" t="s">
        <v>274</v>
      </c>
    </row>
    <row r="111" customFormat="false" ht="15" hidden="false" customHeight="false" outlineLevel="0" collapsed="false">
      <c r="A111" s="11" t="s">
        <v>271</v>
      </c>
      <c r="B111" s="11" t="s">
        <v>5</v>
      </c>
      <c r="C111" s="11" t="n">
        <v>2022</v>
      </c>
      <c r="D111" s="11" t="n">
        <v>4</v>
      </c>
      <c r="E111" s="11" t="s">
        <v>108</v>
      </c>
      <c r="F111" s="11" t="s">
        <v>109</v>
      </c>
      <c r="G111" s="11" t="n">
        <v>24</v>
      </c>
      <c r="H111" s="12" t="s">
        <v>275</v>
      </c>
    </row>
    <row r="112" customFormat="false" ht="15" hidden="false" customHeight="false" outlineLevel="0" collapsed="false">
      <c r="A112" s="11" t="s">
        <v>271</v>
      </c>
      <c r="B112" s="11" t="s">
        <v>5</v>
      </c>
      <c r="C112" s="11" t="n">
        <v>2022</v>
      </c>
      <c r="D112" s="11" t="n">
        <v>5</v>
      </c>
      <c r="E112" s="11" t="s">
        <v>111</v>
      </c>
      <c r="F112" s="11" t="s">
        <v>112</v>
      </c>
      <c r="G112" s="11" t="n">
        <v>24</v>
      </c>
      <c r="H112" s="12" t="s">
        <v>276</v>
      </c>
    </row>
    <row r="113" customFormat="false" ht="15" hidden="false" customHeight="false" outlineLevel="0" collapsed="false">
      <c r="A113" s="11" t="s">
        <v>271</v>
      </c>
      <c r="B113" s="11" t="s">
        <v>5</v>
      </c>
      <c r="C113" s="11" t="n">
        <v>2022</v>
      </c>
      <c r="D113" s="11" t="n">
        <v>6</v>
      </c>
      <c r="E113" s="11" t="s">
        <v>114</v>
      </c>
      <c r="F113" s="11" t="s">
        <v>115</v>
      </c>
      <c r="G113" s="11" t="n">
        <v>24</v>
      </c>
      <c r="H113" s="12" t="s">
        <v>277</v>
      </c>
    </row>
    <row r="114" customFormat="false" ht="15" hidden="false" customHeight="false" outlineLevel="0" collapsed="false">
      <c r="A114" s="11" t="s">
        <v>271</v>
      </c>
      <c r="B114" s="11" t="s">
        <v>5</v>
      </c>
      <c r="C114" s="11" t="n">
        <v>2022</v>
      </c>
      <c r="D114" s="11" t="n">
        <v>7</v>
      </c>
      <c r="E114" s="11" t="s">
        <v>117</v>
      </c>
      <c r="F114" s="11" t="s">
        <v>118</v>
      </c>
      <c r="G114" s="11" t="n">
        <v>16</v>
      </c>
      <c r="H114" s="12" t="s">
        <v>278</v>
      </c>
    </row>
    <row r="115" customFormat="false" ht="15" hidden="false" customHeight="false" outlineLevel="0" collapsed="false">
      <c r="A115" s="11" t="s">
        <v>271</v>
      </c>
      <c r="B115" s="11" t="s">
        <v>5</v>
      </c>
      <c r="C115" s="11" t="n">
        <v>2022</v>
      </c>
      <c r="D115" s="11" t="n">
        <v>8</v>
      </c>
      <c r="E115" s="11" t="s">
        <v>120</v>
      </c>
      <c r="F115" s="11" t="s">
        <v>121</v>
      </c>
      <c r="G115" s="11" t="n">
        <v>16</v>
      </c>
      <c r="H115" s="12" t="s">
        <v>225</v>
      </c>
    </row>
    <row r="116" customFormat="false" ht="15" hidden="false" customHeight="false" outlineLevel="0" collapsed="false">
      <c r="A116" s="11" t="s">
        <v>271</v>
      </c>
      <c r="B116" s="11" t="s">
        <v>5</v>
      </c>
      <c r="C116" s="11" t="n">
        <v>2022</v>
      </c>
      <c r="D116" s="11" t="n">
        <v>9</v>
      </c>
      <c r="E116" s="11" t="s">
        <v>123</v>
      </c>
      <c r="F116" s="11" t="s">
        <v>124</v>
      </c>
      <c r="G116" s="11" t="n">
        <v>20</v>
      </c>
      <c r="H116" s="12" t="s">
        <v>279</v>
      </c>
    </row>
    <row r="117" customFormat="false" ht="15" hidden="false" customHeight="false" outlineLevel="0" collapsed="false">
      <c r="A117" s="11" t="s">
        <v>271</v>
      </c>
      <c r="B117" s="11" t="s">
        <v>5</v>
      </c>
      <c r="C117" s="11" t="n">
        <v>2022</v>
      </c>
      <c r="D117" s="11" t="n">
        <v>10</v>
      </c>
      <c r="E117" s="11" t="s">
        <v>126</v>
      </c>
      <c r="F117" s="11" t="s">
        <v>127</v>
      </c>
      <c r="G117" s="11" t="n">
        <v>20</v>
      </c>
      <c r="H117" s="12" t="s">
        <v>280</v>
      </c>
    </row>
    <row r="118" customFormat="false" ht="15" hidden="false" customHeight="false" outlineLevel="0" collapsed="false">
      <c r="A118" s="11" t="s">
        <v>271</v>
      </c>
      <c r="B118" s="11" t="s">
        <v>5</v>
      </c>
      <c r="C118" s="11" t="n">
        <v>2022</v>
      </c>
      <c r="D118" s="11" t="n">
        <v>11</v>
      </c>
      <c r="E118" s="11" t="s">
        <v>129</v>
      </c>
      <c r="F118" s="11" t="s">
        <v>130</v>
      </c>
      <c r="G118" s="11" t="n">
        <v>16</v>
      </c>
      <c r="H118" s="12" t="s">
        <v>281</v>
      </c>
    </row>
    <row r="119" customFormat="false" ht="15" hidden="false" customHeight="false" outlineLevel="0" collapsed="false">
      <c r="A119" s="11" t="s">
        <v>271</v>
      </c>
      <c r="B119" s="11" t="s">
        <v>5</v>
      </c>
      <c r="C119" s="11" t="n">
        <v>2022</v>
      </c>
      <c r="D119" s="11" t="n">
        <v>12</v>
      </c>
      <c r="E119" s="11" t="s">
        <v>132</v>
      </c>
      <c r="F119" s="11" t="s">
        <v>133</v>
      </c>
      <c r="G119" s="11" t="n">
        <v>20</v>
      </c>
      <c r="H119" s="12" t="s">
        <v>282</v>
      </c>
    </row>
    <row r="120" customFormat="false" ht="15" hidden="false" customHeight="false" outlineLevel="0" collapsed="false">
      <c r="A120" s="11" t="s">
        <v>271</v>
      </c>
      <c r="B120" s="11" t="s">
        <v>5</v>
      </c>
      <c r="C120" s="11" t="n">
        <v>2023</v>
      </c>
      <c r="D120" s="11" t="n">
        <v>1</v>
      </c>
      <c r="E120" s="11" t="s">
        <v>99</v>
      </c>
      <c r="F120" s="11" t="s">
        <v>135</v>
      </c>
      <c r="G120" s="11" t="n">
        <v>16</v>
      </c>
      <c r="H120" s="12" t="s">
        <v>283</v>
      </c>
    </row>
    <row r="121" customFormat="false" ht="15" hidden="false" customHeight="false" outlineLevel="0" collapsed="false">
      <c r="A121" s="11" t="s">
        <v>271</v>
      </c>
      <c r="B121" s="11" t="s">
        <v>5</v>
      </c>
      <c r="C121" s="11" t="n">
        <v>2023</v>
      </c>
      <c r="D121" s="11" t="n">
        <v>2</v>
      </c>
      <c r="E121" s="11" t="s">
        <v>102</v>
      </c>
      <c r="F121" s="11" t="s">
        <v>137</v>
      </c>
      <c r="G121" s="11" t="n">
        <v>16</v>
      </c>
      <c r="H121" s="12" t="s">
        <v>284</v>
      </c>
    </row>
    <row r="122" customFormat="false" ht="15" hidden="false" customHeight="false" outlineLevel="0" collapsed="false">
      <c r="A122" s="11" t="s">
        <v>271</v>
      </c>
      <c r="B122" s="11" t="s">
        <v>5</v>
      </c>
      <c r="C122" s="11" t="n">
        <v>2023</v>
      </c>
      <c r="D122" s="11" t="n">
        <v>3</v>
      </c>
      <c r="E122" s="11" t="s">
        <v>105</v>
      </c>
      <c r="F122" s="11" t="s">
        <v>139</v>
      </c>
      <c r="G122" s="11" t="n">
        <v>16</v>
      </c>
      <c r="H122" s="12" t="s">
        <v>285</v>
      </c>
    </row>
    <row r="123" customFormat="false" ht="15" hidden="false" customHeight="false" outlineLevel="0" collapsed="false">
      <c r="A123" s="11" t="s">
        <v>271</v>
      </c>
      <c r="B123" s="11" t="s">
        <v>5</v>
      </c>
      <c r="C123" s="11" t="n">
        <v>2023</v>
      </c>
      <c r="D123" s="11" t="n">
        <v>4</v>
      </c>
      <c r="E123" s="11" t="s">
        <v>108</v>
      </c>
      <c r="F123" s="11" t="s">
        <v>141</v>
      </c>
      <c r="G123" s="11" t="n">
        <v>20</v>
      </c>
      <c r="H123" s="12" t="s">
        <v>286</v>
      </c>
    </row>
    <row r="124" customFormat="false" ht="15" hidden="false" customHeight="false" outlineLevel="0" collapsed="false">
      <c r="A124" s="11" t="s">
        <v>271</v>
      </c>
      <c r="B124" s="11" t="s">
        <v>5</v>
      </c>
      <c r="C124" s="11" t="n">
        <v>2023</v>
      </c>
      <c r="D124" s="11" t="n">
        <v>5</v>
      </c>
      <c r="E124" s="11" t="s">
        <v>111</v>
      </c>
      <c r="F124" s="11" t="s">
        <v>143</v>
      </c>
      <c r="G124" s="11" t="n">
        <v>24</v>
      </c>
      <c r="H124" s="12" t="s">
        <v>287</v>
      </c>
    </row>
    <row r="125" customFormat="false" ht="15" hidden="false" customHeight="false" outlineLevel="0" collapsed="false">
      <c r="A125" s="11" t="s">
        <v>271</v>
      </c>
      <c r="B125" s="11" t="s">
        <v>5</v>
      </c>
      <c r="C125" s="11" t="n">
        <v>2023</v>
      </c>
      <c r="D125" s="11" t="n">
        <v>6</v>
      </c>
      <c r="E125" s="11" t="s">
        <v>114</v>
      </c>
      <c r="F125" s="11" t="s">
        <v>145</v>
      </c>
      <c r="G125" s="11" t="n">
        <v>24</v>
      </c>
      <c r="H125" s="12" t="s">
        <v>288</v>
      </c>
    </row>
    <row r="126" customFormat="false" ht="15" hidden="false" customHeight="false" outlineLevel="0" collapsed="false">
      <c r="A126" s="11" t="s">
        <v>271</v>
      </c>
      <c r="B126" s="11" t="s">
        <v>5</v>
      </c>
      <c r="C126" s="11" t="n">
        <v>2023</v>
      </c>
      <c r="D126" s="11" t="n">
        <v>7</v>
      </c>
      <c r="E126" s="11" t="s">
        <v>117</v>
      </c>
      <c r="F126" s="11" t="s">
        <v>147</v>
      </c>
      <c r="G126" s="11" t="n">
        <v>24</v>
      </c>
      <c r="H126" s="12" t="s">
        <v>289</v>
      </c>
    </row>
    <row r="127" customFormat="false" ht="15" hidden="false" customHeight="false" outlineLevel="0" collapsed="false">
      <c r="A127" s="11" t="s">
        <v>271</v>
      </c>
      <c r="B127" s="11" t="s">
        <v>5</v>
      </c>
      <c r="C127" s="11" t="n">
        <v>2023</v>
      </c>
      <c r="D127" s="11" t="n">
        <v>8</v>
      </c>
      <c r="E127" s="11" t="s">
        <v>120</v>
      </c>
      <c r="F127" s="11" t="s">
        <v>149</v>
      </c>
      <c r="G127" s="11" t="n">
        <v>20</v>
      </c>
      <c r="H127" s="12" t="s">
        <v>290</v>
      </c>
    </row>
    <row r="128" customFormat="false" ht="15" hidden="false" customHeight="false" outlineLevel="0" collapsed="false">
      <c r="A128" s="11" t="s">
        <v>271</v>
      </c>
      <c r="B128" s="11" t="s">
        <v>5</v>
      </c>
      <c r="C128" s="11" t="n">
        <v>2023</v>
      </c>
      <c r="D128" s="11" t="n">
        <v>9</v>
      </c>
      <c r="E128" s="11" t="s">
        <v>123</v>
      </c>
      <c r="F128" s="11" t="s">
        <v>151</v>
      </c>
      <c r="G128" s="11" t="n">
        <v>24</v>
      </c>
      <c r="H128" s="12" t="s">
        <v>291</v>
      </c>
    </row>
    <row r="129" customFormat="false" ht="15" hidden="false" customHeight="false" outlineLevel="0" collapsed="false">
      <c r="A129" s="11" t="s">
        <v>271</v>
      </c>
      <c r="B129" s="11" t="s">
        <v>5</v>
      </c>
      <c r="C129" s="11" t="n">
        <v>2023</v>
      </c>
      <c r="D129" s="11" t="n">
        <v>10</v>
      </c>
      <c r="E129" s="11" t="s">
        <v>126</v>
      </c>
      <c r="F129" s="11" t="s">
        <v>153</v>
      </c>
      <c r="G129" s="11" t="n">
        <v>20</v>
      </c>
      <c r="H129" s="12" t="s">
        <v>292</v>
      </c>
    </row>
    <row r="130" customFormat="false" ht="15" hidden="false" customHeight="false" outlineLevel="0" collapsed="false">
      <c r="A130" s="11" t="s">
        <v>271</v>
      </c>
      <c r="B130" s="11" t="s">
        <v>5</v>
      </c>
      <c r="C130" s="11" t="n">
        <v>2023</v>
      </c>
      <c r="D130" s="11" t="n">
        <v>11</v>
      </c>
      <c r="E130" s="11" t="s">
        <v>129</v>
      </c>
      <c r="F130" s="11" t="s">
        <v>155</v>
      </c>
      <c r="G130" s="11" t="n">
        <v>20</v>
      </c>
      <c r="H130" s="12" t="s">
        <v>293</v>
      </c>
    </row>
    <row r="131" customFormat="false" ht="15" hidden="false" customHeight="false" outlineLevel="0" collapsed="false">
      <c r="A131" s="11" t="s">
        <v>271</v>
      </c>
      <c r="B131" s="11" t="s">
        <v>5</v>
      </c>
      <c r="C131" s="11" t="n">
        <v>2023</v>
      </c>
      <c r="D131" s="11" t="n">
        <v>12</v>
      </c>
      <c r="E131" s="11" t="s">
        <v>132</v>
      </c>
      <c r="F131" s="11" t="s">
        <v>157</v>
      </c>
      <c r="G131" s="11" t="n">
        <v>20</v>
      </c>
      <c r="H131" s="12" t="s">
        <v>294</v>
      </c>
    </row>
    <row r="132" customFormat="false" ht="15" hidden="false" customHeight="false" outlineLevel="0" collapsed="false">
      <c r="A132" s="11" t="s">
        <v>271</v>
      </c>
      <c r="B132" s="11" t="s">
        <v>5</v>
      </c>
      <c r="C132" s="11" t="n">
        <v>2024</v>
      </c>
      <c r="D132" s="11" t="n">
        <v>1</v>
      </c>
      <c r="E132" s="11" t="s">
        <v>99</v>
      </c>
      <c r="F132" s="11" t="s">
        <v>159</v>
      </c>
      <c r="G132" s="11" t="n">
        <v>20</v>
      </c>
      <c r="H132" s="12" t="s">
        <v>295</v>
      </c>
    </row>
    <row r="133" customFormat="false" ht="15" hidden="false" customHeight="false" outlineLevel="0" collapsed="false">
      <c r="A133" s="11" t="s">
        <v>271</v>
      </c>
      <c r="B133" s="11" t="s">
        <v>5</v>
      </c>
      <c r="C133" s="11" t="n">
        <v>2024</v>
      </c>
      <c r="D133" s="11" t="n">
        <v>2</v>
      </c>
      <c r="E133" s="11" t="s">
        <v>102</v>
      </c>
      <c r="F133" s="11" t="s">
        <v>161</v>
      </c>
      <c r="G133" s="11" t="n">
        <v>20</v>
      </c>
      <c r="H133" s="12" t="s">
        <v>296</v>
      </c>
    </row>
    <row r="134" customFormat="false" ht="15" hidden="false" customHeight="false" outlineLevel="0" collapsed="false">
      <c r="A134" s="11" t="s">
        <v>271</v>
      </c>
      <c r="B134" s="11" t="s">
        <v>5</v>
      </c>
      <c r="C134" s="11" t="n">
        <v>2024</v>
      </c>
      <c r="D134" s="11" t="n">
        <v>3</v>
      </c>
      <c r="E134" s="11" t="s">
        <v>105</v>
      </c>
      <c r="F134" s="11" t="s">
        <v>163</v>
      </c>
      <c r="G134" s="11" t="n">
        <v>20</v>
      </c>
      <c r="H134" s="12" t="s">
        <v>297</v>
      </c>
    </row>
    <row r="135" customFormat="false" ht="15" hidden="false" customHeight="false" outlineLevel="0" collapsed="false">
      <c r="A135" s="11" t="s">
        <v>271</v>
      </c>
      <c r="B135" s="11" t="s">
        <v>5</v>
      </c>
      <c r="C135" s="11" t="n">
        <v>2024</v>
      </c>
      <c r="D135" s="11" t="n">
        <v>4</v>
      </c>
      <c r="E135" s="11" t="s">
        <v>108</v>
      </c>
      <c r="F135" s="11" t="s">
        <v>165</v>
      </c>
      <c r="G135" s="11" t="n">
        <v>20</v>
      </c>
      <c r="H135" s="12" t="s">
        <v>298</v>
      </c>
    </row>
    <row r="136" customFormat="false" ht="15" hidden="false" customHeight="false" outlineLevel="0" collapsed="false">
      <c r="A136" s="11" t="s">
        <v>271</v>
      </c>
      <c r="B136" s="11" t="s">
        <v>5</v>
      </c>
      <c r="C136" s="11" t="n">
        <v>2024</v>
      </c>
      <c r="D136" s="11" t="n">
        <v>5</v>
      </c>
      <c r="E136" s="11" t="s">
        <v>111</v>
      </c>
      <c r="F136" s="11" t="s">
        <v>167</v>
      </c>
      <c r="G136" s="11" t="n">
        <v>24</v>
      </c>
      <c r="H136" s="12" t="s">
        <v>299</v>
      </c>
    </row>
    <row r="137" customFormat="false" ht="15" hidden="false" customHeight="false" outlineLevel="0" collapsed="false">
      <c r="A137" s="11" t="s">
        <v>271</v>
      </c>
      <c r="B137" s="11" t="s">
        <v>5</v>
      </c>
      <c r="C137" s="11" t="n">
        <v>2024</v>
      </c>
      <c r="D137" s="11" t="n">
        <v>6</v>
      </c>
      <c r="E137" s="11" t="s">
        <v>114</v>
      </c>
      <c r="F137" s="11" t="s">
        <v>169</v>
      </c>
      <c r="G137" s="11" t="n">
        <v>24</v>
      </c>
      <c r="H137" s="12" t="s">
        <v>300</v>
      </c>
    </row>
    <row r="138" customFormat="false" ht="15" hidden="false" customHeight="false" outlineLevel="0" collapsed="false">
      <c r="A138" s="11" t="s">
        <v>271</v>
      </c>
      <c r="B138" s="11" t="s">
        <v>5</v>
      </c>
      <c r="C138" s="11" t="n">
        <v>2024</v>
      </c>
      <c r="D138" s="11" t="n">
        <v>7</v>
      </c>
      <c r="E138" s="11" t="s">
        <v>117</v>
      </c>
      <c r="F138" s="11" t="s">
        <v>171</v>
      </c>
      <c r="G138" s="11" t="n">
        <v>16</v>
      </c>
      <c r="H138" s="12" t="s">
        <v>301</v>
      </c>
    </row>
    <row r="139" customFormat="false" ht="15" hidden="false" customHeight="false" outlineLevel="0" collapsed="false">
      <c r="A139" s="11" t="s">
        <v>271</v>
      </c>
      <c r="B139" s="11" t="s">
        <v>5</v>
      </c>
      <c r="C139" s="11" t="n">
        <v>2024</v>
      </c>
      <c r="D139" s="11" t="n">
        <v>8</v>
      </c>
      <c r="E139" s="11" t="s">
        <v>120</v>
      </c>
      <c r="F139" s="11" t="s">
        <v>173</v>
      </c>
      <c r="G139" s="11" t="n">
        <v>12</v>
      </c>
      <c r="H139" s="12" t="s">
        <v>302</v>
      </c>
    </row>
    <row r="140" customFormat="false" ht="15" hidden="false" customHeight="false" outlineLevel="0" collapsed="false">
      <c r="A140" s="11" t="s">
        <v>271</v>
      </c>
      <c r="B140" s="11" t="s">
        <v>5</v>
      </c>
      <c r="C140" s="11" t="n">
        <v>2024</v>
      </c>
      <c r="D140" s="11" t="n">
        <v>9</v>
      </c>
      <c r="E140" s="11" t="s">
        <v>123</v>
      </c>
      <c r="F140" s="11" t="s">
        <v>175</v>
      </c>
      <c r="G140" s="11" t="n">
        <v>20</v>
      </c>
      <c r="H140" s="12" t="s">
        <v>303</v>
      </c>
    </row>
    <row r="141" customFormat="false" ht="15" hidden="false" customHeight="false" outlineLevel="0" collapsed="false">
      <c r="A141" s="11" t="s">
        <v>271</v>
      </c>
      <c r="B141" s="11" t="s">
        <v>5</v>
      </c>
      <c r="C141" s="11" t="n">
        <v>2024</v>
      </c>
      <c r="D141" s="11" t="n">
        <v>10</v>
      </c>
      <c r="E141" s="11" t="s">
        <v>126</v>
      </c>
      <c r="F141" s="11" t="s">
        <v>177</v>
      </c>
      <c r="G141" s="11" t="n">
        <v>20</v>
      </c>
      <c r="H141" s="12" t="s">
        <v>304</v>
      </c>
    </row>
    <row r="142" customFormat="false" ht="15" hidden="false" customHeight="false" outlineLevel="0" collapsed="false">
      <c r="A142" s="11" t="s">
        <v>271</v>
      </c>
      <c r="B142" s="11" t="s">
        <v>5</v>
      </c>
      <c r="C142" s="11" t="n">
        <v>2024</v>
      </c>
      <c r="D142" s="11" t="n">
        <v>11</v>
      </c>
      <c r="E142" s="11" t="s">
        <v>129</v>
      </c>
      <c r="F142" s="11" t="s">
        <v>179</v>
      </c>
      <c r="G142" s="11" t="n">
        <v>16</v>
      </c>
      <c r="H142" s="12" t="s">
        <v>305</v>
      </c>
    </row>
    <row r="143" customFormat="false" ht="15" hidden="false" customHeight="false" outlineLevel="0" collapsed="false">
      <c r="A143" s="11" t="s">
        <v>271</v>
      </c>
      <c r="B143" s="11" t="s">
        <v>5</v>
      </c>
      <c r="C143" s="11" t="n">
        <v>2024</v>
      </c>
      <c r="D143" s="11" t="n">
        <v>12</v>
      </c>
      <c r="E143" s="11" t="s">
        <v>132</v>
      </c>
      <c r="F143" s="11" t="s">
        <v>181</v>
      </c>
      <c r="G143" s="11" t="n">
        <v>24</v>
      </c>
      <c r="H143" s="12" t="s">
        <v>306</v>
      </c>
    </row>
    <row r="144" customFormat="false" ht="15" hidden="false" customHeight="false" outlineLevel="0" collapsed="false">
      <c r="A144" s="11" t="s">
        <v>271</v>
      </c>
      <c r="B144" s="11" t="s">
        <v>5</v>
      </c>
      <c r="C144" s="11" t="n">
        <v>2025</v>
      </c>
      <c r="D144" s="11" t="n">
        <v>1</v>
      </c>
      <c r="E144" s="11" t="s">
        <v>99</v>
      </c>
      <c r="F144" s="11" t="s">
        <v>183</v>
      </c>
      <c r="G144" s="11" t="n">
        <v>16</v>
      </c>
      <c r="H144" s="12" t="s">
        <v>307</v>
      </c>
    </row>
    <row r="145" customFormat="false" ht="15" hidden="false" customHeight="false" outlineLevel="0" collapsed="false">
      <c r="A145" s="11" t="s">
        <v>271</v>
      </c>
      <c r="B145" s="11" t="s">
        <v>5</v>
      </c>
      <c r="C145" s="11" t="n">
        <v>2025</v>
      </c>
      <c r="D145" s="11" t="n">
        <v>2</v>
      </c>
      <c r="E145" s="11" t="s">
        <v>102</v>
      </c>
      <c r="F145" s="11" t="s">
        <v>185</v>
      </c>
      <c r="G145" s="11" t="n">
        <v>31</v>
      </c>
      <c r="H145" s="12" t="s">
        <v>308</v>
      </c>
    </row>
    <row r="146" customFormat="false" ht="15" hidden="false" customHeight="false" outlineLevel="0" collapsed="false">
      <c r="A146" s="11" t="s">
        <v>271</v>
      </c>
      <c r="B146" s="11" t="s">
        <v>5</v>
      </c>
      <c r="C146" s="11" t="n">
        <v>2025</v>
      </c>
      <c r="D146" s="11" t="n">
        <v>3</v>
      </c>
      <c r="E146" s="11" t="s">
        <v>105</v>
      </c>
      <c r="F146" s="11" t="s">
        <v>187</v>
      </c>
      <c r="G146" s="11" t="n">
        <v>20</v>
      </c>
      <c r="H146" s="12" t="s">
        <v>309</v>
      </c>
    </row>
    <row r="147" customFormat="false" ht="15" hidden="false" customHeight="false" outlineLevel="0" collapsed="false">
      <c r="A147" s="11" t="s">
        <v>271</v>
      </c>
      <c r="B147" s="11" t="s">
        <v>5</v>
      </c>
      <c r="C147" s="11" t="n">
        <v>2025</v>
      </c>
      <c r="D147" s="11" t="n">
        <v>4</v>
      </c>
      <c r="E147" s="11" t="s">
        <v>108</v>
      </c>
      <c r="F147" s="11" t="s">
        <v>189</v>
      </c>
      <c r="G147" s="11" t="n">
        <v>24</v>
      </c>
      <c r="H147" s="12" t="s">
        <v>310</v>
      </c>
    </row>
    <row r="148" customFormat="false" ht="15" hidden="false" customHeight="false" outlineLevel="0" collapsed="false">
      <c r="A148" s="11" t="s">
        <v>271</v>
      </c>
      <c r="B148" s="11" t="s">
        <v>5</v>
      </c>
      <c r="C148" s="11" t="n">
        <v>2025</v>
      </c>
      <c r="D148" s="11" t="n">
        <v>5</v>
      </c>
      <c r="E148" s="11" t="s">
        <v>111</v>
      </c>
      <c r="F148" s="11" t="s">
        <v>191</v>
      </c>
      <c r="G148" s="11" t="n">
        <v>28</v>
      </c>
      <c r="H148" s="12" t="s">
        <v>311</v>
      </c>
    </row>
    <row r="149" customFormat="false" ht="15" hidden="false" customHeight="false" outlineLevel="0" collapsed="false">
      <c r="A149" s="11" t="s">
        <v>271</v>
      </c>
      <c r="B149" s="11" t="s">
        <v>5</v>
      </c>
      <c r="C149" s="11" t="n">
        <v>2025</v>
      </c>
      <c r="D149" s="11" t="n">
        <v>6</v>
      </c>
      <c r="E149" s="11" t="s">
        <v>114</v>
      </c>
      <c r="F149" s="11" t="s">
        <v>193</v>
      </c>
      <c r="G149" s="11" t="n">
        <v>20</v>
      </c>
      <c r="H149" s="12" t="s">
        <v>312</v>
      </c>
    </row>
    <row r="150" customFormat="false" ht="15" hidden="false" customHeight="false" outlineLevel="0" collapsed="false">
      <c r="A150" s="11" t="s">
        <v>271</v>
      </c>
      <c r="B150" s="11" t="s">
        <v>5</v>
      </c>
      <c r="C150" s="11" t="n">
        <v>2025</v>
      </c>
      <c r="D150" s="11" t="n">
        <v>7</v>
      </c>
      <c r="E150" s="11" t="s">
        <v>117</v>
      </c>
      <c r="F150" s="11" t="s">
        <v>195</v>
      </c>
      <c r="G150" s="11" t="n">
        <v>20</v>
      </c>
      <c r="H150" s="12" t="s">
        <v>313</v>
      </c>
    </row>
    <row r="151" customFormat="false" ht="15" hidden="false" customHeight="false" outlineLevel="0" collapsed="false">
      <c r="A151" s="11" t="s">
        <v>271</v>
      </c>
      <c r="B151" s="11" t="s">
        <v>5</v>
      </c>
      <c r="C151" s="11" t="n">
        <v>2025</v>
      </c>
      <c r="D151" s="11" t="n">
        <v>8</v>
      </c>
      <c r="E151" s="11" t="s">
        <v>120</v>
      </c>
      <c r="F151" s="11" t="s">
        <v>197</v>
      </c>
      <c r="G151" s="11" t="n">
        <v>20</v>
      </c>
      <c r="H151" s="12" t="s">
        <v>314</v>
      </c>
    </row>
    <row r="152" customFormat="false" ht="15" hidden="false" customHeight="false" outlineLevel="0" collapsed="false">
      <c r="A152" s="11" t="s">
        <v>271</v>
      </c>
      <c r="B152" s="11" t="s">
        <v>5</v>
      </c>
      <c r="C152" s="11" t="n">
        <v>2025</v>
      </c>
      <c r="D152" s="11" t="n">
        <v>9</v>
      </c>
      <c r="E152" s="11" t="s">
        <v>123</v>
      </c>
      <c r="F152" s="11" t="s">
        <v>199</v>
      </c>
      <c r="G152" s="11" t="n">
        <v>24</v>
      </c>
      <c r="H152" s="12" t="s">
        <v>315</v>
      </c>
    </row>
    <row r="153" customFormat="false" ht="15" hidden="false" customHeight="false" outlineLevel="0" collapsed="false">
      <c r="A153" s="11" t="s">
        <v>271</v>
      </c>
      <c r="B153" s="11" t="s">
        <v>5</v>
      </c>
      <c r="C153" s="11" t="n">
        <v>2025</v>
      </c>
      <c r="D153" s="11" t="n">
        <v>10</v>
      </c>
      <c r="E153" s="11" t="s">
        <v>126</v>
      </c>
      <c r="F153" s="11" t="s">
        <v>201</v>
      </c>
      <c r="G153" s="11" t="n">
        <v>20</v>
      </c>
      <c r="H153" s="12" t="s">
        <v>316</v>
      </c>
    </row>
    <row r="154" customFormat="false" ht="15" hidden="false" customHeight="false" outlineLevel="0" collapsed="false">
      <c r="A154" s="11" t="s">
        <v>271</v>
      </c>
      <c r="B154" s="11" t="s">
        <v>5</v>
      </c>
      <c r="C154" s="11" t="n">
        <v>2025</v>
      </c>
      <c r="D154" s="11" t="n">
        <v>11</v>
      </c>
      <c r="E154" s="11" t="s">
        <v>129</v>
      </c>
      <c r="F154" s="11" t="s">
        <v>203</v>
      </c>
      <c r="G154" s="11" t="n">
        <v>20</v>
      </c>
      <c r="H154" s="12" t="s">
        <v>317</v>
      </c>
    </row>
    <row r="155" customFormat="false" ht="15" hidden="false" customHeight="false" outlineLevel="0" collapsed="false">
      <c r="A155" s="11" t="s">
        <v>271</v>
      </c>
      <c r="B155" s="11" t="s">
        <v>5</v>
      </c>
      <c r="C155" s="11" t="n">
        <v>2025</v>
      </c>
      <c r="D155" s="11" t="n">
        <v>12</v>
      </c>
      <c r="E155" s="11" t="s">
        <v>132</v>
      </c>
      <c r="F155" s="11" t="s">
        <v>205</v>
      </c>
      <c r="G155" s="11" t="n">
        <v>16</v>
      </c>
      <c r="H155" s="12" t="s">
        <v>318</v>
      </c>
    </row>
    <row r="156" customFormat="false" ht="15" hidden="false" customHeight="false" outlineLevel="0" collapsed="false">
      <c r="A156" s="11" t="s">
        <v>271</v>
      </c>
      <c r="B156" s="11" t="s">
        <v>5</v>
      </c>
      <c r="C156" s="11" t="n">
        <v>2026</v>
      </c>
      <c r="D156" s="11" t="n">
        <v>1</v>
      </c>
      <c r="E156" s="11" t="s">
        <v>99</v>
      </c>
      <c r="F156" s="11" t="s">
        <v>207</v>
      </c>
      <c r="G156" s="11" t="n">
        <v>16</v>
      </c>
      <c r="H156" s="12" t="s">
        <v>319</v>
      </c>
    </row>
    <row r="157" customFormat="false" ht="15" hidden="false" customHeight="false" outlineLevel="0" collapsed="false">
      <c r="A157" s="11" t="s">
        <v>271</v>
      </c>
      <c r="B157" s="11" t="s">
        <v>5</v>
      </c>
      <c r="C157" s="11" t="n">
        <v>2026</v>
      </c>
      <c r="D157" s="11" t="n">
        <v>2</v>
      </c>
      <c r="E157" s="11" t="s">
        <v>102</v>
      </c>
      <c r="F157" s="11" t="s">
        <v>209</v>
      </c>
      <c r="G157" s="11" t="n">
        <v>16</v>
      </c>
      <c r="H157" s="12" t="s">
        <v>320</v>
      </c>
    </row>
    <row r="158" customFormat="false" ht="15" hidden="false" customHeight="false" outlineLevel="0" collapsed="false">
      <c r="A158" s="11" t="s">
        <v>271</v>
      </c>
      <c r="B158" s="11" t="s">
        <v>5</v>
      </c>
      <c r="C158" s="11" t="n">
        <v>2026</v>
      </c>
      <c r="D158" s="11" t="n">
        <v>3</v>
      </c>
      <c r="E158" s="11" t="s">
        <v>105</v>
      </c>
      <c r="F158" s="11" t="s">
        <v>211</v>
      </c>
      <c r="G158" s="11" t="n">
        <v>20</v>
      </c>
      <c r="H158" s="12" t="s">
        <v>321</v>
      </c>
    </row>
    <row r="159" customFormat="false" ht="15" hidden="false" customHeight="false" outlineLevel="0" collapsed="false">
      <c r="A159" s="11" t="s">
        <v>271</v>
      </c>
      <c r="B159" s="11" t="s">
        <v>5</v>
      </c>
      <c r="C159" s="11" t="n">
        <v>2026</v>
      </c>
      <c r="D159" s="11" t="n">
        <v>4</v>
      </c>
      <c r="E159" s="11" t="s">
        <v>108</v>
      </c>
      <c r="F159" s="11" t="s">
        <v>213</v>
      </c>
      <c r="G159" s="11" t="n">
        <v>20</v>
      </c>
      <c r="H159" s="12" t="s">
        <v>322</v>
      </c>
    </row>
    <row r="160" customFormat="false" ht="15" hidden="false" customHeight="false" outlineLevel="0" collapsed="false">
      <c r="A160" s="11" t="s">
        <v>271</v>
      </c>
      <c r="B160" s="11" t="s">
        <v>5</v>
      </c>
      <c r="C160" s="11" t="n">
        <v>2026</v>
      </c>
      <c r="D160" s="11" t="n">
        <v>5</v>
      </c>
      <c r="E160" s="11" t="s">
        <v>111</v>
      </c>
      <c r="F160" s="11" t="s">
        <v>215</v>
      </c>
      <c r="G160" s="11" t="n">
        <v>20</v>
      </c>
      <c r="H160" s="12" t="s">
        <v>323</v>
      </c>
    </row>
    <row r="161" customFormat="false" ht="15" hidden="false" customHeight="false" outlineLevel="0" collapsed="false">
      <c r="A161" s="11" t="s">
        <v>324</v>
      </c>
      <c r="B161" s="11" t="s">
        <v>6</v>
      </c>
      <c r="C161" s="11" t="n">
        <v>2022</v>
      </c>
      <c r="D161" s="11" t="n">
        <v>1</v>
      </c>
      <c r="E161" s="11" t="s">
        <v>99</v>
      </c>
      <c r="F161" s="11" t="s">
        <v>100</v>
      </c>
      <c r="G161" s="11" t="n">
        <v>20</v>
      </c>
      <c r="H161" s="12" t="s">
        <v>325</v>
      </c>
    </row>
    <row r="162" customFormat="false" ht="15" hidden="false" customHeight="false" outlineLevel="0" collapsed="false">
      <c r="A162" s="11" t="s">
        <v>324</v>
      </c>
      <c r="B162" s="11" t="s">
        <v>6</v>
      </c>
      <c r="C162" s="11" t="n">
        <v>2022</v>
      </c>
      <c r="D162" s="11" t="n">
        <v>2</v>
      </c>
      <c r="E162" s="11" t="s">
        <v>102</v>
      </c>
      <c r="F162" s="11" t="s">
        <v>103</v>
      </c>
      <c r="G162" s="11" t="n">
        <v>16</v>
      </c>
      <c r="H162" s="12" t="s">
        <v>326</v>
      </c>
    </row>
    <row r="163" customFormat="false" ht="15" hidden="false" customHeight="false" outlineLevel="0" collapsed="false">
      <c r="A163" s="11" t="s">
        <v>324</v>
      </c>
      <c r="B163" s="11" t="s">
        <v>6</v>
      </c>
      <c r="C163" s="11" t="n">
        <v>2022</v>
      </c>
      <c r="D163" s="11" t="n">
        <v>3</v>
      </c>
      <c r="E163" s="11" t="s">
        <v>105</v>
      </c>
      <c r="F163" s="11" t="s">
        <v>106</v>
      </c>
      <c r="G163" s="11" t="n">
        <v>24</v>
      </c>
      <c r="H163" s="12" t="s">
        <v>327</v>
      </c>
    </row>
    <row r="164" customFormat="false" ht="15" hidden="false" customHeight="false" outlineLevel="0" collapsed="false">
      <c r="A164" s="11" t="s">
        <v>324</v>
      </c>
      <c r="B164" s="11" t="s">
        <v>6</v>
      </c>
      <c r="C164" s="11" t="n">
        <v>2022</v>
      </c>
      <c r="D164" s="11" t="n">
        <v>4</v>
      </c>
      <c r="E164" s="11" t="s">
        <v>108</v>
      </c>
      <c r="F164" s="11" t="s">
        <v>109</v>
      </c>
      <c r="G164" s="11" t="n">
        <v>28</v>
      </c>
      <c r="H164" s="12" t="s">
        <v>328</v>
      </c>
    </row>
    <row r="165" customFormat="false" ht="15" hidden="false" customHeight="false" outlineLevel="0" collapsed="false">
      <c r="A165" s="11" t="s">
        <v>324</v>
      </c>
      <c r="B165" s="11" t="s">
        <v>6</v>
      </c>
      <c r="C165" s="11" t="n">
        <v>2022</v>
      </c>
      <c r="D165" s="11" t="n">
        <v>5</v>
      </c>
      <c r="E165" s="11" t="s">
        <v>111</v>
      </c>
      <c r="F165" s="11" t="s">
        <v>112</v>
      </c>
      <c r="G165" s="11" t="n">
        <v>32</v>
      </c>
      <c r="H165" s="12" t="s">
        <v>329</v>
      </c>
    </row>
    <row r="166" customFormat="false" ht="15" hidden="false" customHeight="false" outlineLevel="0" collapsed="false">
      <c r="A166" s="11" t="s">
        <v>324</v>
      </c>
      <c r="B166" s="11" t="s">
        <v>6</v>
      </c>
      <c r="C166" s="11" t="n">
        <v>2022</v>
      </c>
      <c r="D166" s="11" t="n">
        <v>6</v>
      </c>
      <c r="E166" s="11" t="s">
        <v>114</v>
      </c>
      <c r="F166" s="11" t="s">
        <v>115</v>
      </c>
      <c r="G166" s="11" t="n">
        <v>28</v>
      </c>
      <c r="H166" s="12" t="s">
        <v>330</v>
      </c>
    </row>
    <row r="167" customFormat="false" ht="15" hidden="false" customHeight="false" outlineLevel="0" collapsed="false">
      <c r="A167" s="11" t="s">
        <v>324</v>
      </c>
      <c r="B167" s="11" t="s">
        <v>6</v>
      </c>
      <c r="C167" s="11" t="n">
        <v>2022</v>
      </c>
      <c r="D167" s="11" t="n">
        <v>7</v>
      </c>
      <c r="E167" s="11" t="s">
        <v>117</v>
      </c>
      <c r="F167" s="11" t="s">
        <v>118</v>
      </c>
      <c r="G167" s="11" t="n">
        <v>24</v>
      </c>
      <c r="H167" s="12" t="s">
        <v>331</v>
      </c>
    </row>
    <row r="168" customFormat="false" ht="15" hidden="false" customHeight="false" outlineLevel="0" collapsed="false">
      <c r="A168" s="11" t="s">
        <v>324</v>
      </c>
      <c r="B168" s="11" t="s">
        <v>6</v>
      </c>
      <c r="C168" s="11" t="n">
        <v>2022</v>
      </c>
      <c r="D168" s="11" t="n">
        <v>8</v>
      </c>
      <c r="E168" s="11" t="s">
        <v>120</v>
      </c>
      <c r="F168" s="11" t="s">
        <v>121</v>
      </c>
      <c r="G168" s="11" t="n">
        <v>24</v>
      </c>
      <c r="H168" s="12" t="s">
        <v>332</v>
      </c>
    </row>
    <row r="169" customFormat="false" ht="15" hidden="false" customHeight="false" outlineLevel="0" collapsed="false">
      <c r="A169" s="11" t="s">
        <v>324</v>
      </c>
      <c r="B169" s="11" t="s">
        <v>6</v>
      </c>
      <c r="C169" s="11" t="n">
        <v>2022</v>
      </c>
      <c r="D169" s="11" t="n">
        <v>9</v>
      </c>
      <c r="E169" s="11" t="s">
        <v>123</v>
      </c>
      <c r="F169" s="11" t="s">
        <v>124</v>
      </c>
      <c r="G169" s="11" t="n">
        <v>28</v>
      </c>
      <c r="H169" s="12" t="s">
        <v>333</v>
      </c>
    </row>
    <row r="170" customFormat="false" ht="15" hidden="false" customHeight="false" outlineLevel="0" collapsed="false">
      <c r="A170" s="11" t="s">
        <v>324</v>
      </c>
      <c r="B170" s="11" t="s">
        <v>6</v>
      </c>
      <c r="C170" s="11" t="n">
        <v>2022</v>
      </c>
      <c r="D170" s="11" t="n">
        <v>10</v>
      </c>
      <c r="E170" s="11" t="s">
        <v>126</v>
      </c>
      <c r="F170" s="11" t="s">
        <v>127</v>
      </c>
      <c r="G170" s="11" t="n">
        <v>28</v>
      </c>
      <c r="H170" s="12" t="s">
        <v>334</v>
      </c>
    </row>
    <row r="171" customFormat="false" ht="15" hidden="false" customHeight="false" outlineLevel="0" collapsed="false">
      <c r="A171" s="11" t="s">
        <v>324</v>
      </c>
      <c r="B171" s="11" t="s">
        <v>6</v>
      </c>
      <c r="C171" s="11" t="n">
        <v>2022</v>
      </c>
      <c r="D171" s="11" t="n">
        <v>11</v>
      </c>
      <c r="E171" s="11" t="s">
        <v>129</v>
      </c>
      <c r="F171" s="11" t="s">
        <v>130</v>
      </c>
      <c r="G171" s="11" t="n">
        <v>24</v>
      </c>
      <c r="H171" s="12" t="s">
        <v>335</v>
      </c>
    </row>
    <row r="172" customFormat="false" ht="15" hidden="false" customHeight="false" outlineLevel="0" collapsed="false">
      <c r="A172" s="11" t="s">
        <v>324</v>
      </c>
      <c r="B172" s="11" t="s">
        <v>6</v>
      </c>
      <c r="C172" s="11" t="n">
        <v>2022</v>
      </c>
      <c r="D172" s="11" t="n">
        <v>12</v>
      </c>
      <c r="E172" s="11" t="s">
        <v>132</v>
      </c>
      <c r="F172" s="11" t="s">
        <v>133</v>
      </c>
      <c r="G172" s="11" t="n">
        <v>32</v>
      </c>
      <c r="H172" s="12" t="s">
        <v>336</v>
      </c>
    </row>
    <row r="173" customFormat="false" ht="15" hidden="false" customHeight="false" outlineLevel="0" collapsed="false">
      <c r="A173" s="11" t="s">
        <v>324</v>
      </c>
      <c r="B173" s="11" t="s">
        <v>6</v>
      </c>
      <c r="C173" s="11" t="n">
        <v>2023</v>
      </c>
      <c r="D173" s="11" t="n">
        <v>1</v>
      </c>
      <c r="E173" s="11" t="s">
        <v>99</v>
      </c>
      <c r="F173" s="11" t="s">
        <v>135</v>
      </c>
      <c r="G173" s="11" t="n">
        <v>28</v>
      </c>
      <c r="H173" s="12" t="s">
        <v>337</v>
      </c>
    </row>
    <row r="174" customFormat="false" ht="15" hidden="false" customHeight="false" outlineLevel="0" collapsed="false">
      <c r="A174" s="11" t="s">
        <v>324</v>
      </c>
      <c r="B174" s="11" t="s">
        <v>6</v>
      </c>
      <c r="C174" s="11" t="n">
        <v>2023</v>
      </c>
      <c r="D174" s="11" t="n">
        <v>2</v>
      </c>
      <c r="E174" s="11" t="s">
        <v>102</v>
      </c>
      <c r="F174" s="11" t="s">
        <v>137</v>
      </c>
      <c r="G174" s="11" t="n">
        <v>20</v>
      </c>
      <c r="H174" s="12" t="s">
        <v>338</v>
      </c>
    </row>
    <row r="175" customFormat="false" ht="15" hidden="false" customHeight="false" outlineLevel="0" collapsed="false">
      <c r="A175" s="11" t="s">
        <v>324</v>
      </c>
      <c r="B175" s="11" t="s">
        <v>6</v>
      </c>
      <c r="C175" s="11" t="n">
        <v>2023</v>
      </c>
      <c r="D175" s="11" t="n">
        <v>3</v>
      </c>
      <c r="E175" s="11" t="s">
        <v>105</v>
      </c>
      <c r="F175" s="11" t="s">
        <v>139</v>
      </c>
      <c r="G175" s="11" t="n">
        <v>24</v>
      </c>
      <c r="H175" s="12" t="s">
        <v>339</v>
      </c>
    </row>
    <row r="176" customFormat="false" ht="15" hidden="false" customHeight="false" outlineLevel="0" collapsed="false">
      <c r="A176" s="11" t="s">
        <v>324</v>
      </c>
      <c r="B176" s="11" t="s">
        <v>6</v>
      </c>
      <c r="C176" s="11" t="n">
        <v>2023</v>
      </c>
      <c r="D176" s="11" t="n">
        <v>4</v>
      </c>
      <c r="E176" s="11" t="s">
        <v>108</v>
      </c>
      <c r="F176" s="11" t="s">
        <v>141</v>
      </c>
      <c r="G176" s="11" t="n">
        <v>28</v>
      </c>
      <c r="H176" s="12" t="s">
        <v>340</v>
      </c>
    </row>
    <row r="177" customFormat="false" ht="15" hidden="false" customHeight="false" outlineLevel="0" collapsed="false">
      <c r="A177" s="11" t="s">
        <v>324</v>
      </c>
      <c r="B177" s="11" t="s">
        <v>6</v>
      </c>
      <c r="C177" s="11" t="n">
        <v>2023</v>
      </c>
      <c r="D177" s="11" t="n">
        <v>5</v>
      </c>
      <c r="E177" s="11" t="s">
        <v>111</v>
      </c>
      <c r="F177" s="11" t="s">
        <v>143</v>
      </c>
      <c r="G177" s="11" t="n">
        <v>32</v>
      </c>
      <c r="H177" s="12" t="s">
        <v>341</v>
      </c>
    </row>
    <row r="178" customFormat="false" ht="15" hidden="false" customHeight="false" outlineLevel="0" collapsed="false">
      <c r="A178" s="11" t="s">
        <v>324</v>
      </c>
      <c r="B178" s="11" t="s">
        <v>6</v>
      </c>
      <c r="C178" s="11" t="n">
        <v>2023</v>
      </c>
      <c r="D178" s="11" t="n">
        <v>6</v>
      </c>
      <c r="E178" s="11" t="s">
        <v>114</v>
      </c>
      <c r="F178" s="11" t="s">
        <v>145</v>
      </c>
      <c r="G178" s="11" t="n">
        <v>32</v>
      </c>
      <c r="H178" s="12" t="s">
        <v>342</v>
      </c>
    </row>
    <row r="179" customFormat="false" ht="15" hidden="false" customHeight="false" outlineLevel="0" collapsed="false">
      <c r="A179" s="11" t="s">
        <v>324</v>
      </c>
      <c r="B179" s="11" t="s">
        <v>6</v>
      </c>
      <c r="C179" s="11" t="n">
        <v>2023</v>
      </c>
      <c r="D179" s="11" t="n">
        <v>7</v>
      </c>
      <c r="E179" s="11" t="s">
        <v>117</v>
      </c>
      <c r="F179" s="11" t="s">
        <v>147</v>
      </c>
      <c r="G179" s="11" t="n">
        <v>28</v>
      </c>
      <c r="H179" s="12" t="s">
        <v>343</v>
      </c>
    </row>
    <row r="180" customFormat="false" ht="15" hidden="false" customHeight="false" outlineLevel="0" collapsed="false">
      <c r="A180" s="11" t="s">
        <v>324</v>
      </c>
      <c r="B180" s="11" t="s">
        <v>6</v>
      </c>
      <c r="C180" s="11" t="n">
        <v>2023</v>
      </c>
      <c r="D180" s="11" t="n">
        <v>8</v>
      </c>
      <c r="E180" s="11" t="s">
        <v>120</v>
      </c>
      <c r="F180" s="11" t="s">
        <v>149</v>
      </c>
      <c r="G180" s="11" t="n">
        <v>24</v>
      </c>
      <c r="H180" s="12" t="s">
        <v>344</v>
      </c>
    </row>
    <row r="181" customFormat="false" ht="15" hidden="false" customHeight="false" outlineLevel="0" collapsed="false">
      <c r="A181" s="11" t="s">
        <v>324</v>
      </c>
      <c r="B181" s="11" t="s">
        <v>6</v>
      </c>
      <c r="C181" s="11" t="n">
        <v>2023</v>
      </c>
      <c r="D181" s="11" t="n">
        <v>9</v>
      </c>
      <c r="E181" s="11" t="s">
        <v>123</v>
      </c>
      <c r="F181" s="11" t="s">
        <v>151</v>
      </c>
      <c r="G181" s="11" t="n">
        <v>28</v>
      </c>
      <c r="H181" s="12" t="s">
        <v>345</v>
      </c>
    </row>
    <row r="182" customFormat="false" ht="15" hidden="false" customHeight="false" outlineLevel="0" collapsed="false">
      <c r="A182" s="11" t="s">
        <v>324</v>
      </c>
      <c r="B182" s="11" t="s">
        <v>6</v>
      </c>
      <c r="C182" s="11" t="n">
        <v>2023</v>
      </c>
      <c r="D182" s="11" t="n">
        <v>10</v>
      </c>
      <c r="E182" s="11" t="s">
        <v>126</v>
      </c>
      <c r="F182" s="11" t="s">
        <v>153</v>
      </c>
      <c r="G182" s="11" t="n">
        <v>24</v>
      </c>
      <c r="H182" s="12" t="s">
        <v>346</v>
      </c>
    </row>
    <row r="183" customFormat="false" ht="15" hidden="false" customHeight="false" outlineLevel="0" collapsed="false">
      <c r="A183" s="11" t="s">
        <v>324</v>
      </c>
      <c r="B183" s="11" t="s">
        <v>6</v>
      </c>
      <c r="C183" s="11" t="n">
        <v>2023</v>
      </c>
      <c r="D183" s="11" t="n">
        <v>11</v>
      </c>
      <c r="E183" s="11" t="s">
        <v>129</v>
      </c>
      <c r="F183" s="11" t="s">
        <v>155</v>
      </c>
      <c r="G183" s="11" t="n">
        <v>28</v>
      </c>
      <c r="H183" s="12" t="s">
        <v>347</v>
      </c>
    </row>
    <row r="184" customFormat="false" ht="15" hidden="false" customHeight="false" outlineLevel="0" collapsed="false">
      <c r="A184" s="11" t="s">
        <v>324</v>
      </c>
      <c r="B184" s="11" t="s">
        <v>6</v>
      </c>
      <c r="C184" s="11" t="n">
        <v>2023</v>
      </c>
      <c r="D184" s="11" t="n">
        <v>12</v>
      </c>
      <c r="E184" s="11" t="s">
        <v>132</v>
      </c>
      <c r="F184" s="11" t="s">
        <v>157</v>
      </c>
      <c r="G184" s="11" t="n">
        <v>28</v>
      </c>
      <c r="H184" s="12" t="s">
        <v>348</v>
      </c>
    </row>
    <row r="185" customFormat="false" ht="15" hidden="false" customHeight="false" outlineLevel="0" collapsed="false">
      <c r="A185" s="11" t="s">
        <v>324</v>
      </c>
      <c r="B185" s="11" t="s">
        <v>6</v>
      </c>
      <c r="C185" s="11" t="n">
        <v>2024</v>
      </c>
      <c r="D185" s="11" t="n">
        <v>1</v>
      </c>
      <c r="E185" s="11" t="s">
        <v>99</v>
      </c>
      <c r="F185" s="11" t="s">
        <v>159</v>
      </c>
      <c r="G185" s="11" t="n">
        <v>24</v>
      </c>
      <c r="H185" s="12" t="s">
        <v>349</v>
      </c>
    </row>
    <row r="186" customFormat="false" ht="15" hidden="false" customHeight="false" outlineLevel="0" collapsed="false">
      <c r="A186" s="11" t="s">
        <v>324</v>
      </c>
      <c r="B186" s="11" t="s">
        <v>6</v>
      </c>
      <c r="C186" s="11" t="n">
        <v>2024</v>
      </c>
      <c r="D186" s="11" t="n">
        <v>2</v>
      </c>
      <c r="E186" s="11" t="s">
        <v>102</v>
      </c>
      <c r="F186" s="11" t="s">
        <v>161</v>
      </c>
      <c r="G186" s="11" t="n">
        <v>24</v>
      </c>
      <c r="H186" s="12" t="s">
        <v>350</v>
      </c>
    </row>
    <row r="187" customFormat="false" ht="15" hidden="false" customHeight="false" outlineLevel="0" collapsed="false">
      <c r="A187" s="11" t="s">
        <v>324</v>
      </c>
      <c r="B187" s="11" t="s">
        <v>6</v>
      </c>
      <c r="C187" s="11" t="n">
        <v>2024</v>
      </c>
      <c r="D187" s="11" t="n">
        <v>3</v>
      </c>
      <c r="E187" s="11" t="s">
        <v>105</v>
      </c>
      <c r="F187" s="11" t="s">
        <v>163</v>
      </c>
      <c r="G187" s="11" t="n">
        <v>24</v>
      </c>
      <c r="H187" s="12" t="s">
        <v>351</v>
      </c>
    </row>
    <row r="188" customFormat="false" ht="15" hidden="false" customHeight="false" outlineLevel="0" collapsed="false">
      <c r="A188" s="11" t="s">
        <v>324</v>
      </c>
      <c r="B188" s="11" t="s">
        <v>6</v>
      </c>
      <c r="C188" s="11" t="n">
        <v>2024</v>
      </c>
      <c r="D188" s="11" t="n">
        <v>4</v>
      </c>
      <c r="E188" s="11" t="s">
        <v>108</v>
      </c>
      <c r="F188" s="11" t="s">
        <v>165</v>
      </c>
      <c r="G188" s="11" t="n">
        <v>32</v>
      </c>
      <c r="H188" s="12" t="s">
        <v>352</v>
      </c>
    </row>
    <row r="189" customFormat="false" ht="15" hidden="false" customHeight="false" outlineLevel="0" collapsed="false">
      <c r="A189" s="11" t="s">
        <v>324</v>
      </c>
      <c r="B189" s="11" t="s">
        <v>6</v>
      </c>
      <c r="C189" s="11" t="n">
        <v>2024</v>
      </c>
      <c r="D189" s="11" t="n">
        <v>5</v>
      </c>
      <c r="E189" s="11" t="s">
        <v>111</v>
      </c>
      <c r="F189" s="11" t="s">
        <v>167</v>
      </c>
      <c r="G189" s="11" t="n">
        <v>32</v>
      </c>
      <c r="H189" s="12" t="s">
        <v>353</v>
      </c>
    </row>
    <row r="190" customFormat="false" ht="15" hidden="false" customHeight="false" outlineLevel="0" collapsed="false">
      <c r="A190" s="11" t="s">
        <v>324</v>
      </c>
      <c r="B190" s="11" t="s">
        <v>6</v>
      </c>
      <c r="C190" s="11" t="n">
        <v>2024</v>
      </c>
      <c r="D190" s="11" t="n">
        <v>6</v>
      </c>
      <c r="E190" s="11" t="s">
        <v>114</v>
      </c>
      <c r="F190" s="11" t="s">
        <v>169</v>
      </c>
      <c r="G190" s="11" t="n">
        <v>24</v>
      </c>
      <c r="H190" s="12" t="s">
        <v>354</v>
      </c>
    </row>
    <row r="191" customFormat="false" ht="15" hidden="false" customHeight="false" outlineLevel="0" collapsed="false">
      <c r="A191" s="11" t="s">
        <v>324</v>
      </c>
      <c r="B191" s="11" t="s">
        <v>6</v>
      </c>
      <c r="C191" s="11" t="n">
        <v>2024</v>
      </c>
      <c r="D191" s="11" t="n">
        <v>7</v>
      </c>
      <c r="E191" s="11" t="s">
        <v>117</v>
      </c>
      <c r="F191" s="11" t="s">
        <v>171</v>
      </c>
      <c r="G191" s="11" t="n">
        <v>24</v>
      </c>
      <c r="H191" s="12" t="s">
        <v>355</v>
      </c>
    </row>
    <row r="192" customFormat="false" ht="15" hidden="false" customHeight="false" outlineLevel="0" collapsed="false">
      <c r="A192" s="11" t="s">
        <v>324</v>
      </c>
      <c r="B192" s="11" t="s">
        <v>6</v>
      </c>
      <c r="C192" s="11" t="n">
        <v>2024</v>
      </c>
      <c r="D192" s="11" t="n">
        <v>8</v>
      </c>
      <c r="E192" s="11" t="s">
        <v>120</v>
      </c>
      <c r="F192" s="11" t="s">
        <v>173</v>
      </c>
      <c r="G192" s="11" t="n">
        <v>16</v>
      </c>
      <c r="H192" s="12" t="s">
        <v>356</v>
      </c>
    </row>
    <row r="193" customFormat="false" ht="15" hidden="false" customHeight="false" outlineLevel="0" collapsed="false">
      <c r="A193" s="11" t="s">
        <v>324</v>
      </c>
      <c r="B193" s="11" t="s">
        <v>6</v>
      </c>
      <c r="C193" s="11" t="n">
        <v>2024</v>
      </c>
      <c r="D193" s="11" t="n">
        <v>9</v>
      </c>
      <c r="E193" s="11" t="s">
        <v>123</v>
      </c>
      <c r="F193" s="11" t="s">
        <v>175</v>
      </c>
      <c r="G193" s="11" t="n">
        <v>24</v>
      </c>
      <c r="H193" s="12" t="s">
        <v>357</v>
      </c>
    </row>
    <row r="194" customFormat="false" ht="15" hidden="false" customHeight="false" outlineLevel="0" collapsed="false">
      <c r="A194" s="11" t="s">
        <v>324</v>
      </c>
      <c r="B194" s="11" t="s">
        <v>6</v>
      </c>
      <c r="C194" s="11" t="n">
        <v>2024</v>
      </c>
      <c r="D194" s="11" t="n">
        <v>10</v>
      </c>
      <c r="E194" s="11" t="s">
        <v>126</v>
      </c>
      <c r="F194" s="11" t="s">
        <v>177</v>
      </c>
      <c r="G194" s="11" t="n">
        <v>24</v>
      </c>
      <c r="H194" s="12" t="s">
        <v>358</v>
      </c>
    </row>
    <row r="195" customFormat="false" ht="15" hidden="false" customHeight="false" outlineLevel="0" collapsed="false">
      <c r="A195" s="11" t="s">
        <v>324</v>
      </c>
      <c r="B195" s="11" t="s">
        <v>6</v>
      </c>
      <c r="C195" s="11" t="n">
        <v>2024</v>
      </c>
      <c r="D195" s="11" t="n">
        <v>11</v>
      </c>
      <c r="E195" s="11" t="s">
        <v>129</v>
      </c>
      <c r="F195" s="11" t="s">
        <v>179</v>
      </c>
      <c r="G195" s="11" t="n">
        <v>20</v>
      </c>
      <c r="H195" s="12" t="s">
        <v>359</v>
      </c>
    </row>
    <row r="196" customFormat="false" ht="15" hidden="false" customHeight="false" outlineLevel="0" collapsed="false">
      <c r="A196" s="11" t="s">
        <v>324</v>
      </c>
      <c r="B196" s="11" t="s">
        <v>6</v>
      </c>
      <c r="C196" s="11" t="n">
        <v>2024</v>
      </c>
      <c r="D196" s="11" t="n">
        <v>12</v>
      </c>
      <c r="E196" s="11" t="s">
        <v>132</v>
      </c>
      <c r="F196" s="11" t="s">
        <v>181</v>
      </c>
      <c r="G196" s="11" t="n">
        <v>24</v>
      </c>
      <c r="H196" s="12" t="s">
        <v>360</v>
      </c>
    </row>
    <row r="197" customFormat="false" ht="15" hidden="false" customHeight="false" outlineLevel="0" collapsed="false">
      <c r="A197" s="11" t="s">
        <v>324</v>
      </c>
      <c r="B197" s="11" t="s">
        <v>6</v>
      </c>
      <c r="C197" s="11" t="n">
        <v>2025</v>
      </c>
      <c r="D197" s="11" t="n">
        <v>1</v>
      </c>
      <c r="E197" s="11" t="s">
        <v>99</v>
      </c>
      <c r="F197" s="11" t="s">
        <v>183</v>
      </c>
      <c r="G197" s="11" t="n">
        <v>16</v>
      </c>
      <c r="H197" s="12" t="s">
        <v>361</v>
      </c>
    </row>
    <row r="198" customFormat="false" ht="15" hidden="false" customHeight="false" outlineLevel="0" collapsed="false">
      <c r="A198" s="11" t="s">
        <v>324</v>
      </c>
      <c r="B198" s="11" t="s">
        <v>6</v>
      </c>
      <c r="C198" s="11" t="n">
        <v>2025</v>
      </c>
      <c r="D198" s="11" t="n">
        <v>2</v>
      </c>
      <c r="E198" s="11" t="s">
        <v>102</v>
      </c>
      <c r="F198" s="11" t="s">
        <v>185</v>
      </c>
      <c r="G198" s="11" t="n">
        <v>24</v>
      </c>
      <c r="H198" s="12" t="s">
        <v>362</v>
      </c>
    </row>
    <row r="199" customFormat="false" ht="15" hidden="false" customHeight="false" outlineLevel="0" collapsed="false">
      <c r="A199" s="11" t="s">
        <v>324</v>
      </c>
      <c r="B199" s="11" t="s">
        <v>6</v>
      </c>
      <c r="C199" s="11" t="n">
        <v>2025</v>
      </c>
      <c r="D199" s="11" t="n">
        <v>3</v>
      </c>
      <c r="E199" s="11" t="s">
        <v>105</v>
      </c>
      <c r="F199" s="11" t="s">
        <v>187</v>
      </c>
      <c r="G199" s="11" t="n">
        <v>16</v>
      </c>
      <c r="H199" s="12" t="s">
        <v>363</v>
      </c>
    </row>
    <row r="200" customFormat="false" ht="15" hidden="false" customHeight="false" outlineLevel="0" collapsed="false">
      <c r="A200" s="11" t="s">
        <v>324</v>
      </c>
      <c r="B200" s="11" t="s">
        <v>6</v>
      </c>
      <c r="C200" s="11" t="n">
        <v>2025</v>
      </c>
      <c r="D200" s="11" t="n">
        <v>4</v>
      </c>
      <c r="E200" s="11" t="s">
        <v>108</v>
      </c>
      <c r="F200" s="11" t="s">
        <v>189</v>
      </c>
      <c r="G200" s="11" t="n">
        <v>24</v>
      </c>
      <c r="H200" s="12" t="s">
        <v>364</v>
      </c>
    </row>
    <row r="201" customFormat="false" ht="15" hidden="false" customHeight="false" outlineLevel="0" collapsed="false">
      <c r="A201" s="11" t="s">
        <v>324</v>
      </c>
      <c r="B201" s="11" t="s">
        <v>6</v>
      </c>
      <c r="C201" s="11" t="n">
        <v>2025</v>
      </c>
      <c r="D201" s="11" t="n">
        <v>5</v>
      </c>
      <c r="E201" s="11" t="s">
        <v>111</v>
      </c>
      <c r="F201" s="11" t="s">
        <v>191</v>
      </c>
      <c r="G201" s="11" t="n">
        <v>24</v>
      </c>
      <c r="H201" s="12" t="s">
        <v>365</v>
      </c>
    </row>
    <row r="202" customFormat="false" ht="15" hidden="false" customHeight="false" outlineLevel="0" collapsed="false">
      <c r="A202" s="11" t="s">
        <v>324</v>
      </c>
      <c r="B202" s="11" t="s">
        <v>6</v>
      </c>
      <c r="C202" s="11" t="n">
        <v>2025</v>
      </c>
      <c r="D202" s="11" t="n">
        <v>6</v>
      </c>
      <c r="E202" s="11" t="s">
        <v>114</v>
      </c>
      <c r="F202" s="11" t="s">
        <v>193</v>
      </c>
      <c r="G202" s="11" t="n">
        <v>20</v>
      </c>
      <c r="H202" s="12" t="s">
        <v>366</v>
      </c>
    </row>
    <row r="203" customFormat="false" ht="15" hidden="false" customHeight="false" outlineLevel="0" collapsed="false">
      <c r="A203" s="11" t="s">
        <v>324</v>
      </c>
      <c r="B203" s="11" t="s">
        <v>6</v>
      </c>
      <c r="C203" s="11" t="n">
        <v>2025</v>
      </c>
      <c r="D203" s="11" t="n">
        <v>7</v>
      </c>
      <c r="E203" s="11" t="s">
        <v>117</v>
      </c>
      <c r="F203" s="11" t="s">
        <v>195</v>
      </c>
      <c r="G203" s="11" t="n">
        <v>16</v>
      </c>
      <c r="H203" s="12" t="s">
        <v>367</v>
      </c>
    </row>
    <row r="204" customFormat="false" ht="15" hidden="false" customHeight="false" outlineLevel="0" collapsed="false">
      <c r="A204" s="11" t="s">
        <v>324</v>
      </c>
      <c r="B204" s="11" t="s">
        <v>6</v>
      </c>
      <c r="C204" s="11" t="n">
        <v>2025</v>
      </c>
      <c r="D204" s="11" t="n">
        <v>8</v>
      </c>
      <c r="E204" s="11" t="s">
        <v>120</v>
      </c>
      <c r="F204" s="11" t="s">
        <v>197</v>
      </c>
      <c r="G204" s="11" t="n">
        <v>24</v>
      </c>
      <c r="H204" s="12" t="s">
        <v>368</v>
      </c>
    </row>
    <row r="205" customFormat="false" ht="15" hidden="false" customHeight="false" outlineLevel="0" collapsed="false">
      <c r="A205" s="11" t="s">
        <v>324</v>
      </c>
      <c r="B205" s="11" t="s">
        <v>6</v>
      </c>
      <c r="C205" s="11" t="n">
        <v>2025</v>
      </c>
      <c r="D205" s="11" t="n">
        <v>9</v>
      </c>
      <c r="E205" s="11" t="s">
        <v>123</v>
      </c>
      <c r="F205" s="11" t="s">
        <v>199</v>
      </c>
      <c r="G205" s="11" t="n">
        <v>20</v>
      </c>
      <c r="H205" s="12" t="s">
        <v>369</v>
      </c>
    </row>
    <row r="206" customFormat="false" ht="15" hidden="false" customHeight="false" outlineLevel="0" collapsed="false">
      <c r="A206" s="11" t="s">
        <v>324</v>
      </c>
      <c r="B206" s="11" t="s">
        <v>6</v>
      </c>
      <c r="C206" s="11" t="n">
        <v>2025</v>
      </c>
      <c r="D206" s="11" t="n">
        <v>10</v>
      </c>
      <c r="E206" s="11" t="s">
        <v>126</v>
      </c>
      <c r="F206" s="11" t="s">
        <v>201</v>
      </c>
      <c r="G206" s="11" t="n">
        <v>20</v>
      </c>
      <c r="H206" s="12" t="s">
        <v>370</v>
      </c>
    </row>
    <row r="207" customFormat="false" ht="15" hidden="false" customHeight="false" outlineLevel="0" collapsed="false">
      <c r="A207" s="11" t="s">
        <v>324</v>
      </c>
      <c r="B207" s="11" t="s">
        <v>6</v>
      </c>
      <c r="C207" s="11" t="n">
        <v>2025</v>
      </c>
      <c r="D207" s="11" t="n">
        <v>11</v>
      </c>
      <c r="E207" s="11" t="s">
        <v>129</v>
      </c>
      <c r="F207" s="11" t="s">
        <v>203</v>
      </c>
      <c r="G207" s="11" t="n">
        <v>20</v>
      </c>
      <c r="H207" s="12" t="s">
        <v>371</v>
      </c>
    </row>
    <row r="208" customFormat="false" ht="15" hidden="false" customHeight="false" outlineLevel="0" collapsed="false">
      <c r="A208" s="11" t="s">
        <v>324</v>
      </c>
      <c r="B208" s="11" t="s">
        <v>6</v>
      </c>
      <c r="C208" s="11" t="n">
        <v>2025</v>
      </c>
      <c r="D208" s="11" t="n">
        <v>12</v>
      </c>
      <c r="E208" s="11" t="s">
        <v>132</v>
      </c>
      <c r="F208" s="11" t="s">
        <v>205</v>
      </c>
      <c r="G208" s="11" t="n">
        <v>16</v>
      </c>
      <c r="H208" s="12" t="s">
        <v>372</v>
      </c>
    </row>
    <row r="209" customFormat="false" ht="15" hidden="false" customHeight="false" outlineLevel="0" collapsed="false">
      <c r="A209" s="11" t="s">
        <v>324</v>
      </c>
      <c r="B209" s="11" t="s">
        <v>6</v>
      </c>
      <c r="C209" s="11" t="n">
        <v>2026</v>
      </c>
      <c r="D209" s="11" t="n">
        <v>1</v>
      </c>
      <c r="E209" s="11" t="s">
        <v>99</v>
      </c>
      <c r="F209" s="11" t="s">
        <v>207</v>
      </c>
      <c r="G209" s="11" t="n">
        <v>16</v>
      </c>
      <c r="H209" s="12" t="s">
        <v>373</v>
      </c>
    </row>
    <row r="210" customFormat="false" ht="15" hidden="false" customHeight="false" outlineLevel="0" collapsed="false">
      <c r="A210" s="11" t="s">
        <v>324</v>
      </c>
      <c r="B210" s="11" t="s">
        <v>6</v>
      </c>
      <c r="C210" s="11" t="n">
        <v>2026</v>
      </c>
      <c r="D210" s="11" t="n">
        <v>2</v>
      </c>
      <c r="E210" s="11" t="s">
        <v>102</v>
      </c>
      <c r="F210" s="11" t="s">
        <v>209</v>
      </c>
      <c r="G210" s="11" t="n">
        <v>20</v>
      </c>
      <c r="H210" s="12" t="s">
        <v>374</v>
      </c>
    </row>
    <row r="211" customFormat="false" ht="15" hidden="false" customHeight="false" outlineLevel="0" collapsed="false">
      <c r="A211" s="11" t="s">
        <v>324</v>
      </c>
      <c r="B211" s="11" t="s">
        <v>6</v>
      </c>
      <c r="C211" s="11" t="n">
        <v>2026</v>
      </c>
      <c r="D211" s="11" t="n">
        <v>3</v>
      </c>
      <c r="E211" s="11" t="s">
        <v>105</v>
      </c>
      <c r="F211" s="11" t="s">
        <v>211</v>
      </c>
      <c r="G211" s="11" t="n">
        <v>16</v>
      </c>
      <c r="H211" s="12" t="s">
        <v>375</v>
      </c>
    </row>
    <row r="212" customFormat="false" ht="15" hidden="false" customHeight="false" outlineLevel="0" collapsed="false">
      <c r="A212" s="11" t="s">
        <v>324</v>
      </c>
      <c r="B212" s="11" t="s">
        <v>6</v>
      </c>
      <c r="C212" s="11" t="n">
        <v>2026</v>
      </c>
      <c r="D212" s="11" t="n">
        <v>4</v>
      </c>
      <c r="E212" s="11" t="s">
        <v>108</v>
      </c>
      <c r="F212" s="11" t="s">
        <v>213</v>
      </c>
      <c r="G212" s="11" t="n">
        <v>24</v>
      </c>
      <c r="H212" s="12" t="s">
        <v>376</v>
      </c>
    </row>
    <row r="213" customFormat="false" ht="15" hidden="false" customHeight="false" outlineLevel="0" collapsed="false">
      <c r="A213" s="11" t="s">
        <v>324</v>
      </c>
      <c r="B213" s="11" t="s">
        <v>6</v>
      </c>
      <c r="C213" s="11" t="n">
        <v>2026</v>
      </c>
      <c r="D213" s="11" t="n">
        <v>5</v>
      </c>
      <c r="E213" s="11" t="s">
        <v>111</v>
      </c>
      <c r="F213" s="11" t="s">
        <v>215</v>
      </c>
      <c r="G213" s="11" t="n">
        <v>24</v>
      </c>
      <c r="H213" s="12" t="s">
        <v>377</v>
      </c>
    </row>
    <row r="214" customFormat="false" ht="15" hidden="false" customHeight="false" outlineLevel="0" collapsed="false">
      <c r="A214" s="11" t="s">
        <v>378</v>
      </c>
      <c r="B214" s="11" t="s">
        <v>7</v>
      </c>
      <c r="C214" s="11" t="n">
        <v>2024</v>
      </c>
      <c r="D214" s="11" t="n">
        <v>12</v>
      </c>
      <c r="E214" s="11" t="s">
        <v>132</v>
      </c>
      <c r="F214" s="11" t="s">
        <v>181</v>
      </c>
      <c r="G214" s="11" t="n">
        <v>16</v>
      </c>
      <c r="H214" s="12" t="s">
        <v>379</v>
      </c>
    </row>
    <row r="215" customFormat="false" ht="15" hidden="false" customHeight="false" outlineLevel="0" collapsed="false">
      <c r="A215" s="11" t="s">
        <v>378</v>
      </c>
      <c r="B215" s="11" t="s">
        <v>7</v>
      </c>
      <c r="C215" s="11" t="n">
        <v>2025</v>
      </c>
      <c r="D215" s="11" t="n">
        <v>1</v>
      </c>
      <c r="E215" s="11" t="s">
        <v>99</v>
      </c>
      <c r="F215" s="11" t="s">
        <v>183</v>
      </c>
      <c r="G215" s="11" t="n">
        <v>8</v>
      </c>
      <c r="H215" s="12" t="s">
        <v>380</v>
      </c>
    </row>
    <row r="216" customFormat="false" ht="15" hidden="false" customHeight="false" outlineLevel="0" collapsed="false">
      <c r="A216" s="11" t="s">
        <v>378</v>
      </c>
      <c r="B216" s="11" t="s">
        <v>7</v>
      </c>
      <c r="C216" s="11" t="n">
        <v>2025</v>
      </c>
      <c r="D216" s="11" t="n">
        <v>2</v>
      </c>
      <c r="E216" s="11" t="s">
        <v>102</v>
      </c>
      <c r="F216" s="11" t="s">
        <v>185</v>
      </c>
      <c r="G216" s="11" t="n">
        <v>12</v>
      </c>
      <c r="H216" s="12" t="s">
        <v>381</v>
      </c>
    </row>
    <row r="217" customFormat="false" ht="15" hidden="false" customHeight="false" outlineLevel="0" collapsed="false">
      <c r="A217" s="11" t="s">
        <v>378</v>
      </c>
      <c r="B217" s="11" t="s">
        <v>7</v>
      </c>
      <c r="C217" s="11" t="n">
        <v>2025</v>
      </c>
      <c r="D217" s="11" t="n">
        <v>3</v>
      </c>
      <c r="E217" s="11" t="s">
        <v>105</v>
      </c>
      <c r="F217" s="11" t="s">
        <v>187</v>
      </c>
      <c r="G217" s="11" t="n">
        <v>12</v>
      </c>
      <c r="H217" s="12" t="s">
        <v>382</v>
      </c>
    </row>
    <row r="218" customFormat="false" ht="15" hidden="false" customHeight="false" outlineLevel="0" collapsed="false">
      <c r="A218" s="11" t="s">
        <v>378</v>
      </c>
      <c r="B218" s="11" t="s">
        <v>7</v>
      </c>
      <c r="C218" s="11" t="n">
        <v>2025</v>
      </c>
      <c r="D218" s="11" t="n">
        <v>4</v>
      </c>
      <c r="E218" s="11" t="s">
        <v>108</v>
      </c>
      <c r="F218" s="11" t="s">
        <v>189</v>
      </c>
      <c r="G218" s="11" t="n">
        <v>16</v>
      </c>
      <c r="H218" s="12" t="s">
        <v>383</v>
      </c>
    </row>
    <row r="219" customFormat="false" ht="15" hidden="false" customHeight="false" outlineLevel="0" collapsed="false">
      <c r="A219" s="11" t="s">
        <v>378</v>
      </c>
      <c r="B219" s="11" t="s">
        <v>7</v>
      </c>
      <c r="C219" s="11" t="n">
        <v>2025</v>
      </c>
      <c r="D219" s="11" t="n">
        <v>5</v>
      </c>
      <c r="E219" s="11" t="s">
        <v>111</v>
      </c>
      <c r="F219" s="11" t="s">
        <v>191</v>
      </c>
      <c r="G219" s="11" t="n">
        <v>16</v>
      </c>
      <c r="H219" s="12" t="s">
        <v>384</v>
      </c>
    </row>
    <row r="220" customFormat="false" ht="15" hidden="false" customHeight="false" outlineLevel="0" collapsed="false">
      <c r="A220" s="11" t="s">
        <v>378</v>
      </c>
      <c r="B220" s="11" t="s">
        <v>7</v>
      </c>
      <c r="C220" s="11" t="n">
        <v>2025</v>
      </c>
      <c r="D220" s="11" t="n">
        <v>6</v>
      </c>
      <c r="E220" s="11" t="s">
        <v>114</v>
      </c>
      <c r="F220" s="11" t="s">
        <v>193</v>
      </c>
      <c r="G220" s="11" t="n">
        <v>16</v>
      </c>
      <c r="H220" s="12" t="s">
        <v>385</v>
      </c>
    </row>
    <row r="221" customFormat="false" ht="15" hidden="false" customHeight="false" outlineLevel="0" collapsed="false">
      <c r="A221" s="11" t="s">
        <v>378</v>
      </c>
      <c r="B221" s="11" t="s">
        <v>7</v>
      </c>
      <c r="C221" s="11" t="n">
        <v>2025</v>
      </c>
      <c r="D221" s="11" t="n">
        <v>7</v>
      </c>
      <c r="E221" s="11" t="s">
        <v>117</v>
      </c>
      <c r="F221" s="11" t="s">
        <v>195</v>
      </c>
      <c r="G221" s="11" t="n">
        <v>12</v>
      </c>
      <c r="H221" s="12" t="s">
        <v>386</v>
      </c>
    </row>
    <row r="222" customFormat="false" ht="15" hidden="false" customHeight="false" outlineLevel="0" collapsed="false">
      <c r="A222" s="11" t="s">
        <v>378</v>
      </c>
      <c r="B222" s="11" t="s">
        <v>7</v>
      </c>
      <c r="C222" s="11" t="n">
        <v>2025</v>
      </c>
      <c r="D222" s="11" t="n">
        <v>8</v>
      </c>
      <c r="E222" s="11" t="s">
        <v>120</v>
      </c>
      <c r="F222" s="11" t="s">
        <v>197</v>
      </c>
      <c r="G222" s="11" t="n">
        <v>16</v>
      </c>
      <c r="H222" s="12" t="s">
        <v>387</v>
      </c>
    </row>
    <row r="223" customFormat="false" ht="15" hidden="false" customHeight="false" outlineLevel="0" collapsed="false">
      <c r="A223" s="11" t="s">
        <v>378</v>
      </c>
      <c r="B223" s="11" t="s">
        <v>7</v>
      </c>
      <c r="C223" s="11" t="n">
        <v>2025</v>
      </c>
      <c r="D223" s="11" t="n">
        <v>9</v>
      </c>
      <c r="E223" s="11" t="s">
        <v>123</v>
      </c>
      <c r="F223" s="11" t="s">
        <v>199</v>
      </c>
      <c r="G223" s="11" t="n">
        <v>12</v>
      </c>
      <c r="H223" s="12" t="s">
        <v>388</v>
      </c>
    </row>
    <row r="224" customFormat="false" ht="15" hidden="false" customHeight="false" outlineLevel="0" collapsed="false">
      <c r="A224" s="11" t="s">
        <v>378</v>
      </c>
      <c r="B224" s="11" t="s">
        <v>7</v>
      </c>
      <c r="C224" s="11" t="n">
        <v>2025</v>
      </c>
      <c r="D224" s="11" t="n">
        <v>10</v>
      </c>
      <c r="E224" s="11" t="s">
        <v>126</v>
      </c>
      <c r="F224" s="11" t="s">
        <v>201</v>
      </c>
      <c r="G224" s="11" t="n">
        <v>12</v>
      </c>
      <c r="H224" s="12" t="s">
        <v>389</v>
      </c>
    </row>
    <row r="225" customFormat="false" ht="15" hidden="false" customHeight="false" outlineLevel="0" collapsed="false">
      <c r="A225" s="11" t="s">
        <v>378</v>
      </c>
      <c r="B225" s="11" t="s">
        <v>7</v>
      </c>
      <c r="C225" s="11" t="n">
        <v>2025</v>
      </c>
      <c r="D225" s="11" t="n">
        <v>11</v>
      </c>
      <c r="E225" s="11" t="s">
        <v>129</v>
      </c>
      <c r="F225" s="11" t="s">
        <v>203</v>
      </c>
      <c r="G225" s="11" t="n">
        <v>12</v>
      </c>
      <c r="H225" s="12" t="s">
        <v>390</v>
      </c>
    </row>
    <row r="226" customFormat="false" ht="15" hidden="false" customHeight="false" outlineLevel="0" collapsed="false">
      <c r="A226" s="11" t="s">
        <v>378</v>
      </c>
      <c r="B226" s="11" t="s">
        <v>7</v>
      </c>
      <c r="C226" s="11" t="n">
        <v>2025</v>
      </c>
      <c r="D226" s="11" t="n">
        <v>12</v>
      </c>
      <c r="E226" s="11" t="s">
        <v>132</v>
      </c>
      <c r="F226" s="11" t="s">
        <v>205</v>
      </c>
      <c r="G226" s="11" t="n">
        <v>8</v>
      </c>
      <c r="H226" s="12" t="s">
        <v>391</v>
      </c>
    </row>
    <row r="227" customFormat="false" ht="15" hidden="false" customHeight="false" outlineLevel="0" collapsed="false">
      <c r="A227" s="11" t="s">
        <v>378</v>
      </c>
      <c r="B227" s="11" t="s">
        <v>7</v>
      </c>
      <c r="C227" s="11" t="n">
        <v>2026</v>
      </c>
      <c r="D227" s="11" t="n">
        <v>1</v>
      </c>
      <c r="E227" s="11" t="s">
        <v>99</v>
      </c>
      <c r="F227" s="11" t="s">
        <v>207</v>
      </c>
      <c r="G227" s="11" t="n">
        <v>12</v>
      </c>
      <c r="H227" s="12" t="s">
        <v>392</v>
      </c>
    </row>
    <row r="228" customFormat="false" ht="15" hidden="false" customHeight="false" outlineLevel="0" collapsed="false">
      <c r="A228" s="11" t="s">
        <v>378</v>
      </c>
      <c r="B228" s="11" t="s">
        <v>7</v>
      </c>
      <c r="C228" s="11" t="n">
        <v>2026</v>
      </c>
      <c r="D228" s="11" t="n">
        <v>2</v>
      </c>
      <c r="E228" s="11" t="s">
        <v>102</v>
      </c>
      <c r="F228" s="11" t="s">
        <v>209</v>
      </c>
      <c r="G228" s="11" t="n">
        <v>8</v>
      </c>
      <c r="H228" s="12" t="s">
        <v>393</v>
      </c>
    </row>
    <row r="229" customFormat="false" ht="15" hidden="false" customHeight="false" outlineLevel="0" collapsed="false">
      <c r="A229" s="11" t="s">
        <v>378</v>
      </c>
      <c r="B229" s="11" t="s">
        <v>7</v>
      </c>
      <c r="C229" s="11" t="n">
        <v>2026</v>
      </c>
      <c r="D229" s="11" t="n">
        <v>3</v>
      </c>
      <c r="E229" s="11" t="s">
        <v>105</v>
      </c>
      <c r="F229" s="11" t="s">
        <v>211</v>
      </c>
      <c r="G229" s="11" t="n">
        <v>12</v>
      </c>
      <c r="H229" s="12" t="s">
        <v>394</v>
      </c>
    </row>
    <row r="230" customFormat="false" ht="15" hidden="false" customHeight="false" outlineLevel="0" collapsed="false">
      <c r="A230" s="11" t="s">
        <v>378</v>
      </c>
      <c r="B230" s="11" t="s">
        <v>7</v>
      </c>
      <c r="C230" s="11" t="n">
        <v>2026</v>
      </c>
      <c r="D230" s="11" t="n">
        <v>4</v>
      </c>
      <c r="E230" s="11" t="s">
        <v>108</v>
      </c>
      <c r="F230" s="11" t="s">
        <v>213</v>
      </c>
      <c r="G230" s="11" t="n">
        <v>12</v>
      </c>
      <c r="H230" s="12" t="s">
        <v>395</v>
      </c>
    </row>
    <row r="231" customFormat="false" ht="15" hidden="false" customHeight="false" outlineLevel="0" collapsed="false">
      <c r="A231" s="11" t="s">
        <v>378</v>
      </c>
      <c r="B231" s="11" t="s">
        <v>7</v>
      </c>
      <c r="C231" s="11" t="n">
        <v>2026</v>
      </c>
      <c r="D231" s="11" t="n">
        <v>5</v>
      </c>
      <c r="E231" s="11" t="s">
        <v>111</v>
      </c>
      <c r="F231" s="11" t="s">
        <v>215</v>
      </c>
      <c r="G231" s="11" t="n">
        <v>12</v>
      </c>
      <c r="H231" s="12" t="s">
        <v>396</v>
      </c>
    </row>
    <row r="232" customFormat="false" ht="15" hidden="false" customHeight="false" outlineLevel="0" collapsed="false">
      <c r="A232" s="11" t="s">
        <v>397</v>
      </c>
      <c r="B232" s="11" t="s">
        <v>8</v>
      </c>
      <c r="C232" s="11" t="n">
        <v>2022</v>
      </c>
      <c r="D232" s="11" t="n">
        <v>3</v>
      </c>
      <c r="E232" s="11" t="s">
        <v>105</v>
      </c>
      <c r="F232" s="11" t="s">
        <v>106</v>
      </c>
      <c r="G232" s="11" t="n">
        <v>12</v>
      </c>
      <c r="H232" s="12" t="s">
        <v>398</v>
      </c>
    </row>
    <row r="233" customFormat="false" ht="15" hidden="false" customHeight="false" outlineLevel="0" collapsed="false">
      <c r="A233" s="11" t="s">
        <v>397</v>
      </c>
      <c r="B233" s="11" t="s">
        <v>8</v>
      </c>
      <c r="C233" s="11" t="n">
        <v>2022</v>
      </c>
      <c r="D233" s="11" t="n">
        <v>4</v>
      </c>
      <c r="E233" s="11" t="s">
        <v>108</v>
      </c>
      <c r="F233" s="11" t="s">
        <v>109</v>
      </c>
      <c r="G233" s="11" t="n">
        <v>16</v>
      </c>
      <c r="H233" s="12" t="s">
        <v>399</v>
      </c>
    </row>
    <row r="234" customFormat="false" ht="15" hidden="false" customHeight="false" outlineLevel="0" collapsed="false">
      <c r="A234" s="11" t="s">
        <v>397</v>
      </c>
      <c r="B234" s="11" t="s">
        <v>8</v>
      </c>
      <c r="C234" s="11" t="n">
        <v>2022</v>
      </c>
      <c r="D234" s="11" t="n">
        <v>5</v>
      </c>
      <c r="E234" s="11" t="s">
        <v>111</v>
      </c>
      <c r="F234" s="11" t="s">
        <v>112</v>
      </c>
      <c r="G234" s="11" t="n">
        <v>16</v>
      </c>
      <c r="H234" s="12" t="s">
        <v>400</v>
      </c>
    </row>
    <row r="235" customFormat="false" ht="15" hidden="false" customHeight="false" outlineLevel="0" collapsed="false">
      <c r="A235" s="11" t="s">
        <v>397</v>
      </c>
      <c r="B235" s="11" t="s">
        <v>8</v>
      </c>
      <c r="C235" s="11" t="n">
        <v>2022</v>
      </c>
      <c r="D235" s="11" t="n">
        <v>6</v>
      </c>
      <c r="E235" s="11" t="s">
        <v>114</v>
      </c>
      <c r="F235" s="11" t="s">
        <v>115</v>
      </c>
      <c r="G235" s="11" t="n">
        <v>12</v>
      </c>
      <c r="H235" s="12" t="s">
        <v>401</v>
      </c>
    </row>
    <row r="236" customFormat="false" ht="15" hidden="false" customHeight="false" outlineLevel="0" collapsed="false">
      <c r="A236" s="11" t="s">
        <v>397</v>
      </c>
      <c r="B236" s="11" t="s">
        <v>8</v>
      </c>
      <c r="C236" s="11" t="n">
        <v>2022</v>
      </c>
      <c r="D236" s="11" t="n">
        <v>7</v>
      </c>
      <c r="E236" s="11" t="s">
        <v>117</v>
      </c>
      <c r="F236" s="11" t="s">
        <v>118</v>
      </c>
      <c r="G236" s="11" t="n">
        <v>12</v>
      </c>
      <c r="H236" s="12" t="s">
        <v>402</v>
      </c>
    </row>
    <row r="237" customFormat="false" ht="15" hidden="false" customHeight="false" outlineLevel="0" collapsed="false">
      <c r="A237" s="11" t="s">
        <v>397</v>
      </c>
      <c r="B237" s="11" t="s">
        <v>8</v>
      </c>
      <c r="C237" s="11" t="n">
        <v>2022</v>
      </c>
      <c r="D237" s="11" t="n">
        <v>8</v>
      </c>
      <c r="E237" s="11" t="s">
        <v>120</v>
      </c>
      <c r="F237" s="11" t="s">
        <v>121</v>
      </c>
      <c r="G237" s="11" t="n">
        <v>12</v>
      </c>
      <c r="H237" s="12" t="s">
        <v>403</v>
      </c>
    </row>
    <row r="238" customFormat="false" ht="15" hidden="false" customHeight="false" outlineLevel="0" collapsed="false">
      <c r="A238" s="11" t="s">
        <v>397</v>
      </c>
      <c r="B238" s="11" t="s">
        <v>8</v>
      </c>
      <c r="C238" s="11" t="n">
        <v>2022</v>
      </c>
      <c r="D238" s="11" t="n">
        <v>9</v>
      </c>
      <c r="E238" s="11" t="s">
        <v>123</v>
      </c>
      <c r="F238" s="11" t="s">
        <v>124</v>
      </c>
      <c r="G238" s="11" t="n">
        <v>12</v>
      </c>
      <c r="H238" s="12" t="s">
        <v>404</v>
      </c>
    </row>
    <row r="239" customFormat="false" ht="15" hidden="false" customHeight="false" outlineLevel="0" collapsed="false">
      <c r="A239" s="11" t="s">
        <v>397</v>
      </c>
      <c r="B239" s="11" t="s">
        <v>8</v>
      </c>
      <c r="C239" s="11" t="n">
        <v>2022</v>
      </c>
      <c r="D239" s="11" t="n">
        <v>10</v>
      </c>
      <c r="E239" s="11" t="s">
        <v>126</v>
      </c>
      <c r="F239" s="11" t="s">
        <v>127</v>
      </c>
      <c r="G239" s="11" t="n">
        <v>16</v>
      </c>
      <c r="H239" s="12" t="s">
        <v>405</v>
      </c>
    </row>
    <row r="240" customFormat="false" ht="15" hidden="false" customHeight="false" outlineLevel="0" collapsed="false">
      <c r="A240" s="11" t="s">
        <v>397</v>
      </c>
      <c r="B240" s="11" t="s">
        <v>8</v>
      </c>
      <c r="C240" s="11" t="n">
        <v>2022</v>
      </c>
      <c r="D240" s="11" t="n">
        <v>11</v>
      </c>
      <c r="E240" s="11" t="s">
        <v>129</v>
      </c>
      <c r="F240" s="11" t="s">
        <v>130</v>
      </c>
      <c r="G240" s="11" t="n">
        <v>12</v>
      </c>
      <c r="H240" s="12" t="s">
        <v>406</v>
      </c>
    </row>
    <row r="241" customFormat="false" ht="15" hidden="false" customHeight="false" outlineLevel="0" collapsed="false">
      <c r="A241" s="11" t="s">
        <v>397</v>
      </c>
      <c r="B241" s="11" t="s">
        <v>8</v>
      </c>
      <c r="C241" s="11" t="n">
        <v>2022</v>
      </c>
      <c r="D241" s="11" t="n">
        <v>12</v>
      </c>
      <c r="E241" s="11" t="s">
        <v>132</v>
      </c>
      <c r="F241" s="11" t="s">
        <v>133</v>
      </c>
      <c r="G241" s="11" t="n">
        <v>16</v>
      </c>
      <c r="H241" s="12" t="s">
        <v>407</v>
      </c>
    </row>
    <row r="242" customFormat="false" ht="15" hidden="false" customHeight="false" outlineLevel="0" collapsed="false">
      <c r="A242" s="11" t="s">
        <v>397</v>
      </c>
      <c r="B242" s="11" t="s">
        <v>8</v>
      </c>
      <c r="C242" s="11" t="n">
        <v>2023</v>
      </c>
      <c r="D242" s="11" t="n">
        <v>1</v>
      </c>
      <c r="E242" s="11" t="s">
        <v>99</v>
      </c>
      <c r="F242" s="11" t="s">
        <v>135</v>
      </c>
      <c r="G242" s="11" t="n">
        <v>12</v>
      </c>
      <c r="H242" s="12" t="s">
        <v>408</v>
      </c>
    </row>
    <row r="243" customFormat="false" ht="15" hidden="false" customHeight="false" outlineLevel="0" collapsed="false">
      <c r="A243" s="11" t="s">
        <v>397</v>
      </c>
      <c r="B243" s="11" t="s">
        <v>8</v>
      </c>
      <c r="C243" s="11" t="n">
        <v>2023</v>
      </c>
      <c r="D243" s="11" t="n">
        <v>2</v>
      </c>
      <c r="E243" s="11" t="s">
        <v>102</v>
      </c>
      <c r="F243" s="11" t="s">
        <v>137</v>
      </c>
      <c r="G243" s="11" t="n">
        <v>12</v>
      </c>
      <c r="H243" s="12" t="s">
        <v>409</v>
      </c>
    </row>
    <row r="244" customFormat="false" ht="15" hidden="false" customHeight="false" outlineLevel="0" collapsed="false">
      <c r="A244" s="11" t="s">
        <v>397</v>
      </c>
      <c r="B244" s="11" t="s">
        <v>8</v>
      </c>
      <c r="C244" s="11" t="n">
        <v>2023</v>
      </c>
      <c r="D244" s="11" t="n">
        <v>3</v>
      </c>
      <c r="E244" s="11" t="s">
        <v>105</v>
      </c>
      <c r="F244" s="11" t="s">
        <v>139</v>
      </c>
      <c r="G244" s="11" t="n">
        <v>16</v>
      </c>
      <c r="H244" s="12" t="s">
        <v>410</v>
      </c>
    </row>
    <row r="245" customFormat="false" ht="15" hidden="false" customHeight="false" outlineLevel="0" collapsed="false">
      <c r="A245" s="11" t="s">
        <v>397</v>
      </c>
      <c r="B245" s="11" t="s">
        <v>8</v>
      </c>
      <c r="C245" s="11" t="n">
        <v>2023</v>
      </c>
      <c r="D245" s="11" t="n">
        <v>4</v>
      </c>
      <c r="E245" s="11" t="s">
        <v>108</v>
      </c>
      <c r="F245" s="11" t="s">
        <v>141</v>
      </c>
      <c r="G245" s="11" t="n">
        <v>12</v>
      </c>
      <c r="H245" s="12" t="s">
        <v>411</v>
      </c>
    </row>
    <row r="246" customFormat="false" ht="15" hidden="false" customHeight="false" outlineLevel="0" collapsed="false">
      <c r="A246" s="11" t="s">
        <v>397</v>
      </c>
      <c r="B246" s="11" t="s">
        <v>8</v>
      </c>
      <c r="C246" s="11" t="n">
        <v>2023</v>
      </c>
      <c r="D246" s="11" t="n">
        <v>5</v>
      </c>
      <c r="E246" s="11" t="s">
        <v>111</v>
      </c>
      <c r="F246" s="11" t="s">
        <v>143</v>
      </c>
      <c r="G246" s="11" t="n">
        <v>16</v>
      </c>
      <c r="H246" s="12" t="s">
        <v>412</v>
      </c>
    </row>
    <row r="247" customFormat="false" ht="15" hidden="false" customHeight="false" outlineLevel="0" collapsed="false">
      <c r="A247" s="11" t="s">
        <v>397</v>
      </c>
      <c r="B247" s="11" t="s">
        <v>8</v>
      </c>
      <c r="C247" s="11" t="n">
        <v>2023</v>
      </c>
      <c r="D247" s="11" t="n">
        <v>6</v>
      </c>
      <c r="E247" s="11" t="s">
        <v>114</v>
      </c>
      <c r="F247" s="11" t="s">
        <v>145</v>
      </c>
      <c r="G247" s="11" t="n">
        <v>16</v>
      </c>
      <c r="H247" s="12" t="s">
        <v>413</v>
      </c>
    </row>
    <row r="248" customFormat="false" ht="15" hidden="false" customHeight="false" outlineLevel="0" collapsed="false">
      <c r="A248" s="11" t="s">
        <v>397</v>
      </c>
      <c r="B248" s="11" t="s">
        <v>8</v>
      </c>
      <c r="C248" s="11" t="n">
        <v>2023</v>
      </c>
      <c r="D248" s="11" t="n">
        <v>7</v>
      </c>
      <c r="E248" s="11" t="s">
        <v>117</v>
      </c>
      <c r="F248" s="11" t="s">
        <v>147</v>
      </c>
      <c r="G248" s="11" t="n">
        <v>16</v>
      </c>
      <c r="H248" s="12" t="s">
        <v>414</v>
      </c>
    </row>
    <row r="249" customFormat="false" ht="15" hidden="false" customHeight="false" outlineLevel="0" collapsed="false">
      <c r="A249" s="11" t="s">
        <v>397</v>
      </c>
      <c r="B249" s="11" t="s">
        <v>8</v>
      </c>
      <c r="C249" s="11" t="n">
        <v>2023</v>
      </c>
      <c r="D249" s="11" t="n">
        <v>8</v>
      </c>
      <c r="E249" s="11" t="s">
        <v>120</v>
      </c>
      <c r="F249" s="11" t="s">
        <v>149</v>
      </c>
      <c r="G249" s="11" t="n">
        <v>12</v>
      </c>
      <c r="H249" s="12" t="s">
        <v>415</v>
      </c>
    </row>
    <row r="250" customFormat="false" ht="15" hidden="false" customHeight="false" outlineLevel="0" collapsed="false">
      <c r="A250" s="11" t="s">
        <v>397</v>
      </c>
      <c r="B250" s="11" t="s">
        <v>8</v>
      </c>
      <c r="C250" s="11" t="n">
        <v>2023</v>
      </c>
      <c r="D250" s="11" t="n">
        <v>9</v>
      </c>
      <c r="E250" s="11" t="s">
        <v>123</v>
      </c>
      <c r="F250" s="11" t="s">
        <v>151</v>
      </c>
      <c r="G250" s="11" t="n">
        <v>16</v>
      </c>
      <c r="H250" s="12" t="s">
        <v>416</v>
      </c>
    </row>
    <row r="251" customFormat="false" ht="15" hidden="false" customHeight="false" outlineLevel="0" collapsed="false">
      <c r="A251" s="11" t="s">
        <v>397</v>
      </c>
      <c r="B251" s="11" t="s">
        <v>8</v>
      </c>
      <c r="C251" s="11" t="n">
        <v>2023</v>
      </c>
      <c r="D251" s="11" t="n">
        <v>10</v>
      </c>
      <c r="E251" s="11" t="s">
        <v>126</v>
      </c>
      <c r="F251" s="11" t="s">
        <v>153</v>
      </c>
      <c r="G251" s="11" t="n">
        <v>12</v>
      </c>
      <c r="H251" s="12" t="s">
        <v>417</v>
      </c>
    </row>
    <row r="252" customFormat="false" ht="15" hidden="false" customHeight="false" outlineLevel="0" collapsed="false">
      <c r="A252" s="11" t="s">
        <v>397</v>
      </c>
      <c r="B252" s="11" t="s">
        <v>8</v>
      </c>
      <c r="C252" s="11" t="n">
        <v>2023</v>
      </c>
      <c r="D252" s="11" t="n">
        <v>11</v>
      </c>
      <c r="E252" s="11" t="s">
        <v>129</v>
      </c>
      <c r="F252" s="11" t="s">
        <v>155</v>
      </c>
      <c r="G252" s="11" t="n">
        <v>16</v>
      </c>
      <c r="H252" s="12" t="s">
        <v>418</v>
      </c>
    </row>
    <row r="253" customFormat="false" ht="15" hidden="false" customHeight="false" outlineLevel="0" collapsed="false">
      <c r="A253" s="11" t="s">
        <v>397</v>
      </c>
      <c r="B253" s="11" t="s">
        <v>8</v>
      </c>
      <c r="C253" s="11" t="n">
        <v>2023</v>
      </c>
      <c r="D253" s="11" t="n">
        <v>12</v>
      </c>
      <c r="E253" s="11" t="s">
        <v>132</v>
      </c>
      <c r="F253" s="11" t="s">
        <v>157</v>
      </c>
      <c r="G253" s="11" t="n">
        <v>16</v>
      </c>
      <c r="H253" s="12" t="s">
        <v>419</v>
      </c>
    </row>
    <row r="254" customFormat="false" ht="15" hidden="false" customHeight="false" outlineLevel="0" collapsed="false">
      <c r="A254" s="11" t="s">
        <v>397</v>
      </c>
      <c r="B254" s="11" t="s">
        <v>8</v>
      </c>
      <c r="C254" s="11" t="n">
        <v>2024</v>
      </c>
      <c r="D254" s="11" t="n">
        <v>1</v>
      </c>
      <c r="E254" s="11" t="s">
        <v>99</v>
      </c>
      <c r="F254" s="11" t="s">
        <v>159</v>
      </c>
      <c r="G254" s="11" t="n">
        <v>12</v>
      </c>
      <c r="H254" s="12" t="s">
        <v>420</v>
      </c>
    </row>
    <row r="255" customFormat="false" ht="15" hidden="false" customHeight="false" outlineLevel="0" collapsed="false">
      <c r="A255" s="11" t="s">
        <v>397</v>
      </c>
      <c r="B255" s="11" t="s">
        <v>8</v>
      </c>
      <c r="C255" s="11" t="n">
        <v>2024</v>
      </c>
      <c r="D255" s="11" t="n">
        <v>2</v>
      </c>
      <c r="E255" s="11" t="s">
        <v>102</v>
      </c>
      <c r="F255" s="11" t="s">
        <v>161</v>
      </c>
      <c r="G255" s="11" t="n">
        <v>12</v>
      </c>
      <c r="H255" s="12" t="s">
        <v>421</v>
      </c>
    </row>
    <row r="256" customFormat="false" ht="15" hidden="false" customHeight="false" outlineLevel="0" collapsed="false">
      <c r="A256" s="11" t="s">
        <v>397</v>
      </c>
      <c r="B256" s="11" t="s">
        <v>8</v>
      </c>
      <c r="C256" s="11" t="n">
        <v>2024</v>
      </c>
      <c r="D256" s="11" t="n">
        <v>3</v>
      </c>
      <c r="E256" s="11" t="s">
        <v>105</v>
      </c>
      <c r="F256" s="11" t="s">
        <v>163</v>
      </c>
      <c r="G256" s="11" t="n">
        <v>12</v>
      </c>
      <c r="H256" s="12" t="s">
        <v>422</v>
      </c>
    </row>
    <row r="257" customFormat="false" ht="15" hidden="false" customHeight="false" outlineLevel="0" collapsed="false">
      <c r="A257" s="11" t="s">
        <v>397</v>
      </c>
      <c r="B257" s="11" t="s">
        <v>8</v>
      </c>
      <c r="C257" s="11" t="n">
        <v>2024</v>
      </c>
      <c r="D257" s="11" t="n">
        <v>4</v>
      </c>
      <c r="E257" s="11" t="s">
        <v>108</v>
      </c>
      <c r="F257" s="11" t="s">
        <v>165</v>
      </c>
      <c r="G257" s="11" t="n">
        <v>16</v>
      </c>
      <c r="H257" s="12" t="s">
        <v>423</v>
      </c>
    </row>
    <row r="258" customFormat="false" ht="15" hidden="false" customHeight="false" outlineLevel="0" collapsed="false">
      <c r="A258" s="11" t="s">
        <v>397</v>
      </c>
      <c r="B258" s="11" t="s">
        <v>8</v>
      </c>
      <c r="C258" s="11" t="n">
        <v>2024</v>
      </c>
      <c r="D258" s="11" t="n">
        <v>5</v>
      </c>
      <c r="E258" s="11" t="s">
        <v>111</v>
      </c>
      <c r="F258" s="11" t="s">
        <v>167</v>
      </c>
      <c r="G258" s="11" t="n">
        <v>16</v>
      </c>
      <c r="H258" s="12" t="s">
        <v>424</v>
      </c>
    </row>
    <row r="259" customFormat="false" ht="15" hidden="false" customHeight="false" outlineLevel="0" collapsed="false">
      <c r="A259" s="11" t="s">
        <v>397</v>
      </c>
      <c r="B259" s="11" t="s">
        <v>8</v>
      </c>
      <c r="C259" s="11" t="n">
        <v>2024</v>
      </c>
      <c r="D259" s="11" t="n">
        <v>6</v>
      </c>
      <c r="E259" s="11" t="s">
        <v>114</v>
      </c>
      <c r="F259" s="11" t="s">
        <v>169</v>
      </c>
      <c r="G259" s="11" t="n">
        <v>12</v>
      </c>
      <c r="H259" s="12" t="s">
        <v>425</v>
      </c>
    </row>
    <row r="260" customFormat="false" ht="15" hidden="false" customHeight="false" outlineLevel="0" collapsed="false">
      <c r="A260" s="11" t="s">
        <v>397</v>
      </c>
      <c r="B260" s="11" t="s">
        <v>8</v>
      </c>
      <c r="C260" s="11" t="n">
        <v>2024</v>
      </c>
      <c r="D260" s="11" t="n">
        <v>7</v>
      </c>
      <c r="E260" s="11" t="s">
        <v>117</v>
      </c>
      <c r="F260" s="11" t="s">
        <v>171</v>
      </c>
      <c r="G260" s="11" t="n">
        <v>12</v>
      </c>
      <c r="H260" s="12" t="s">
        <v>426</v>
      </c>
    </row>
    <row r="261" customFormat="false" ht="15" hidden="false" customHeight="false" outlineLevel="0" collapsed="false">
      <c r="A261" s="11" t="s">
        <v>397</v>
      </c>
      <c r="B261" s="11" t="s">
        <v>8</v>
      </c>
      <c r="C261" s="11" t="n">
        <v>2024</v>
      </c>
      <c r="D261" s="11" t="n">
        <v>8</v>
      </c>
      <c r="E261" s="11" t="s">
        <v>120</v>
      </c>
      <c r="F261" s="11" t="s">
        <v>173</v>
      </c>
      <c r="G261" s="11" t="n">
        <v>8</v>
      </c>
      <c r="H261" s="12" t="s">
        <v>427</v>
      </c>
    </row>
    <row r="262" customFormat="false" ht="15" hidden="false" customHeight="false" outlineLevel="0" collapsed="false">
      <c r="A262" s="11" t="s">
        <v>397</v>
      </c>
      <c r="B262" s="11" t="s">
        <v>8</v>
      </c>
      <c r="C262" s="11" t="n">
        <v>2024</v>
      </c>
      <c r="D262" s="11" t="n">
        <v>9</v>
      </c>
      <c r="E262" s="11" t="s">
        <v>123</v>
      </c>
      <c r="F262" s="11" t="s">
        <v>175</v>
      </c>
      <c r="G262" s="11" t="n">
        <v>12</v>
      </c>
      <c r="H262" s="12" t="s">
        <v>428</v>
      </c>
    </row>
    <row r="263" customFormat="false" ht="15" hidden="false" customHeight="false" outlineLevel="0" collapsed="false">
      <c r="A263" s="11" t="s">
        <v>397</v>
      </c>
      <c r="B263" s="11" t="s">
        <v>8</v>
      </c>
      <c r="C263" s="11" t="n">
        <v>2024</v>
      </c>
      <c r="D263" s="11" t="n">
        <v>10</v>
      </c>
      <c r="E263" s="11" t="s">
        <v>126</v>
      </c>
      <c r="F263" s="11" t="s">
        <v>177</v>
      </c>
      <c r="G263" s="11" t="n">
        <v>12</v>
      </c>
      <c r="H263" s="12" t="s">
        <v>429</v>
      </c>
    </row>
    <row r="264" customFormat="false" ht="15" hidden="false" customHeight="false" outlineLevel="0" collapsed="false">
      <c r="A264" s="11" t="s">
        <v>397</v>
      </c>
      <c r="B264" s="11" t="s">
        <v>8</v>
      </c>
      <c r="C264" s="11" t="n">
        <v>2024</v>
      </c>
      <c r="D264" s="11" t="n">
        <v>11</v>
      </c>
      <c r="E264" s="11" t="s">
        <v>129</v>
      </c>
      <c r="F264" s="11" t="s">
        <v>179</v>
      </c>
      <c r="G264" s="11" t="n">
        <v>12</v>
      </c>
      <c r="H264" s="12" t="s">
        <v>430</v>
      </c>
    </row>
    <row r="265" customFormat="false" ht="15" hidden="false" customHeight="false" outlineLevel="0" collapsed="false">
      <c r="A265" s="11" t="s">
        <v>397</v>
      </c>
      <c r="B265" s="11" t="s">
        <v>8</v>
      </c>
      <c r="C265" s="11" t="n">
        <v>2024</v>
      </c>
      <c r="D265" s="11" t="n">
        <v>12</v>
      </c>
      <c r="E265" s="11" t="s">
        <v>132</v>
      </c>
      <c r="F265" s="11" t="s">
        <v>181</v>
      </c>
      <c r="G265" s="11" t="n">
        <v>12</v>
      </c>
      <c r="H265" s="12" t="s">
        <v>431</v>
      </c>
    </row>
    <row r="266" customFormat="false" ht="15" hidden="false" customHeight="false" outlineLevel="0" collapsed="false">
      <c r="A266" s="11" t="s">
        <v>397</v>
      </c>
      <c r="B266" s="11" t="s">
        <v>8</v>
      </c>
      <c r="C266" s="11" t="n">
        <v>2025</v>
      </c>
      <c r="D266" s="11" t="n">
        <v>1</v>
      </c>
      <c r="E266" s="11" t="s">
        <v>99</v>
      </c>
      <c r="F266" s="11" t="s">
        <v>183</v>
      </c>
      <c r="G266" s="11" t="n">
        <v>8</v>
      </c>
      <c r="H266" s="12" t="s">
        <v>432</v>
      </c>
    </row>
    <row r="267" customFormat="false" ht="15" hidden="false" customHeight="false" outlineLevel="0" collapsed="false">
      <c r="A267" s="11" t="s">
        <v>397</v>
      </c>
      <c r="B267" s="11" t="s">
        <v>8</v>
      </c>
      <c r="C267" s="11" t="n">
        <v>2025</v>
      </c>
      <c r="D267" s="11" t="n">
        <v>2</v>
      </c>
      <c r="E267" s="11" t="s">
        <v>102</v>
      </c>
      <c r="F267" s="11" t="s">
        <v>185</v>
      </c>
      <c r="G267" s="11" t="n">
        <v>12</v>
      </c>
      <c r="H267" s="12" t="s">
        <v>433</v>
      </c>
    </row>
    <row r="268" customFormat="false" ht="15" hidden="false" customHeight="false" outlineLevel="0" collapsed="false">
      <c r="A268" s="11" t="s">
        <v>397</v>
      </c>
      <c r="B268" s="11" t="s">
        <v>8</v>
      </c>
      <c r="C268" s="11" t="n">
        <v>2025</v>
      </c>
      <c r="D268" s="11" t="n">
        <v>3</v>
      </c>
      <c r="E268" s="11" t="s">
        <v>105</v>
      </c>
      <c r="F268" s="11" t="s">
        <v>187</v>
      </c>
      <c r="G268" s="11" t="n">
        <v>12</v>
      </c>
      <c r="H268" s="12" t="s">
        <v>434</v>
      </c>
    </row>
    <row r="269" customFormat="false" ht="15" hidden="false" customHeight="false" outlineLevel="0" collapsed="false">
      <c r="A269" s="11" t="s">
        <v>397</v>
      </c>
      <c r="B269" s="11" t="s">
        <v>8</v>
      </c>
      <c r="C269" s="11" t="n">
        <v>2025</v>
      </c>
      <c r="D269" s="11" t="n">
        <v>4</v>
      </c>
      <c r="E269" s="11" t="s">
        <v>108</v>
      </c>
      <c r="F269" s="11" t="s">
        <v>189</v>
      </c>
      <c r="G269" s="11" t="n">
        <v>16</v>
      </c>
      <c r="H269" s="12" t="s">
        <v>435</v>
      </c>
    </row>
    <row r="270" customFormat="false" ht="15" hidden="false" customHeight="false" outlineLevel="0" collapsed="false">
      <c r="A270" s="11" t="s">
        <v>397</v>
      </c>
      <c r="B270" s="11" t="s">
        <v>8</v>
      </c>
      <c r="C270" s="11" t="n">
        <v>2025</v>
      </c>
      <c r="D270" s="11" t="n">
        <v>5</v>
      </c>
      <c r="E270" s="11" t="s">
        <v>111</v>
      </c>
      <c r="F270" s="11" t="s">
        <v>191</v>
      </c>
      <c r="G270" s="11" t="n">
        <v>12</v>
      </c>
      <c r="H270" s="12" t="s">
        <v>436</v>
      </c>
    </row>
    <row r="271" customFormat="false" ht="15" hidden="false" customHeight="false" outlineLevel="0" collapsed="false">
      <c r="A271" s="11" t="s">
        <v>397</v>
      </c>
      <c r="B271" s="11" t="s">
        <v>8</v>
      </c>
      <c r="C271" s="11" t="n">
        <v>2025</v>
      </c>
      <c r="D271" s="11" t="n">
        <v>6</v>
      </c>
      <c r="E271" s="11" t="s">
        <v>114</v>
      </c>
      <c r="F271" s="11" t="s">
        <v>193</v>
      </c>
      <c r="G271" s="11" t="n">
        <v>12</v>
      </c>
      <c r="H271" s="12" t="s">
        <v>437</v>
      </c>
    </row>
    <row r="272" customFormat="false" ht="15" hidden="false" customHeight="false" outlineLevel="0" collapsed="false">
      <c r="A272" s="11" t="s">
        <v>397</v>
      </c>
      <c r="B272" s="11" t="s">
        <v>8</v>
      </c>
      <c r="C272" s="11" t="n">
        <v>2025</v>
      </c>
      <c r="D272" s="11" t="n">
        <v>7</v>
      </c>
      <c r="E272" s="11" t="s">
        <v>117</v>
      </c>
      <c r="F272" s="11" t="s">
        <v>195</v>
      </c>
      <c r="G272" s="11" t="n">
        <v>12</v>
      </c>
      <c r="H272" s="12" t="s">
        <v>438</v>
      </c>
    </row>
    <row r="273" customFormat="false" ht="15" hidden="false" customHeight="false" outlineLevel="0" collapsed="false">
      <c r="A273" s="11" t="s">
        <v>397</v>
      </c>
      <c r="B273" s="11" t="s">
        <v>8</v>
      </c>
      <c r="C273" s="11" t="n">
        <v>2025</v>
      </c>
      <c r="D273" s="11" t="n">
        <v>8</v>
      </c>
      <c r="E273" s="11" t="s">
        <v>120</v>
      </c>
      <c r="F273" s="11" t="s">
        <v>197</v>
      </c>
      <c r="G273" s="11" t="n">
        <v>16</v>
      </c>
      <c r="H273" s="12" t="s">
        <v>439</v>
      </c>
    </row>
    <row r="274" customFormat="false" ht="15" hidden="false" customHeight="false" outlineLevel="0" collapsed="false">
      <c r="A274" s="11" t="s">
        <v>397</v>
      </c>
      <c r="B274" s="11" t="s">
        <v>8</v>
      </c>
      <c r="C274" s="11" t="n">
        <v>2025</v>
      </c>
      <c r="D274" s="11" t="n">
        <v>9</v>
      </c>
      <c r="E274" s="11" t="s">
        <v>123</v>
      </c>
      <c r="F274" s="11" t="s">
        <v>199</v>
      </c>
      <c r="G274" s="11" t="n">
        <v>12</v>
      </c>
      <c r="H274" s="12" t="s">
        <v>440</v>
      </c>
    </row>
    <row r="275" customFormat="false" ht="15" hidden="false" customHeight="false" outlineLevel="0" collapsed="false">
      <c r="A275" s="11" t="s">
        <v>397</v>
      </c>
      <c r="B275" s="11" t="s">
        <v>8</v>
      </c>
      <c r="C275" s="11" t="n">
        <v>2025</v>
      </c>
      <c r="D275" s="11" t="n">
        <v>10</v>
      </c>
      <c r="E275" s="11" t="s">
        <v>126</v>
      </c>
      <c r="F275" s="11" t="s">
        <v>201</v>
      </c>
      <c r="G275" s="11" t="n">
        <v>16</v>
      </c>
      <c r="H275" s="12" t="s">
        <v>441</v>
      </c>
    </row>
    <row r="276" customFormat="false" ht="15" hidden="false" customHeight="false" outlineLevel="0" collapsed="false">
      <c r="A276" s="11" t="s">
        <v>397</v>
      </c>
      <c r="B276" s="11" t="s">
        <v>8</v>
      </c>
      <c r="C276" s="11" t="n">
        <v>2025</v>
      </c>
      <c r="D276" s="11" t="n">
        <v>11</v>
      </c>
      <c r="E276" s="11" t="s">
        <v>129</v>
      </c>
      <c r="F276" s="11" t="s">
        <v>203</v>
      </c>
      <c r="G276" s="11" t="n">
        <v>12</v>
      </c>
      <c r="H276" s="12" t="s">
        <v>442</v>
      </c>
    </row>
    <row r="277" customFormat="false" ht="15" hidden="false" customHeight="false" outlineLevel="0" collapsed="false">
      <c r="A277" s="11" t="s">
        <v>397</v>
      </c>
      <c r="B277" s="11" t="s">
        <v>8</v>
      </c>
      <c r="C277" s="11" t="n">
        <v>2025</v>
      </c>
      <c r="D277" s="11" t="n">
        <v>12</v>
      </c>
      <c r="E277" s="11" t="s">
        <v>132</v>
      </c>
      <c r="F277" s="11" t="s">
        <v>205</v>
      </c>
      <c r="G277" s="11" t="n">
        <v>12</v>
      </c>
      <c r="H277" s="12" t="s">
        <v>443</v>
      </c>
    </row>
    <row r="278" customFormat="false" ht="15" hidden="false" customHeight="false" outlineLevel="0" collapsed="false">
      <c r="A278" s="11" t="s">
        <v>397</v>
      </c>
      <c r="B278" s="11" t="s">
        <v>8</v>
      </c>
      <c r="C278" s="11" t="n">
        <v>2026</v>
      </c>
      <c r="D278" s="11" t="n">
        <v>1</v>
      </c>
      <c r="E278" s="11" t="s">
        <v>99</v>
      </c>
      <c r="F278" s="11" t="s">
        <v>207</v>
      </c>
      <c r="G278" s="11" t="n">
        <v>12</v>
      </c>
      <c r="H278" s="12" t="s">
        <v>444</v>
      </c>
    </row>
    <row r="279" customFormat="false" ht="15" hidden="false" customHeight="false" outlineLevel="0" collapsed="false">
      <c r="A279" s="11" t="s">
        <v>397</v>
      </c>
      <c r="B279" s="11" t="s">
        <v>8</v>
      </c>
      <c r="C279" s="11" t="n">
        <v>2026</v>
      </c>
      <c r="D279" s="11" t="n">
        <v>2</v>
      </c>
      <c r="E279" s="11" t="s">
        <v>102</v>
      </c>
      <c r="F279" s="11" t="s">
        <v>209</v>
      </c>
      <c r="G279" s="11" t="n">
        <v>8</v>
      </c>
      <c r="H279" s="12" t="s">
        <v>445</v>
      </c>
    </row>
    <row r="280" customFormat="false" ht="15" hidden="false" customHeight="false" outlineLevel="0" collapsed="false">
      <c r="A280" s="11" t="s">
        <v>397</v>
      </c>
      <c r="B280" s="11" t="s">
        <v>8</v>
      </c>
      <c r="C280" s="11" t="n">
        <v>2026</v>
      </c>
      <c r="D280" s="11" t="n">
        <v>3</v>
      </c>
      <c r="E280" s="11" t="s">
        <v>105</v>
      </c>
      <c r="F280" s="11" t="s">
        <v>211</v>
      </c>
      <c r="G280" s="11" t="n">
        <v>12</v>
      </c>
      <c r="H280" s="12" t="s">
        <v>446</v>
      </c>
    </row>
    <row r="281" customFormat="false" ht="15" hidden="false" customHeight="false" outlineLevel="0" collapsed="false">
      <c r="A281" s="11" t="s">
        <v>397</v>
      </c>
      <c r="B281" s="11" t="s">
        <v>8</v>
      </c>
      <c r="C281" s="11" t="n">
        <v>2026</v>
      </c>
      <c r="D281" s="11" t="n">
        <v>4</v>
      </c>
      <c r="E281" s="11" t="s">
        <v>108</v>
      </c>
      <c r="F281" s="11" t="s">
        <v>213</v>
      </c>
      <c r="G281" s="11" t="n">
        <v>12</v>
      </c>
      <c r="H281" s="12" t="s">
        <v>447</v>
      </c>
    </row>
    <row r="282" customFormat="false" ht="15" hidden="false" customHeight="false" outlineLevel="0" collapsed="false">
      <c r="A282" s="11" t="s">
        <v>397</v>
      </c>
      <c r="B282" s="11" t="s">
        <v>8</v>
      </c>
      <c r="C282" s="11" t="n">
        <v>2026</v>
      </c>
      <c r="D282" s="11" t="n">
        <v>5</v>
      </c>
      <c r="E282" s="11" t="s">
        <v>111</v>
      </c>
      <c r="F282" s="11" t="s">
        <v>215</v>
      </c>
      <c r="G282" s="11" t="n">
        <v>12</v>
      </c>
      <c r="H282" s="12" t="s">
        <v>448</v>
      </c>
    </row>
    <row r="283" customFormat="false" ht="15" hidden="false" customHeight="false" outlineLevel="0" collapsed="false">
      <c r="A283" s="11" t="s">
        <v>449</v>
      </c>
      <c r="B283" s="11" t="s">
        <v>9</v>
      </c>
      <c r="C283" s="11" t="n">
        <v>2022</v>
      </c>
      <c r="D283" s="11" t="n">
        <v>1</v>
      </c>
      <c r="E283" s="11" t="s">
        <v>99</v>
      </c>
      <c r="F283" s="11" t="s">
        <v>100</v>
      </c>
      <c r="G283" s="11" t="n">
        <v>12</v>
      </c>
      <c r="H283" s="12" t="s">
        <v>450</v>
      </c>
    </row>
    <row r="284" customFormat="false" ht="15" hidden="false" customHeight="false" outlineLevel="0" collapsed="false">
      <c r="A284" s="11" t="s">
        <v>449</v>
      </c>
      <c r="B284" s="11" t="s">
        <v>9</v>
      </c>
      <c r="C284" s="11" t="n">
        <v>2022</v>
      </c>
      <c r="D284" s="11" t="n">
        <v>2</v>
      </c>
      <c r="E284" s="11" t="s">
        <v>102</v>
      </c>
      <c r="F284" s="11" t="s">
        <v>103</v>
      </c>
      <c r="G284" s="11" t="n">
        <v>12</v>
      </c>
      <c r="H284" s="12" t="s">
        <v>451</v>
      </c>
    </row>
    <row r="285" customFormat="false" ht="15" hidden="false" customHeight="false" outlineLevel="0" collapsed="false">
      <c r="A285" s="11" t="s">
        <v>449</v>
      </c>
      <c r="B285" s="11" t="s">
        <v>9</v>
      </c>
      <c r="C285" s="11" t="n">
        <v>2022</v>
      </c>
      <c r="D285" s="11" t="n">
        <v>3</v>
      </c>
      <c r="E285" s="11" t="s">
        <v>105</v>
      </c>
      <c r="F285" s="11" t="s">
        <v>106</v>
      </c>
      <c r="G285" s="11" t="n">
        <v>12</v>
      </c>
      <c r="H285" s="12" t="s">
        <v>452</v>
      </c>
    </row>
    <row r="286" customFormat="false" ht="15" hidden="false" customHeight="false" outlineLevel="0" collapsed="false">
      <c r="A286" s="11" t="s">
        <v>449</v>
      </c>
      <c r="B286" s="11" t="s">
        <v>9</v>
      </c>
      <c r="C286" s="11" t="n">
        <v>2022</v>
      </c>
      <c r="D286" s="11" t="n">
        <v>4</v>
      </c>
      <c r="E286" s="11" t="s">
        <v>108</v>
      </c>
      <c r="F286" s="11" t="s">
        <v>109</v>
      </c>
      <c r="G286" s="11" t="n">
        <v>20</v>
      </c>
      <c r="H286" s="12" t="s">
        <v>453</v>
      </c>
    </row>
    <row r="287" customFormat="false" ht="15" hidden="false" customHeight="false" outlineLevel="0" collapsed="false">
      <c r="A287" s="11" t="s">
        <v>449</v>
      </c>
      <c r="B287" s="11" t="s">
        <v>9</v>
      </c>
      <c r="C287" s="11" t="n">
        <v>2022</v>
      </c>
      <c r="D287" s="11" t="n">
        <v>5</v>
      </c>
      <c r="E287" s="11" t="s">
        <v>111</v>
      </c>
      <c r="F287" s="11" t="s">
        <v>112</v>
      </c>
      <c r="G287" s="11" t="n">
        <v>20</v>
      </c>
      <c r="H287" s="12" t="s">
        <v>454</v>
      </c>
    </row>
    <row r="288" customFormat="false" ht="15" hidden="false" customHeight="false" outlineLevel="0" collapsed="false">
      <c r="A288" s="11" t="s">
        <v>449</v>
      </c>
      <c r="B288" s="11" t="s">
        <v>9</v>
      </c>
      <c r="C288" s="11" t="n">
        <v>2022</v>
      </c>
      <c r="D288" s="11" t="n">
        <v>6</v>
      </c>
      <c r="E288" s="11" t="s">
        <v>114</v>
      </c>
      <c r="F288" s="11" t="s">
        <v>115</v>
      </c>
      <c r="G288" s="11" t="n">
        <v>16</v>
      </c>
      <c r="H288" s="12" t="s">
        <v>455</v>
      </c>
    </row>
    <row r="289" customFormat="false" ht="15" hidden="false" customHeight="false" outlineLevel="0" collapsed="false">
      <c r="A289" s="11" t="s">
        <v>449</v>
      </c>
      <c r="B289" s="11" t="s">
        <v>9</v>
      </c>
      <c r="C289" s="11" t="n">
        <v>2022</v>
      </c>
      <c r="D289" s="11" t="n">
        <v>7</v>
      </c>
      <c r="E289" s="11" t="s">
        <v>117</v>
      </c>
      <c r="F289" s="11" t="s">
        <v>118</v>
      </c>
      <c r="G289" s="11" t="n">
        <v>16</v>
      </c>
      <c r="H289" s="12" t="s">
        <v>456</v>
      </c>
    </row>
    <row r="290" customFormat="false" ht="15" hidden="false" customHeight="false" outlineLevel="0" collapsed="false">
      <c r="A290" s="11" t="s">
        <v>449</v>
      </c>
      <c r="B290" s="11" t="s">
        <v>9</v>
      </c>
      <c r="C290" s="11" t="n">
        <v>2022</v>
      </c>
      <c r="D290" s="11" t="n">
        <v>8</v>
      </c>
      <c r="E290" s="11" t="s">
        <v>120</v>
      </c>
      <c r="F290" s="11" t="s">
        <v>121</v>
      </c>
      <c r="G290" s="11" t="n">
        <v>12</v>
      </c>
      <c r="H290" s="12" t="s">
        <v>457</v>
      </c>
    </row>
    <row r="291" customFormat="false" ht="15" hidden="false" customHeight="false" outlineLevel="0" collapsed="false">
      <c r="A291" s="11" t="s">
        <v>449</v>
      </c>
      <c r="B291" s="11" t="s">
        <v>9</v>
      </c>
      <c r="C291" s="11" t="n">
        <v>2022</v>
      </c>
      <c r="D291" s="11" t="n">
        <v>9</v>
      </c>
      <c r="E291" s="11" t="s">
        <v>123</v>
      </c>
      <c r="F291" s="11" t="s">
        <v>124</v>
      </c>
      <c r="G291" s="11" t="n">
        <v>16</v>
      </c>
      <c r="H291" s="12" t="s">
        <v>458</v>
      </c>
    </row>
    <row r="292" customFormat="false" ht="15" hidden="false" customHeight="false" outlineLevel="0" collapsed="false">
      <c r="A292" s="11" t="s">
        <v>449</v>
      </c>
      <c r="B292" s="11" t="s">
        <v>9</v>
      </c>
      <c r="C292" s="11" t="n">
        <v>2022</v>
      </c>
      <c r="D292" s="11" t="n">
        <v>10</v>
      </c>
      <c r="E292" s="11" t="s">
        <v>126</v>
      </c>
      <c r="F292" s="11" t="s">
        <v>127</v>
      </c>
      <c r="G292" s="11" t="n">
        <v>16</v>
      </c>
      <c r="H292" s="12" t="s">
        <v>459</v>
      </c>
    </row>
    <row r="293" customFormat="false" ht="15" hidden="false" customHeight="false" outlineLevel="0" collapsed="false">
      <c r="A293" s="11" t="s">
        <v>449</v>
      </c>
      <c r="B293" s="11" t="s">
        <v>9</v>
      </c>
      <c r="C293" s="11" t="n">
        <v>2022</v>
      </c>
      <c r="D293" s="11" t="n">
        <v>11</v>
      </c>
      <c r="E293" s="11" t="s">
        <v>129</v>
      </c>
      <c r="F293" s="11" t="s">
        <v>130</v>
      </c>
      <c r="G293" s="11" t="n">
        <v>12</v>
      </c>
      <c r="H293" s="12" t="s">
        <v>460</v>
      </c>
    </row>
    <row r="294" customFormat="false" ht="15" hidden="false" customHeight="false" outlineLevel="0" collapsed="false">
      <c r="A294" s="11" t="s">
        <v>449</v>
      </c>
      <c r="B294" s="11" t="s">
        <v>9</v>
      </c>
      <c r="C294" s="11" t="n">
        <v>2022</v>
      </c>
      <c r="D294" s="11" t="n">
        <v>12</v>
      </c>
      <c r="E294" s="11" t="s">
        <v>132</v>
      </c>
      <c r="F294" s="11" t="s">
        <v>133</v>
      </c>
      <c r="G294" s="11" t="n">
        <v>16</v>
      </c>
      <c r="H294" s="12" t="s">
        <v>461</v>
      </c>
    </row>
    <row r="295" customFormat="false" ht="15" hidden="false" customHeight="false" outlineLevel="0" collapsed="false">
      <c r="A295" s="11" t="s">
        <v>449</v>
      </c>
      <c r="B295" s="11" t="s">
        <v>9</v>
      </c>
      <c r="C295" s="11" t="n">
        <v>2023</v>
      </c>
      <c r="D295" s="11" t="n">
        <v>1</v>
      </c>
      <c r="E295" s="11" t="s">
        <v>99</v>
      </c>
      <c r="F295" s="11" t="s">
        <v>135</v>
      </c>
      <c r="G295" s="11" t="n">
        <v>12</v>
      </c>
      <c r="H295" s="12" t="s">
        <v>462</v>
      </c>
    </row>
    <row r="296" customFormat="false" ht="15" hidden="false" customHeight="false" outlineLevel="0" collapsed="false">
      <c r="A296" s="11" t="s">
        <v>449</v>
      </c>
      <c r="B296" s="11" t="s">
        <v>9</v>
      </c>
      <c r="C296" s="11" t="n">
        <v>2023</v>
      </c>
      <c r="D296" s="11" t="n">
        <v>2</v>
      </c>
      <c r="E296" s="11" t="s">
        <v>102</v>
      </c>
      <c r="F296" s="11" t="s">
        <v>137</v>
      </c>
      <c r="G296" s="11" t="n">
        <v>12</v>
      </c>
      <c r="H296" s="12" t="s">
        <v>463</v>
      </c>
    </row>
    <row r="297" customFormat="false" ht="15" hidden="false" customHeight="false" outlineLevel="0" collapsed="false">
      <c r="A297" s="11" t="s">
        <v>449</v>
      </c>
      <c r="B297" s="11" t="s">
        <v>9</v>
      </c>
      <c r="C297" s="11" t="n">
        <v>2023</v>
      </c>
      <c r="D297" s="11" t="n">
        <v>3</v>
      </c>
      <c r="E297" s="11" t="s">
        <v>105</v>
      </c>
      <c r="F297" s="11" t="s">
        <v>139</v>
      </c>
      <c r="G297" s="11" t="n">
        <v>16</v>
      </c>
      <c r="H297" s="12" t="s">
        <v>464</v>
      </c>
    </row>
    <row r="298" customFormat="false" ht="15" hidden="false" customHeight="false" outlineLevel="0" collapsed="false">
      <c r="A298" s="11" t="s">
        <v>449</v>
      </c>
      <c r="B298" s="11" t="s">
        <v>9</v>
      </c>
      <c r="C298" s="11" t="n">
        <v>2023</v>
      </c>
      <c r="D298" s="11" t="n">
        <v>4</v>
      </c>
      <c r="E298" s="11" t="s">
        <v>108</v>
      </c>
      <c r="F298" s="11" t="s">
        <v>141</v>
      </c>
      <c r="G298" s="11" t="n">
        <v>20</v>
      </c>
      <c r="H298" s="12" t="s">
        <v>465</v>
      </c>
    </row>
    <row r="299" customFormat="false" ht="15" hidden="false" customHeight="false" outlineLevel="0" collapsed="false">
      <c r="A299" s="11" t="s">
        <v>449</v>
      </c>
      <c r="B299" s="11" t="s">
        <v>9</v>
      </c>
      <c r="C299" s="11" t="n">
        <v>2023</v>
      </c>
      <c r="D299" s="11" t="n">
        <v>5</v>
      </c>
      <c r="E299" s="11" t="s">
        <v>111</v>
      </c>
      <c r="F299" s="11" t="s">
        <v>143</v>
      </c>
      <c r="G299" s="11" t="n">
        <v>16</v>
      </c>
      <c r="H299" s="12" t="s">
        <v>466</v>
      </c>
    </row>
    <row r="300" customFormat="false" ht="15" hidden="false" customHeight="false" outlineLevel="0" collapsed="false">
      <c r="A300" s="11" t="s">
        <v>449</v>
      </c>
      <c r="B300" s="11" t="s">
        <v>9</v>
      </c>
      <c r="C300" s="11" t="n">
        <v>2023</v>
      </c>
      <c r="D300" s="11" t="n">
        <v>6</v>
      </c>
      <c r="E300" s="11" t="s">
        <v>114</v>
      </c>
      <c r="F300" s="11" t="s">
        <v>145</v>
      </c>
      <c r="G300" s="11" t="n">
        <v>20</v>
      </c>
      <c r="H300" s="12" t="s">
        <v>467</v>
      </c>
    </row>
    <row r="301" customFormat="false" ht="15" hidden="false" customHeight="false" outlineLevel="0" collapsed="false">
      <c r="A301" s="11" t="s">
        <v>449</v>
      </c>
      <c r="B301" s="11" t="s">
        <v>9</v>
      </c>
      <c r="C301" s="11" t="n">
        <v>2023</v>
      </c>
      <c r="D301" s="11" t="n">
        <v>7</v>
      </c>
      <c r="E301" s="11" t="s">
        <v>117</v>
      </c>
      <c r="F301" s="11" t="s">
        <v>147</v>
      </c>
      <c r="G301" s="11" t="n">
        <v>20</v>
      </c>
      <c r="H301" s="12" t="s">
        <v>468</v>
      </c>
    </row>
    <row r="302" customFormat="false" ht="15" hidden="false" customHeight="false" outlineLevel="0" collapsed="false">
      <c r="A302" s="11" t="s">
        <v>449</v>
      </c>
      <c r="B302" s="11" t="s">
        <v>9</v>
      </c>
      <c r="C302" s="11" t="n">
        <v>2023</v>
      </c>
      <c r="D302" s="11" t="n">
        <v>8</v>
      </c>
      <c r="E302" s="11" t="s">
        <v>120</v>
      </c>
      <c r="F302" s="11" t="s">
        <v>149</v>
      </c>
      <c r="G302" s="11" t="n">
        <v>16</v>
      </c>
      <c r="H302" s="12" t="s">
        <v>469</v>
      </c>
    </row>
    <row r="303" customFormat="false" ht="15" hidden="false" customHeight="false" outlineLevel="0" collapsed="false">
      <c r="A303" s="11" t="s">
        <v>449</v>
      </c>
      <c r="B303" s="11" t="s">
        <v>9</v>
      </c>
      <c r="C303" s="11" t="n">
        <v>2023</v>
      </c>
      <c r="D303" s="11" t="n">
        <v>9</v>
      </c>
      <c r="E303" s="11" t="s">
        <v>123</v>
      </c>
      <c r="F303" s="11" t="s">
        <v>151</v>
      </c>
      <c r="G303" s="11" t="n">
        <v>16</v>
      </c>
      <c r="H303" s="12" t="s">
        <v>470</v>
      </c>
    </row>
    <row r="304" customFormat="false" ht="15" hidden="false" customHeight="false" outlineLevel="0" collapsed="false">
      <c r="A304" s="11" t="s">
        <v>449</v>
      </c>
      <c r="B304" s="11" t="s">
        <v>9</v>
      </c>
      <c r="C304" s="11" t="n">
        <v>2023</v>
      </c>
      <c r="D304" s="11" t="n">
        <v>10</v>
      </c>
      <c r="E304" s="11" t="s">
        <v>126</v>
      </c>
      <c r="F304" s="11" t="s">
        <v>153</v>
      </c>
      <c r="G304" s="11" t="n">
        <v>16</v>
      </c>
      <c r="H304" s="12" t="s">
        <v>471</v>
      </c>
    </row>
    <row r="305" customFormat="false" ht="15" hidden="false" customHeight="false" outlineLevel="0" collapsed="false">
      <c r="A305" s="11" t="s">
        <v>449</v>
      </c>
      <c r="B305" s="11" t="s">
        <v>9</v>
      </c>
      <c r="C305" s="11" t="n">
        <v>2023</v>
      </c>
      <c r="D305" s="11" t="n">
        <v>11</v>
      </c>
      <c r="E305" s="11" t="s">
        <v>129</v>
      </c>
      <c r="F305" s="11" t="s">
        <v>155</v>
      </c>
      <c r="G305" s="11" t="n">
        <v>20</v>
      </c>
      <c r="H305" s="12" t="s">
        <v>472</v>
      </c>
    </row>
    <row r="306" customFormat="false" ht="15" hidden="false" customHeight="false" outlineLevel="0" collapsed="false">
      <c r="A306" s="11" t="s">
        <v>449</v>
      </c>
      <c r="B306" s="11" t="s">
        <v>9</v>
      </c>
      <c r="C306" s="11" t="n">
        <v>2023</v>
      </c>
      <c r="D306" s="11" t="n">
        <v>12</v>
      </c>
      <c r="E306" s="11" t="s">
        <v>132</v>
      </c>
      <c r="F306" s="11" t="s">
        <v>157</v>
      </c>
      <c r="G306" s="11" t="n">
        <v>20</v>
      </c>
      <c r="H306" s="12" t="s">
        <v>473</v>
      </c>
    </row>
    <row r="307" customFormat="false" ht="15" hidden="false" customHeight="false" outlineLevel="0" collapsed="false">
      <c r="A307" s="11" t="s">
        <v>449</v>
      </c>
      <c r="B307" s="11" t="s">
        <v>9</v>
      </c>
      <c r="C307" s="11" t="n">
        <v>2024</v>
      </c>
      <c r="D307" s="11" t="n">
        <v>1</v>
      </c>
      <c r="E307" s="11" t="s">
        <v>99</v>
      </c>
      <c r="F307" s="11" t="s">
        <v>159</v>
      </c>
      <c r="G307" s="11" t="n">
        <v>21</v>
      </c>
      <c r="H307" s="12" t="s">
        <v>474</v>
      </c>
    </row>
    <row r="308" customFormat="false" ht="15" hidden="false" customHeight="false" outlineLevel="0" collapsed="false">
      <c r="A308" s="11" t="s">
        <v>449</v>
      </c>
      <c r="B308" s="11" t="s">
        <v>9</v>
      </c>
      <c r="C308" s="11" t="n">
        <v>2024</v>
      </c>
      <c r="D308" s="11" t="n">
        <v>2</v>
      </c>
      <c r="E308" s="11" t="s">
        <v>102</v>
      </c>
      <c r="F308" s="11" t="s">
        <v>161</v>
      </c>
      <c r="G308" s="11" t="n">
        <v>12</v>
      </c>
      <c r="H308" s="12" t="s">
        <v>475</v>
      </c>
    </row>
    <row r="309" customFormat="false" ht="15" hidden="false" customHeight="false" outlineLevel="0" collapsed="false">
      <c r="A309" s="11" t="s">
        <v>449</v>
      </c>
      <c r="B309" s="11" t="s">
        <v>9</v>
      </c>
      <c r="C309" s="11" t="n">
        <v>2024</v>
      </c>
      <c r="D309" s="11" t="n">
        <v>3</v>
      </c>
      <c r="E309" s="11" t="s">
        <v>105</v>
      </c>
      <c r="F309" s="11" t="s">
        <v>163</v>
      </c>
      <c r="G309" s="11" t="n">
        <v>16</v>
      </c>
      <c r="H309" s="12" t="s">
        <v>476</v>
      </c>
    </row>
    <row r="310" customFormat="false" ht="15" hidden="false" customHeight="false" outlineLevel="0" collapsed="false">
      <c r="A310" s="11" t="s">
        <v>449</v>
      </c>
      <c r="B310" s="11" t="s">
        <v>9</v>
      </c>
      <c r="C310" s="11" t="n">
        <v>2024</v>
      </c>
      <c r="D310" s="11" t="n">
        <v>4</v>
      </c>
      <c r="E310" s="11" t="s">
        <v>108</v>
      </c>
      <c r="F310" s="11" t="s">
        <v>165</v>
      </c>
      <c r="G310" s="11" t="n">
        <v>16</v>
      </c>
      <c r="H310" s="12" t="s">
        <v>477</v>
      </c>
    </row>
    <row r="311" customFormat="false" ht="15" hidden="false" customHeight="false" outlineLevel="0" collapsed="false">
      <c r="A311" s="11" t="s">
        <v>449</v>
      </c>
      <c r="B311" s="11" t="s">
        <v>9</v>
      </c>
      <c r="C311" s="11" t="n">
        <v>2024</v>
      </c>
      <c r="D311" s="11" t="n">
        <v>5</v>
      </c>
      <c r="E311" s="11" t="s">
        <v>111</v>
      </c>
      <c r="F311" s="11" t="s">
        <v>167</v>
      </c>
      <c r="G311" s="11" t="n">
        <v>16</v>
      </c>
      <c r="H311" s="12" t="s">
        <v>478</v>
      </c>
    </row>
    <row r="312" customFormat="false" ht="15" hidden="false" customHeight="false" outlineLevel="0" collapsed="false">
      <c r="A312" s="11" t="s">
        <v>449</v>
      </c>
      <c r="B312" s="11" t="s">
        <v>9</v>
      </c>
      <c r="C312" s="11" t="n">
        <v>2024</v>
      </c>
      <c r="D312" s="11" t="n">
        <v>6</v>
      </c>
      <c r="E312" s="11" t="s">
        <v>114</v>
      </c>
      <c r="F312" s="11" t="s">
        <v>169</v>
      </c>
      <c r="G312" s="11" t="n">
        <v>16</v>
      </c>
      <c r="H312" s="12" t="s">
        <v>479</v>
      </c>
    </row>
    <row r="313" customFormat="false" ht="15" hidden="false" customHeight="false" outlineLevel="0" collapsed="false">
      <c r="A313" s="11" t="s">
        <v>449</v>
      </c>
      <c r="B313" s="11" t="s">
        <v>9</v>
      </c>
      <c r="C313" s="11" t="n">
        <v>2024</v>
      </c>
      <c r="D313" s="11" t="n">
        <v>7</v>
      </c>
      <c r="E313" s="11" t="s">
        <v>117</v>
      </c>
      <c r="F313" s="11" t="s">
        <v>171</v>
      </c>
      <c r="G313" s="11" t="n">
        <v>16</v>
      </c>
      <c r="H313" s="12" t="s">
        <v>480</v>
      </c>
    </row>
    <row r="314" customFormat="false" ht="15" hidden="false" customHeight="false" outlineLevel="0" collapsed="false">
      <c r="A314" s="11" t="s">
        <v>449</v>
      </c>
      <c r="B314" s="11" t="s">
        <v>9</v>
      </c>
      <c r="C314" s="11" t="n">
        <v>2024</v>
      </c>
      <c r="D314" s="11" t="n">
        <v>8</v>
      </c>
      <c r="E314" s="11" t="s">
        <v>120</v>
      </c>
      <c r="F314" s="11" t="s">
        <v>173</v>
      </c>
      <c r="G314" s="11" t="n">
        <v>12</v>
      </c>
      <c r="H314" s="12" t="s">
        <v>481</v>
      </c>
    </row>
    <row r="315" customFormat="false" ht="15" hidden="false" customHeight="false" outlineLevel="0" collapsed="false">
      <c r="A315" s="11" t="s">
        <v>449</v>
      </c>
      <c r="B315" s="11" t="s">
        <v>9</v>
      </c>
      <c r="C315" s="11" t="n">
        <v>2024</v>
      </c>
      <c r="D315" s="11" t="n">
        <v>9</v>
      </c>
      <c r="E315" s="11" t="s">
        <v>123</v>
      </c>
      <c r="F315" s="11" t="s">
        <v>175</v>
      </c>
      <c r="G315" s="11" t="n">
        <v>16</v>
      </c>
      <c r="H315" s="12" t="s">
        <v>482</v>
      </c>
    </row>
    <row r="316" customFormat="false" ht="15" hidden="false" customHeight="false" outlineLevel="0" collapsed="false">
      <c r="A316" s="11" t="s">
        <v>449</v>
      </c>
      <c r="B316" s="11" t="s">
        <v>9</v>
      </c>
      <c r="C316" s="11" t="n">
        <v>2024</v>
      </c>
      <c r="D316" s="11" t="n">
        <v>10</v>
      </c>
      <c r="E316" s="11" t="s">
        <v>126</v>
      </c>
      <c r="F316" s="11" t="s">
        <v>177</v>
      </c>
      <c r="G316" s="11" t="n">
        <v>15</v>
      </c>
      <c r="H316" s="12" t="s">
        <v>483</v>
      </c>
    </row>
    <row r="317" customFormat="false" ht="15" hidden="false" customHeight="false" outlineLevel="0" collapsed="false">
      <c r="A317" s="11" t="s">
        <v>449</v>
      </c>
      <c r="B317" s="11" t="s">
        <v>9</v>
      </c>
      <c r="C317" s="11" t="n">
        <v>2024</v>
      </c>
      <c r="D317" s="11" t="n">
        <v>11</v>
      </c>
      <c r="E317" s="11" t="s">
        <v>129</v>
      </c>
      <c r="F317" s="11" t="s">
        <v>179</v>
      </c>
      <c r="G317" s="11" t="n">
        <v>12</v>
      </c>
      <c r="H317" s="12" t="s">
        <v>484</v>
      </c>
    </row>
    <row r="318" customFormat="false" ht="15" hidden="false" customHeight="false" outlineLevel="0" collapsed="false">
      <c r="A318" s="11" t="s">
        <v>449</v>
      </c>
      <c r="B318" s="11" t="s">
        <v>9</v>
      </c>
      <c r="C318" s="11" t="n">
        <v>2024</v>
      </c>
      <c r="D318" s="11" t="n">
        <v>12</v>
      </c>
      <c r="E318" s="11" t="s">
        <v>132</v>
      </c>
      <c r="F318" s="11" t="s">
        <v>181</v>
      </c>
      <c r="G318" s="11" t="n">
        <v>12</v>
      </c>
      <c r="H318" s="12" t="s">
        <v>485</v>
      </c>
    </row>
    <row r="319" customFormat="false" ht="15" hidden="false" customHeight="false" outlineLevel="0" collapsed="false">
      <c r="A319" s="11" t="s">
        <v>449</v>
      </c>
      <c r="B319" s="11" t="s">
        <v>9</v>
      </c>
      <c r="C319" s="11" t="n">
        <v>2025</v>
      </c>
      <c r="D319" s="11" t="n">
        <v>1</v>
      </c>
      <c r="E319" s="11" t="s">
        <v>99</v>
      </c>
      <c r="F319" s="11" t="s">
        <v>183</v>
      </c>
      <c r="G319" s="11" t="n">
        <v>12</v>
      </c>
      <c r="H319" s="12" t="s">
        <v>486</v>
      </c>
    </row>
    <row r="320" customFormat="false" ht="15" hidden="false" customHeight="false" outlineLevel="0" collapsed="false">
      <c r="A320" s="11" t="s">
        <v>449</v>
      </c>
      <c r="B320" s="11" t="s">
        <v>9</v>
      </c>
      <c r="C320" s="11" t="n">
        <v>2025</v>
      </c>
      <c r="D320" s="11" t="n">
        <v>2</v>
      </c>
      <c r="E320" s="11" t="s">
        <v>102</v>
      </c>
      <c r="F320" s="11" t="s">
        <v>185</v>
      </c>
      <c r="G320" s="11" t="n">
        <v>12</v>
      </c>
      <c r="H320" s="12" t="s">
        <v>487</v>
      </c>
    </row>
    <row r="321" customFormat="false" ht="15" hidden="false" customHeight="false" outlineLevel="0" collapsed="false">
      <c r="A321" s="11" t="s">
        <v>449</v>
      </c>
      <c r="B321" s="11" t="s">
        <v>9</v>
      </c>
      <c r="C321" s="11" t="n">
        <v>2025</v>
      </c>
      <c r="D321" s="11" t="n">
        <v>3</v>
      </c>
      <c r="E321" s="11" t="s">
        <v>105</v>
      </c>
      <c r="F321" s="11" t="s">
        <v>187</v>
      </c>
      <c r="G321" s="11" t="n">
        <v>12</v>
      </c>
      <c r="H321" s="12" t="s">
        <v>488</v>
      </c>
    </row>
    <row r="322" customFormat="false" ht="15" hidden="false" customHeight="false" outlineLevel="0" collapsed="false">
      <c r="A322" s="11" t="s">
        <v>449</v>
      </c>
      <c r="B322" s="11" t="s">
        <v>9</v>
      </c>
      <c r="C322" s="11" t="n">
        <v>2025</v>
      </c>
      <c r="D322" s="11" t="n">
        <v>4</v>
      </c>
      <c r="E322" s="11" t="s">
        <v>108</v>
      </c>
      <c r="F322" s="11" t="s">
        <v>189</v>
      </c>
      <c r="G322" s="11" t="n">
        <v>12</v>
      </c>
      <c r="H322" s="12" t="s">
        <v>489</v>
      </c>
    </row>
    <row r="323" customFormat="false" ht="15" hidden="false" customHeight="false" outlineLevel="0" collapsed="false">
      <c r="A323" s="11" t="s">
        <v>449</v>
      </c>
      <c r="B323" s="11" t="s">
        <v>9</v>
      </c>
      <c r="C323" s="11" t="n">
        <v>2025</v>
      </c>
      <c r="D323" s="11" t="n">
        <v>5</v>
      </c>
      <c r="E323" s="11" t="s">
        <v>111</v>
      </c>
      <c r="F323" s="11" t="s">
        <v>191</v>
      </c>
      <c r="G323" s="11" t="n">
        <v>16</v>
      </c>
      <c r="H323" s="12" t="s">
        <v>490</v>
      </c>
    </row>
    <row r="324" customFormat="false" ht="15" hidden="false" customHeight="false" outlineLevel="0" collapsed="false">
      <c r="A324" s="11" t="s">
        <v>449</v>
      </c>
      <c r="B324" s="11" t="s">
        <v>9</v>
      </c>
      <c r="C324" s="11" t="n">
        <v>2025</v>
      </c>
      <c r="D324" s="11" t="n">
        <v>6</v>
      </c>
      <c r="E324" s="11" t="s">
        <v>114</v>
      </c>
      <c r="F324" s="11" t="s">
        <v>193</v>
      </c>
      <c r="G324" s="11" t="n">
        <v>12</v>
      </c>
      <c r="H324" s="12" t="s">
        <v>491</v>
      </c>
    </row>
    <row r="325" customFormat="false" ht="15" hidden="false" customHeight="false" outlineLevel="0" collapsed="false">
      <c r="A325" s="11" t="s">
        <v>449</v>
      </c>
      <c r="B325" s="11" t="s">
        <v>9</v>
      </c>
      <c r="C325" s="11" t="n">
        <v>2025</v>
      </c>
      <c r="D325" s="11" t="n">
        <v>7</v>
      </c>
      <c r="E325" s="11" t="s">
        <v>117</v>
      </c>
      <c r="F325" s="11" t="s">
        <v>195</v>
      </c>
      <c r="G325" s="11" t="n">
        <v>12</v>
      </c>
      <c r="H325" s="12" t="s">
        <v>492</v>
      </c>
    </row>
    <row r="326" customFormat="false" ht="15" hidden="false" customHeight="false" outlineLevel="0" collapsed="false">
      <c r="A326" s="11" t="s">
        <v>449</v>
      </c>
      <c r="B326" s="11" t="s">
        <v>9</v>
      </c>
      <c r="C326" s="11" t="n">
        <v>2025</v>
      </c>
      <c r="D326" s="11" t="n">
        <v>8</v>
      </c>
      <c r="E326" s="11" t="s">
        <v>120</v>
      </c>
      <c r="F326" s="11" t="s">
        <v>197</v>
      </c>
      <c r="G326" s="11" t="n">
        <v>12</v>
      </c>
      <c r="H326" s="12" t="s">
        <v>493</v>
      </c>
    </row>
    <row r="327" customFormat="false" ht="15" hidden="false" customHeight="false" outlineLevel="0" collapsed="false">
      <c r="A327" s="11" t="s">
        <v>449</v>
      </c>
      <c r="B327" s="11" t="s">
        <v>9</v>
      </c>
      <c r="C327" s="11" t="n">
        <v>2025</v>
      </c>
      <c r="D327" s="11" t="n">
        <v>9</v>
      </c>
      <c r="E327" s="11" t="s">
        <v>123</v>
      </c>
      <c r="F327" s="11" t="s">
        <v>199</v>
      </c>
      <c r="G327" s="11" t="n">
        <v>12</v>
      </c>
      <c r="H327" s="12" t="s">
        <v>494</v>
      </c>
    </row>
    <row r="328" customFormat="false" ht="15" hidden="false" customHeight="false" outlineLevel="0" collapsed="false">
      <c r="A328" s="11" t="s">
        <v>449</v>
      </c>
      <c r="B328" s="11" t="s">
        <v>9</v>
      </c>
      <c r="C328" s="11" t="n">
        <v>2025</v>
      </c>
      <c r="D328" s="11" t="n">
        <v>10</v>
      </c>
      <c r="E328" s="11" t="s">
        <v>126</v>
      </c>
      <c r="F328" s="11" t="s">
        <v>201</v>
      </c>
      <c r="G328" s="11" t="n">
        <v>16</v>
      </c>
      <c r="H328" s="12" t="s">
        <v>495</v>
      </c>
    </row>
    <row r="329" customFormat="false" ht="15" hidden="false" customHeight="false" outlineLevel="0" collapsed="false">
      <c r="A329" s="11" t="s">
        <v>449</v>
      </c>
      <c r="B329" s="11" t="s">
        <v>9</v>
      </c>
      <c r="C329" s="11" t="n">
        <v>2025</v>
      </c>
      <c r="D329" s="11" t="n">
        <v>11</v>
      </c>
      <c r="E329" s="11" t="s">
        <v>129</v>
      </c>
      <c r="F329" s="11" t="s">
        <v>203</v>
      </c>
      <c r="G329" s="11" t="n">
        <v>12</v>
      </c>
      <c r="H329" s="12" t="s">
        <v>496</v>
      </c>
    </row>
    <row r="330" customFormat="false" ht="15" hidden="false" customHeight="false" outlineLevel="0" collapsed="false">
      <c r="A330" s="11" t="s">
        <v>449</v>
      </c>
      <c r="B330" s="11" t="s">
        <v>9</v>
      </c>
      <c r="C330" s="11" t="n">
        <v>2025</v>
      </c>
      <c r="D330" s="11" t="n">
        <v>12</v>
      </c>
      <c r="E330" s="11" t="s">
        <v>132</v>
      </c>
      <c r="F330" s="11" t="s">
        <v>205</v>
      </c>
      <c r="G330" s="11" t="n">
        <v>12</v>
      </c>
      <c r="H330" s="12" t="s">
        <v>497</v>
      </c>
    </row>
    <row r="331" customFormat="false" ht="15" hidden="false" customHeight="false" outlineLevel="0" collapsed="false">
      <c r="A331" s="11" t="s">
        <v>449</v>
      </c>
      <c r="B331" s="11" t="s">
        <v>9</v>
      </c>
      <c r="C331" s="11" t="n">
        <v>2026</v>
      </c>
      <c r="D331" s="11" t="n">
        <v>1</v>
      </c>
      <c r="E331" s="11" t="s">
        <v>99</v>
      </c>
      <c r="F331" s="11" t="s">
        <v>207</v>
      </c>
      <c r="G331" s="11" t="n">
        <v>12</v>
      </c>
      <c r="H331" s="12" t="s">
        <v>498</v>
      </c>
    </row>
    <row r="332" customFormat="false" ht="15" hidden="false" customHeight="false" outlineLevel="0" collapsed="false">
      <c r="A332" s="11" t="s">
        <v>449</v>
      </c>
      <c r="B332" s="11" t="s">
        <v>9</v>
      </c>
      <c r="C332" s="11" t="n">
        <v>2026</v>
      </c>
      <c r="D332" s="11" t="n">
        <v>2</v>
      </c>
      <c r="E332" s="11" t="s">
        <v>102</v>
      </c>
      <c r="F332" s="11" t="s">
        <v>209</v>
      </c>
      <c r="G332" s="11" t="n">
        <v>12</v>
      </c>
      <c r="H332" s="12" t="s">
        <v>499</v>
      </c>
    </row>
    <row r="333" customFormat="false" ht="15" hidden="false" customHeight="false" outlineLevel="0" collapsed="false">
      <c r="A333" s="11" t="s">
        <v>449</v>
      </c>
      <c r="B333" s="11" t="s">
        <v>9</v>
      </c>
      <c r="C333" s="11" t="n">
        <v>2026</v>
      </c>
      <c r="D333" s="11" t="n">
        <v>3</v>
      </c>
      <c r="E333" s="11" t="s">
        <v>105</v>
      </c>
      <c r="F333" s="11" t="s">
        <v>211</v>
      </c>
      <c r="G333" s="11" t="n">
        <v>12</v>
      </c>
      <c r="H333" s="12" t="s">
        <v>500</v>
      </c>
    </row>
    <row r="334" customFormat="false" ht="15" hidden="false" customHeight="false" outlineLevel="0" collapsed="false">
      <c r="A334" s="11" t="s">
        <v>449</v>
      </c>
      <c r="B334" s="11" t="s">
        <v>9</v>
      </c>
      <c r="C334" s="11" t="n">
        <v>2026</v>
      </c>
      <c r="D334" s="11" t="n">
        <v>4</v>
      </c>
      <c r="E334" s="11" t="s">
        <v>108</v>
      </c>
      <c r="F334" s="11" t="s">
        <v>213</v>
      </c>
      <c r="G334" s="11" t="n">
        <v>20</v>
      </c>
      <c r="H334" s="12" t="s">
        <v>501</v>
      </c>
    </row>
    <row r="335" customFormat="false" ht="15" hidden="false" customHeight="false" outlineLevel="0" collapsed="false">
      <c r="A335" s="11" t="s">
        <v>449</v>
      </c>
      <c r="B335" s="11" t="s">
        <v>9</v>
      </c>
      <c r="C335" s="11" t="n">
        <v>2026</v>
      </c>
      <c r="D335" s="11" t="n">
        <v>5</v>
      </c>
      <c r="E335" s="11" t="s">
        <v>111</v>
      </c>
      <c r="F335" s="11" t="s">
        <v>215</v>
      </c>
      <c r="G335" s="11" t="n">
        <v>12</v>
      </c>
      <c r="H335" s="12" t="s">
        <v>502</v>
      </c>
    </row>
    <row r="336" customFormat="false" ht="15" hidden="false" customHeight="false" outlineLevel="0" collapsed="false">
      <c r="A336" s="11" t="s">
        <v>503</v>
      </c>
      <c r="B336" s="11" t="s">
        <v>10</v>
      </c>
      <c r="C336" s="11" t="n">
        <v>2022</v>
      </c>
      <c r="D336" s="11" t="n">
        <v>3</v>
      </c>
      <c r="E336" s="11" t="s">
        <v>105</v>
      </c>
      <c r="F336" s="11" t="s">
        <v>106</v>
      </c>
      <c r="G336" s="11" t="n">
        <v>12</v>
      </c>
      <c r="H336" s="12" t="s">
        <v>504</v>
      </c>
    </row>
    <row r="337" customFormat="false" ht="15" hidden="false" customHeight="false" outlineLevel="0" collapsed="false">
      <c r="A337" s="11" t="s">
        <v>503</v>
      </c>
      <c r="B337" s="11" t="s">
        <v>10</v>
      </c>
      <c r="C337" s="11" t="n">
        <v>2022</v>
      </c>
      <c r="D337" s="11" t="n">
        <v>4</v>
      </c>
      <c r="E337" s="11" t="s">
        <v>108</v>
      </c>
      <c r="F337" s="11" t="s">
        <v>109</v>
      </c>
      <c r="G337" s="11" t="n">
        <v>16</v>
      </c>
      <c r="H337" s="12" t="s">
        <v>505</v>
      </c>
    </row>
    <row r="338" customFormat="false" ht="15" hidden="false" customHeight="false" outlineLevel="0" collapsed="false">
      <c r="A338" s="11" t="s">
        <v>503</v>
      </c>
      <c r="B338" s="11" t="s">
        <v>10</v>
      </c>
      <c r="C338" s="11" t="n">
        <v>2022</v>
      </c>
      <c r="D338" s="11" t="n">
        <v>5</v>
      </c>
      <c r="E338" s="11" t="s">
        <v>111</v>
      </c>
      <c r="F338" s="11" t="s">
        <v>112</v>
      </c>
      <c r="G338" s="11" t="n">
        <v>12</v>
      </c>
      <c r="H338" s="12" t="s">
        <v>506</v>
      </c>
    </row>
    <row r="339" customFormat="false" ht="15" hidden="false" customHeight="false" outlineLevel="0" collapsed="false">
      <c r="A339" s="11" t="s">
        <v>503</v>
      </c>
      <c r="B339" s="11" t="s">
        <v>10</v>
      </c>
      <c r="C339" s="11" t="n">
        <v>2022</v>
      </c>
      <c r="D339" s="11" t="n">
        <v>6</v>
      </c>
      <c r="E339" s="11" t="s">
        <v>114</v>
      </c>
      <c r="F339" s="11" t="s">
        <v>115</v>
      </c>
      <c r="G339" s="11" t="n">
        <v>16</v>
      </c>
      <c r="H339" s="12" t="s">
        <v>507</v>
      </c>
    </row>
    <row r="340" customFormat="false" ht="15" hidden="false" customHeight="false" outlineLevel="0" collapsed="false">
      <c r="A340" s="11" t="s">
        <v>503</v>
      </c>
      <c r="B340" s="11" t="s">
        <v>10</v>
      </c>
      <c r="C340" s="11" t="n">
        <v>2022</v>
      </c>
      <c r="D340" s="11" t="n">
        <v>7</v>
      </c>
      <c r="E340" s="11" t="s">
        <v>117</v>
      </c>
      <c r="F340" s="11" t="s">
        <v>118</v>
      </c>
      <c r="G340" s="11" t="n">
        <v>12</v>
      </c>
      <c r="H340" s="12" t="s">
        <v>508</v>
      </c>
    </row>
    <row r="341" customFormat="false" ht="15" hidden="false" customHeight="false" outlineLevel="0" collapsed="false">
      <c r="A341" s="11" t="s">
        <v>503</v>
      </c>
      <c r="B341" s="11" t="s">
        <v>10</v>
      </c>
      <c r="C341" s="11" t="n">
        <v>2022</v>
      </c>
      <c r="D341" s="11" t="n">
        <v>8</v>
      </c>
      <c r="E341" s="11" t="s">
        <v>120</v>
      </c>
      <c r="F341" s="11" t="s">
        <v>121</v>
      </c>
      <c r="G341" s="11" t="n">
        <v>12</v>
      </c>
      <c r="H341" s="12" t="s">
        <v>509</v>
      </c>
    </row>
    <row r="342" customFormat="false" ht="15" hidden="false" customHeight="false" outlineLevel="0" collapsed="false">
      <c r="A342" s="11" t="s">
        <v>503</v>
      </c>
      <c r="B342" s="11" t="s">
        <v>10</v>
      </c>
      <c r="C342" s="11" t="n">
        <v>2022</v>
      </c>
      <c r="D342" s="11" t="n">
        <v>9</v>
      </c>
      <c r="E342" s="11" t="s">
        <v>123</v>
      </c>
      <c r="F342" s="11" t="s">
        <v>124</v>
      </c>
      <c r="G342" s="11" t="n">
        <v>12</v>
      </c>
      <c r="H342" s="12" t="s">
        <v>510</v>
      </c>
    </row>
    <row r="343" customFormat="false" ht="15" hidden="false" customHeight="false" outlineLevel="0" collapsed="false">
      <c r="A343" s="11" t="s">
        <v>503</v>
      </c>
      <c r="B343" s="11" t="s">
        <v>10</v>
      </c>
      <c r="C343" s="11" t="n">
        <v>2022</v>
      </c>
      <c r="D343" s="11" t="n">
        <v>10</v>
      </c>
      <c r="E343" s="11" t="s">
        <v>126</v>
      </c>
      <c r="F343" s="11" t="s">
        <v>127</v>
      </c>
      <c r="G343" s="11" t="n">
        <v>12</v>
      </c>
      <c r="H343" s="12" t="s">
        <v>511</v>
      </c>
    </row>
    <row r="344" customFormat="false" ht="15" hidden="false" customHeight="false" outlineLevel="0" collapsed="false">
      <c r="A344" s="11" t="s">
        <v>503</v>
      </c>
      <c r="B344" s="11" t="s">
        <v>10</v>
      </c>
      <c r="C344" s="11" t="n">
        <v>2022</v>
      </c>
      <c r="D344" s="11" t="n">
        <v>11</v>
      </c>
      <c r="E344" s="11" t="s">
        <v>129</v>
      </c>
      <c r="F344" s="11" t="s">
        <v>130</v>
      </c>
      <c r="G344" s="11" t="n">
        <v>12</v>
      </c>
      <c r="H344" s="12" t="s">
        <v>512</v>
      </c>
    </row>
    <row r="345" customFormat="false" ht="15" hidden="false" customHeight="false" outlineLevel="0" collapsed="false">
      <c r="A345" s="11" t="s">
        <v>503</v>
      </c>
      <c r="B345" s="11" t="s">
        <v>10</v>
      </c>
      <c r="C345" s="11" t="n">
        <v>2022</v>
      </c>
      <c r="D345" s="11" t="n">
        <v>12</v>
      </c>
      <c r="E345" s="11" t="s">
        <v>132</v>
      </c>
      <c r="F345" s="11" t="s">
        <v>133</v>
      </c>
      <c r="G345" s="11" t="n">
        <v>16</v>
      </c>
      <c r="H345" s="12" t="s">
        <v>513</v>
      </c>
    </row>
    <row r="346" customFormat="false" ht="15" hidden="false" customHeight="false" outlineLevel="0" collapsed="false">
      <c r="A346" s="11" t="s">
        <v>503</v>
      </c>
      <c r="B346" s="11" t="s">
        <v>10</v>
      </c>
      <c r="C346" s="11" t="n">
        <v>2023</v>
      </c>
      <c r="D346" s="11" t="n">
        <v>1</v>
      </c>
      <c r="E346" s="11" t="s">
        <v>99</v>
      </c>
      <c r="F346" s="11" t="s">
        <v>135</v>
      </c>
      <c r="G346" s="11" t="n">
        <v>12</v>
      </c>
      <c r="H346" s="12" t="s">
        <v>514</v>
      </c>
    </row>
    <row r="347" customFormat="false" ht="15" hidden="false" customHeight="false" outlineLevel="0" collapsed="false">
      <c r="A347" s="11" t="s">
        <v>503</v>
      </c>
      <c r="B347" s="11" t="s">
        <v>10</v>
      </c>
      <c r="C347" s="11" t="n">
        <v>2023</v>
      </c>
      <c r="D347" s="11" t="n">
        <v>2</v>
      </c>
      <c r="E347" s="11" t="s">
        <v>102</v>
      </c>
      <c r="F347" s="11" t="s">
        <v>137</v>
      </c>
      <c r="G347" s="11" t="n">
        <v>8</v>
      </c>
      <c r="H347" s="12" t="s">
        <v>515</v>
      </c>
    </row>
    <row r="348" customFormat="false" ht="15" hidden="false" customHeight="false" outlineLevel="0" collapsed="false">
      <c r="A348" s="11" t="s">
        <v>503</v>
      </c>
      <c r="B348" s="11" t="s">
        <v>10</v>
      </c>
      <c r="C348" s="11" t="n">
        <v>2023</v>
      </c>
      <c r="D348" s="11" t="n">
        <v>3</v>
      </c>
      <c r="E348" s="11" t="s">
        <v>105</v>
      </c>
      <c r="F348" s="11" t="s">
        <v>139</v>
      </c>
      <c r="G348" s="11" t="n">
        <v>8</v>
      </c>
      <c r="H348" s="12" t="s">
        <v>516</v>
      </c>
    </row>
    <row r="349" customFormat="false" ht="15" hidden="false" customHeight="false" outlineLevel="0" collapsed="false">
      <c r="A349" s="11" t="s">
        <v>503</v>
      </c>
      <c r="B349" s="11" t="s">
        <v>10</v>
      </c>
      <c r="C349" s="11" t="n">
        <v>2023</v>
      </c>
      <c r="D349" s="11" t="n">
        <v>4</v>
      </c>
      <c r="E349" s="11" t="s">
        <v>108</v>
      </c>
      <c r="F349" s="11" t="s">
        <v>141</v>
      </c>
      <c r="G349" s="11" t="n">
        <v>12</v>
      </c>
      <c r="H349" s="12" t="s">
        <v>517</v>
      </c>
    </row>
    <row r="350" customFormat="false" ht="15" hidden="false" customHeight="false" outlineLevel="0" collapsed="false">
      <c r="A350" s="11" t="s">
        <v>503</v>
      </c>
      <c r="B350" s="11" t="s">
        <v>10</v>
      </c>
      <c r="C350" s="11" t="n">
        <v>2023</v>
      </c>
      <c r="D350" s="11" t="n">
        <v>5</v>
      </c>
      <c r="E350" s="11" t="s">
        <v>111</v>
      </c>
      <c r="F350" s="11" t="s">
        <v>143</v>
      </c>
      <c r="G350" s="11" t="n">
        <v>16</v>
      </c>
      <c r="H350" s="12" t="s">
        <v>518</v>
      </c>
    </row>
    <row r="351" customFormat="false" ht="15" hidden="false" customHeight="false" outlineLevel="0" collapsed="false">
      <c r="A351" s="11" t="s">
        <v>503</v>
      </c>
      <c r="B351" s="11" t="s">
        <v>10</v>
      </c>
      <c r="C351" s="11" t="n">
        <v>2023</v>
      </c>
      <c r="D351" s="11" t="n">
        <v>6</v>
      </c>
      <c r="E351" s="11" t="s">
        <v>114</v>
      </c>
      <c r="F351" s="11" t="s">
        <v>145</v>
      </c>
      <c r="G351" s="11" t="n">
        <v>16</v>
      </c>
      <c r="H351" s="12" t="s">
        <v>519</v>
      </c>
    </row>
    <row r="352" customFormat="false" ht="15" hidden="false" customHeight="false" outlineLevel="0" collapsed="false">
      <c r="A352" s="11" t="s">
        <v>503</v>
      </c>
      <c r="B352" s="11" t="s">
        <v>10</v>
      </c>
      <c r="C352" s="11" t="n">
        <v>2023</v>
      </c>
      <c r="D352" s="11" t="n">
        <v>7</v>
      </c>
      <c r="E352" s="11" t="s">
        <v>117</v>
      </c>
      <c r="F352" s="11" t="s">
        <v>147</v>
      </c>
      <c r="G352" s="11" t="n">
        <v>16</v>
      </c>
      <c r="H352" s="12" t="s">
        <v>520</v>
      </c>
    </row>
    <row r="353" customFormat="false" ht="15" hidden="false" customHeight="false" outlineLevel="0" collapsed="false">
      <c r="A353" s="11" t="s">
        <v>503</v>
      </c>
      <c r="B353" s="11" t="s">
        <v>10</v>
      </c>
      <c r="C353" s="11" t="n">
        <v>2023</v>
      </c>
      <c r="D353" s="11" t="n">
        <v>8</v>
      </c>
      <c r="E353" s="11" t="s">
        <v>120</v>
      </c>
      <c r="F353" s="11" t="s">
        <v>149</v>
      </c>
      <c r="G353" s="11" t="n">
        <v>12</v>
      </c>
      <c r="H353" s="12" t="s">
        <v>521</v>
      </c>
    </row>
    <row r="354" customFormat="false" ht="15" hidden="false" customHeight="false" outlineLevel="0" collapsed="false">
      <c r="A354" s="11" t="s">
        <v>503</v>
      </c>
      <c r="B354" s="11" t="s">
        <v>10</v>
      </c>
      <c r="C354" s="11" t="n">
        <v>2023</v>
      </c>
      <c r="D354" s="11" t="n">
        <v>9</v>
      </c>
      <c r="E354" s="11" t="s">
        <v>123</v>
      </c>
      <c r="F354" s="11" t="s">
        <v>151</v>
      </c>
      <c r="G354" s="11" t="n">
        <v>16</v>
      </c>
      <c r="H354" s="12" t="s">
        <v>522</v>
      </c>
    </row>
    <row r="355" customFormat="false" ht="15" hidden="false" customHeight="false" outlineLevel="0" collapsed="false">
      <c r="A355" s="11" t="s">
        <v>503</v>
      </c>
      <c r="B355" s="11" t="s">
        <v>10</v>
      </c>
      <c r="C355" s="11" t="n">
        <v>2023</v>
      </c>
      <c r="D355" s="11" t="n">
        <v>10</v>
      </c>
      <c r="E355" s="11" t="s">
        <v>126</v>
      </c>
      <c r="F355" s="11" t="s">
        <v>153</v>
      </c>
      <c r="G355" s="11" t="n">
        <v>16</v>
      </c>
      <c r="H355" s="12" t="s">
        <v>523</v>
      </c>
    </row>
    <row r="356" customFormat="false" ht="15" hidden="false" customHeight="false" outlineLevel="0" collapsed="false">
      <c r="A356" s="11" t="s">
        <v>503</v>
      </c>
      <c r="B356" s="11" t="s">
        <v>10</v>
      </c>
      <c r="C356" s="11" t="n">
        <v>2023</v>
      </c>
      <c r="D356" s="11" t="n">
        <v>11</v>
      </c>
      <c r="E356" s="11" t="s">
        <v>129</v>
      </c>
      <c r="F356" s="11" t="s">
        <v>155</v>
      </c>
      <c r="G356" s="11" t="n">
        <v>16</v>
      </c>
      <c r="H356" s="12" t="s">
        <v>524</v>
      </c>
    </row>
    <row r="357" customFormat="false" ht="15" hidden="false" customHeight="false" outlineLevel="0" collapsed="false">
      <c r="A357" s="11" t="s">
        <v>503</v>
      </c>
      <c r="B357" s="11" t="s">
        <v>10</v>
      </c>
      <c r="C357" s="11" t="n">
        <v>2023</v>
      </c>
      <c r="D357" s="11" t="n">
        <v>12</v>
      </c>
      <c r="E357" s="11" t="s">
        <v>132</v>
      </c>
      <c r="F357" s="11" t="s">
        <v>157</v>
      </c>
      <c r="G357" s="11" t="n">
        <v>16</v>
      </c>
      <c r="H357" s="12" t="s">
        <v>525</v>
      </c>
    </row>
    <row r="358" customFormat="false" ht="15" hidden="false" customHeight="false" outlineLevel="0" collapsed="false">
      <c r="A358" s="11" t="s">
        <v>503</v>
      </c>
      <c r="B358" s="11" t="s">
        <v>10</v>
      </c>
      <c r="C358" s="11" t="n">
        <v>2024</v>
      </c>
      <c r="D358" s="11" t="n">
        <v>1</v>
      </c>
      <c r="E358" s="11" t="s">
        <v>99</v>
      </c>
      <c r="F358" s="11" t="s">
        <v>159</v>
      </c>
      <c r="G358" s="11" t="n">
        <v>12</v>
      </c>
      <c r="H358" s="12" t="s">
        <v>526</v>
      </c>
    </row>
    <row r="359" customFormat="false" ht="15" hidden="false" customHeight="false" outlineLevel="0" collapsed="false">
      <c r="A359" s="11" t="s">
        <v>503</v>
      </c>
      <c r="B359" s="11" t="s">
        <v>10</v>
      </c>
      <c r="C359" s="11" t="n">
        <v>2024</v>
      </c>
      <c r="D359" s="11" t="n">
        <v>2</v>
      </c>
      <c r="E359" s="11" t="s">
        <v>102</v>
      </c>
      <c r="F359" s="11" t="s">
        <v>161</v>
      </c>
      <c r="G359" s="11" t="n">
        <v>12</v>
      </c>
      <c r="H359" s="12" t="s">
        <v>527</v>
      </c>
    </row>
    <row r="360" customFormat="false" ht="15" hidden="false" customHeight="false" outlineLevel="0" collapsed="false">
      <c r="A360" s="11" t="s">
        <v>503</v>
      </c>
      <c r="B360" s="11" t="s">
        <v>10</v>
      </c>
      <c r="C360" s="11" t="n">
        <v>2024</v>
      </c>
      <c r="D360" s="11" t="n">
        <v>3</v>
      </c>
      <c r="E360" s="11" t="s">
        <v>105</v>
      </c>
      <c r="F360" s="11" t="s">
        <v>163</v>
      </c>
      <c r="G360" s="11" t="n">
        <v>12</v>
      </c>
      <c r="H360" s="12" t="s">
        <v>528</v>
      </c>
    </row>
    <row r="361" customFormat="false" ht="15" hidden="false" customHeight="false" outlineLevel="0" collapsed="false">
      <c r="A361" s="11" t="s">
        <v>503</v>
      </c>
      <c r="B361" s="11" t="s">
        <v>10</v>
      </c>
      <c r="C361" s="11" t="n">
        <v>2024</v>
      </c>
      <c r="D361" s="11" t="n">
        <v>4</v>
      </c>
      <c r="E361" s="11" t="s">
        <v>108</v>
      </c>
      <c r="F361" s="11" t="s">
        <v>165</v>
      </c>
      <c r="G361" s="11" t="n">
        <v>12</v>
      </c>
      <c r="H361" s="12" t="s">
        <v>529</v>
      </c>
    </row>
    <row r="362" customFormat="false" ht="15" hidden="false" customHeight="false" outlineLevel="0" collapsed="false">
      <c r="A362" s="11" t="s">
        <v>503</v>
      </c>
      <c r="B362" s="11" t="s">
        <v>10</v>
      </c>
      <c r="C362" s="11" t="n">
        <v>2024</v>
      </c>
      <c r="D362" s="11" t="n">
        <v>5</v>
      </c>
      <c r="E362" s="11" t="s">
        <v>111</v>
      </c>
      <c r="F362" s="11" t="s">
        <v>167</v>
      </c>
      <c r="G362" s="11" t="n">
        <v>16</v>
      </c>
      <c r="H362" s="12" t="s">
        <v>530</v>
      </c>
    </row>
    <row r="363" customFormat="false" ht="15" hidden="false" customHeight="false" outlineLevel="0" collapsed="false">
      <c r="A363" s="11" t="s">
        <v>503</v>
      </c>
      <c r="B363" s="11" t="s">
        <v>10</v>
      </c>
      <c r="C363" s="11" t="n">
        <v>2024</v>
      </c>
      <c r="D363" s="11" t="n">
        <v>6</v>
      </c>
      <c r="E363" s="11" t="s">
        <v>114</v>
      </c>
      <c r="F363" s="11" t="s">
        <v>169</v>
      </c>
      <c r="G363" s="11" t="n">
        <v>16</v>
      </c>
      <c r="H363" s="12" t="s">
        <v>531</v>
      </c>
    </row>
    <row r="364" customFormat="false" ht="15" hidden="false" customHeight="false" outlineLevel="0" collapsed="false">
      <c r="A364" s="11" t="s">
        <v>503</v>
      </c>
      <c r="B364" s="11" t="s">
        <v>10</v>
      </c>
      <c r="C364" s="11" t="n">
        <v>2024</v>
      </c>
      <c r="D364" s="11" t="n">
        <v>7</v>
      </c>
      <c r="E364" s="11" t="s">
        <v>117</v>
      </c>
      <c r="F364" s="11" t="s">
        <v>171</v>
      </c>
      <c r="G364" s="11" t="n">
        <v>12</v>
      </c>
      <c r="H364" s="12" t="s">
        <v>532</v>
      </c>
    </row>
    <row r="365" customFormat="false" ht="15" hidden="false" customHeight="false" outlineLevel="0" collapsed="false">
      <c r="A365" s="11" t="s">
        <v>503</v>
      </c>
      <c r="B365" s="11" t="s">
        <v>10</v>
      </c>
      <c r="C365" s="11" t="n">
        <v>2024</v>
      </c>
      <c r="D365" s="11" t="n">
        <v>8</v>
      </c>
      <c r="E365" s="11" t="s">
        <v>120</v>
      </c>
      <c r="F365" s="11" t="s">
        <v>173</v>
      </c>
      <c r="G365" s="11" t="n">
        <v>8</v>
      </c>
      <c r="H365" s="12" t="s">
        <v>533</v>
      </c>
    </row>
    <row r="366" customFormat="false" ht="15" hidden="false" customHeight="false" outlineLevel="0" collapsed="false">
      <c r="A366" s="11" t="s">
        <v>503</v>
      </c>
      <c r="B366" s="11" t="s">
        <v>10</v>
      </c>
      <c r="C366" s="11" t="n">
        <v>2024</v>
      </c>
      <c r="D366" s="11" t="n">
        <v>9</v>
      </c>
      <c r="E366" s="11" t="s">
        <v>123</v>
      </c>
      <c r="F366" s="11" t="s">
        <v>175</v>
      </c>
      <c r="G366" s="11" t="n">
        <v>12</v>
      </c>
      <c r="H366" s="12" t="s">
        <v>534</v>
      </c>
    </row>
    <row r="367" customFormat="false" ht="15" hidden="false" customHeight="false" outlineLevel="0" collapsed="false">
      <c r="A367" s="11" t="s">
        <v>503</v>
      </c>
      <c r="B367" s="11" t="s">
        <v>10</v>
      </c>
      <c r="C367" s="11" t="n">
        <v>2024</v>
      </c>
      <c r="D367" s="11" t="n">
        <v>10</v>
      </c>
      <c r="E367" s="11" t="s">
        <v>126</v>
      </c>
      <c r="F367" s="11" t="s">
        <v>177</v>
      </c>
      <c r="G367" s="11" t="n">
        <v>16</v>
      </c>
      <c r="H367" s="12" t="s">
        <v>535</v>
      </c>
    </row>
    <row r="368" customFormat="false" ht="15" hidden="false" customHeight="false" outlineLevel="0" collapsed="false">
      <c r="A368" s="11" t="s">
        <v>503</v>
      </c>
      <c r="B368" s="11" t="s">
        <v>10</v>
      </c>
      <c r="C368" s="11" t="n">
        <v>2024</v>
      </c>
      <c r="D368" s="11" t="n">
        <v>11</v>
      </c>
      <c r="E368" s="11" t="s">
        <v>129</v>
      </c>
      <c r="F368" s="11" t="s">
        <v>179</v>
      </c>
      <c r="G368" s="11" t="n">
        <v>16</v>
      </c>
      <c r="H368" s="12" t="s">
        <v>536</v>
      </c>
    </row>
    <row r="369" customFormat="false" ht="15" hidden="false" customHeight="false" outlineLevel="0" collapsed="false">
      <c r="A369" s="11" t="s">
        <v>503</v>
      </c>
      <c r="B369" s="11" t="s">
        <v>10</v>
      </c>
      <c r="C369" s="11" t="n">
        <v>2024</v>
      </c>
      <c r="D369" s="11" t="n">
        <v>12</v>
      </c>
      <c r="E369" s="11" t="s">
        <v>132</v>
      </c>
      <c r="F369" s="11" t="s">
        <v>181</v>
      </c>
      <c r="G369" s="11" t="n">
        <v>16</v>
      </c>
      <c r="H369" s="12" t="s">
        <v>537</v>
      </c>
    </row>
    <row r="370" customFormat="false" ht="15" hidden="false" customHeight="false" outlineLevel="0" collapsed="false">
      <c r="A370" s="11" t="s">
        <v>503</v>
      </c>
      <c r="B370" s="11" t="s">
        <v>10</v>
      </c>
      <c r="C370" s="11" t="n">
        <v>2025</v>
      </c>
      <c r="D370" s="11" t="n">
        <v>1</v>
      </c>
      <c r="E370" s="11" t="s">
        <v>99</v>
      </c>
      <c r="F370" s="11" t="s">
        <v>183</v>
      </c>
      <c r="G370" s="11" t="n">
        <v>12</v>
      </c>
      <c r="H370" s="12" t="s">
        <v>538</v>
      </c>
    </row>
    <row r="371" customFormat="false" ht="15" hidden="false" customHeight="false" outlineLevel="0" collapsed="false">
      <c r="A371" s="11" t="s">
        <v>503</v>
      </c>
      <c r="B371" s="11" t="s">
        <v>10</v>
      </c>
      <c r="C371" s="11" t="n">
        <v>2025</v>
      </c>
      <c r="D371" s="11" t="n">
        <v>2</v>
      </c>
      <c r="E371" s="11" t="s">
        <v>102</v>
      </c>
      <c r="F371" s="11" t="s">
        <v>185</v>
      </c>
      <c r="G371" s="11" t="n">
        <v>12</v>
      </c>
      <c r="H371" s="12" t="s">
        <v>539</v>
      </c>
    </row>
    <row r="372" customFormat="false" ht="15" hidden="false" customHeight="false" outlineLevel="0" collapsed="false">
      <c r="A372" s="11" t="s">
        <v>503</v>
      </c>
      <c r="B372" s="11" t="s">
        <v>10</v>
      </c>
      <c r="C372" s="11" t="n">
        <v>2025</v>
      </c>
      <c r="D372" s="11" t="n">
        <v>3</v>
      </c>
      <c r="E372" s="11" t="s">
        <v>105</v>
      </c>
      <c r="F372" s="11" t="s">
        <v>187</v>
      </c>
      <c r="G372" s="11" t="n">
        <v>12</v>
      </c>
      <c r="H372" s="12" t="s">
        <v>540</v>
      </c>
    </row>
    <row r="373" customFormat="false" ht="15" hidden="false" customHeight="false" outlineLevel="0" collapsed="false">
      <c r="A373" s="11" t="s">
        <v>503</v>
      </c>
      <c r="B373" s="11" t="s">
        <v>10</v>
      </c>
      <c r="C373" s="11" t="n">
        <v>2025</v>
      </c>
      <c r="D373" s="11" t="n">
        <v>4</v>
      </c>
      <c r="E373" s="11" t="s">
        <v>108</v>
      </c>
      <c r="F373" s="11" t="s">
        <v>189</v>
      </c>
      <c r="G373" s="11" t="n">
        <v>16</v>
      </c>
      <c r="H373" s="12" t="s">
        <v>541</v>
      </c>
    </row>
    <row r="374" customFormat="false" ht="15" hidden="false" customHeight="false" outlineLevel="0" collapsed="false">
      <c r="A374" s="11" t="s">
        <v>503</v>
      </c>
      <c r="B374" s="11" t="s">
        <v>10</v>
      </c>
      <c r="C374" s="11" t="n">
        <v>2025</v>
      </c>
      <c r="D374" s="11" t="n">
        <v>5</v>
      </c>
      <c r="E374" s="11" t="s">
        <v>111</v>
      </c>
      <c r="F374" s="11" t="s">
        <v>191</v>
      </c>
      <c r="G374" s="11" t="n">
        <v>20</v>
      </c>
      <c r="H374" s="12" t="s">
        <v>542</v>
      </c>
    </row>
    <row r="375" customFormat="false" ht="15" hidden="false" customHeight="false" outlineLevel="0" collapsed="false">
      <c r="A375" s="11" t="s">
        <v>503</v>
      </c>
      <c r="B375" s="11" t="s">
        <v>10</v>
      </c>
      <c r="C375" s="11" t="n">
        <v>2025</v>
      </c>
      <c r="D375" s="11" t="n">
        <v>6</v>
      </c>
      <c r="E375" s="11" t="s">
        <v>114</v>
      </c>
      <c r="F375" s="11" t="s">
        <v>193</v>
      </c>
      <c r="G375" s="11" t="n">
        <v>20</v>
      </c>
      <c r="H375" s="12" t="s">
        <v>543</v>
      </c>
    </row>
    <row r="376" customFormat="false" ht="15" hidden="false" customHeight="false" outlineLevel="0" collapsed="false">
      <c r="A376" s="11" t="s">
        <v>503</v>
      </c>
      <c r="B376" s="11" t="s">
        <v>10</v>
      </c>
      <c r="C376" s="11" t="n">
        <v>2025</v>
      </c>
      <c r="D376" s="11" t="n">
        <v>7</v>
      </c>
      <c r="E376" s="11" t="s">
        <v>117</v>
      </c>
      <c r="F376" s="11" t="s">
        <v>195</v>
      </c>
      <c r="G376" s="11" t="n">
        <v>20</v>
      </c>
      <c r="H376" s="12" t="s">
        <v>544</v>
      </c>
    </row>
    <row r="377" customFormat="false" ht="15" hidden="false" customHeight="false" outlineLevel="0" collapsed="false">
      <c r="A377" s="11" t="s">
        <v>503</v>
      </c>
      <c r="B377" s="11" t="s">
        <v>10</v>
      </c>
      <c r="C377" s="11" t="n">
        <v>2025</v>
      </c>
      <c r="D377" s="11" t="n">
        <v>8</v>
      </c>
      <c r="E377" s="11" t="s">
        <v>120</v>
      </c>
      <c r="F377" s="11" t="s">
        <v>197</v>
      </c>
      <c r="G377" s="11" t="n">
        <v>16</v>
      </c>
      <c r="H377" s="12" t="s">
        <v>545</v>
      </c>
    </row>
    <row r="378" customFormat="false" ht="15" hidden="false" customHeight="false" outlineLevel="0" collapsed="false">
      <c r="A378" s="11" t="s">
        <v>503</v>
      </c>
      <c r="B378" s="11" t="s">
        <v>10</v>
      </c>
      <c r="C378" s="11" t="n">
        <v>2025</v>
      </c>
      <c r="D378" s="11" t="n">
        <v>10</v>
      </c>
      <c r="E378" s="11" t="s">
        <v>126</v>
      </c>
      <c r="F378" s="11" t="s">
        <v>201</v>
      </c>
      <c r="G378" s="11" t="n">
        <v>16</v>
      </c>
      <c r="H378" s="12" t="s">
        <v>546</v>
      </c>
    </row>
    <row r="379" customFormat="false" ht="15" hidden="false" customHeight="false" outlineLevel="0" collapsed="false">
      <c r="A379" s="11" t="s">
        <v>503</v>
      </c>
      <c r="B379" s="11" t="s">
        <v>10</v>
      </c>
      <c r="C379" s="11" t="n">
        <v>2025</v>
      </c>
      <c r="D379" s="11" t="n">
        <v>11</v>
      </c>
      <c r="E379" s="11" t="s">
        <v>129</v>
      </c>
      <c r="F379" s="11" t="s">
        <v>203</v>
      </c>
      <c r="G379" s="11" t="n">
        <v>16</v>
      </c>
      <c r="H379" s="12" t="s">
        <v>547</v>
      </c>
    </row>
    <row r="380" customFormat="false" ht="15" hidden="false" customHeight="false" outlineLevel="0" collapsed="false">
      <c r="A380" s="11" t="s">
        <v>503</v>
      </c>
      <c r="B380" s="11" t="s">
        <v>10</v>
      </c>
      <c r="C380" s="11" t="n">
        <v>2025</v>
      </c>
      <c r="D380" s="11" t="n">
        <v>12</v>
      </c>
      <c r="E380" s="11" t="s">
        <v>132</v>
      </c>
      <c r="F380" s="11" t="s">
        <v>205</v>
      </c>
      <c r="G380" s="11" t="n">
        <v>12</v>
      </c>
      <c r="H380" s="12" t="s">
        <v>548</v>
      </c>
    </row>
    <row r="381" customFormat="false" ht="15" hidden="false" customHeight="false" outlineLevel="0" collapsed="false">
      <c r="A381" s="11" t="s">
        <v>503</v>
      </c>
      <c r="B381" s="11" t="s">
        <v>10</v>
      </c>
      <c r="C381" s="11" t="n">
        <v>2026</v>
      </c>
      <c r="D381" s="11" t="n">
        <v>1</v>
      </c>
      <c r="E381" s="11" t="s">
        <v>99</v>
      </c>
      <c r="F381" s="11" t="s">
        <v>207</v>
      </c>
      <c r="G381" s="11" t="n">
        <v>12</v>
      </c>
      <c r="H381" s="12" t="s">
        <v>549</v>
      </c>
    </row>
    <row r="382" customFormat="false" ht="15" hidden="false" customHeight="false" outlineLevel="0" collapsed="false">
      <c r="A382" s="11" t="s">
        <v>503</v>
      </c>
      <c r="B382" s="11" t="s">
        <v>10</v>
      </c>
      <c r="C382" s="11" t="n">
        <v>2026</v>
      </c>
      <c r="D382" s="11" t="n">
        <v>2</v>
      </c>
      <c r="E382" s="11" t="s">
        <v>102</v>
      </c>
      <c r="F382" s="11" t="s">
        <v>209</v>
      </c>
      <c r="G382" s="11" t="n">
        <v>12</v>
      </c>
      <c r="H382" s="12" t="s">
        <v>550</v>
      </c>
    </row>
    <row r="383" customFormat="false" ht="15" hidden="false" customHeight="false" outlineLevel="0" collapsed="false">
      <c r="A383" s="11" t="s">
        <v>503</v>
      </c>
      <c r="B383" s="11" t="s">
        <v>10</v>
      </c>
      <c r="C383" s="11" t="n">
        <v>2026</v>
      </c>
      <c r="D383" s="11" t="n">
        <v>3</v>
      </c>
      <c r="E383" s="11" t="s">
        <v>105</v>
      </c>
      <c r="F383" s="11" t="s">
        <v>211</v>
      </c>
      <c r="G383" s="11" t="n">
        <v>16</v>
      </c>
      <c r="H383" s="12" t="s">
        <v>551</v>
      </c>
    </row>
    <row r="384" customFormat="false" ht="15" hidden="false" customHeight="false" outlineLevel="0" collapsed="false">
      <c r="A384" s="11" t="s">
        <v>503</v>
      </c>
      <c r="B384" s="11" t="s">
        <v>10</v>
      </c>
      <c r="C384" s="11" t="n">
        <v>2026</v>
      </c>
      <c r="D384" s="11" t="n">
        <v>4</v>
      </c>
      <c r="E384" s="11" t="s">
        <v>108</v>
      </c>
      <c r="F384" s="11" t="s">
        <v>213</v>
      </c>
      <c r="G384" s="11" t="n">
        <v>16</v>
      </c>
      <c r="H384" s="12" t="s">
        <v>552</v>
      </c>
    </row>
    <row r="385" customFormat="false" ht="15" hidden="false" customHeight="false" outlineLevel="0" collapsed="false">
      <c r="A385" s="11" t="s">
        <v>503</v>
      </c>
      <c r="B385" s="11" t="s">
        <v>10</v>
      </c>
      <c r="C385" s="11" t="n">
        <v>2026</v>
      </c>
      <c r="D385" s="11" t="n">
        <v>5</v>
      </c>
      <c r="E385" s="11" t="s">
        <v>111</v>
      </c>
      <c r="F385" s="11" t="s">
        <v>215</v>
      </c>
      <c r="G385" s="11" t="n">
        <v>16</v>
      </c>
      <c r="H385" s="12" t="s">
        <v>553</v>
      </c>
    </row>
    <row r="386" customFormat="false" ht="15" hidden="false" customHeight="false" outlineLevel="0" collapsed="false">
      <c r="A386" s="11" t="s">
        <v>554</v>
      </c>
      <c r="B386" s="11" t="s">
        <v>11</v>
      </c>
      <c r="C386" s="11" t="n">
        <v>2022</v>
      </c>
      <c r="D386" s="11" t="n">
        <v>1</v>
      </c>
      <c r="E386" s="11" t="s">
        <v>99</v>
      </c>
      <c r="F386" s="11" t="s">
        <v>100</v>
      </c>
      <c r="G386" s="11" t="n">
        <v>8</v>
      </c>
      <c r="H386" s="12" t="s">
        <v>555</v>
      </c>
    </row>
    <row r="387" customFormat="false" ht="15" hidden="false" customHeight="false" outlineLevel="0" collapsed="false">
      <c r="A387" s="11" t="s">
        <v>554</v>
      </c>
      <c r="B387" s="11" t="s">
        <v>11</v>
      </c>
      <c r="C387" s="11" t="n">
        <v>2022</v>
      </c>
      <c r="D387" s="11" t="n">
        <v>2</v>
      </c>
      <c r="E387" s="11" t="s">
        <v>102</v>
      </c>
      <c r="F387" s="11" t="s">
        <v>103</v>
      </c>
      <c r="G387" s="11" t="n">
        <v>8</v>
      </c>
      <c r="H387" s="12" t="s">
        <v>556</v>
      </c>
    </row>
    <row r="388" customFormat="false" ht="15" hidden="false" customHeight="false" outlineLevel="0" collapsed="false">
      <c r="A388" s="11" t="s">
        <v>554</v>
      </c>
      <c r="B388" s="11" t="s">
        <v>11</v>
      </c>
      <c r="C388" s="11" t="n">
        <v>2022</v>
      </c>
      <c r="D388" s="11" t="n">
        <v>3</v>
      </c>
      <c r="E388" s="11" t="s">
        <v>105</v>
      </c>
      <c r="F388" s="11" t="s">
        <v>106</v>
      </c>
      <c r="G388" s="11" t="n">
        <v>12</v>
      </c>
      <c r="H388" s="12" t="s">
        <v>557</v>
      </c>
    </row>
    <row r="389" customFormat="false" ht="15" hidden="false" customHeight="false" outlineLevel="0" collapsed="false">
      <c r="A389" s="11" t="s">
        <v>554</v>
      </c>
      <c r="B389" s="11" t="s">
        <v>11</v>
      </c>
      <c r="C389" s="11" t="n">
        <v>2022</v>
      </c>
      <c r="D389" s="11" t="n">
        <v>4</v>
      </c>
      <c r="E389" s="11" t="s">
        <v>108</v>
      </c>
      <c r="F389" s="11" t="s">
        <v>109</v>
      </c>
      <c r="G389" s="11" t="n">
        <v>20</v>
      </c>
      <c r="H389" s="12" t="s">
        <v>558</v>
      </c>
    </row>
    <row r="390" customFormat="false" ht="15" hidden="false" customHeight="false" outlineLevel="0" collapsed="false">
      <c r="A390" s="11" t="s">
        <v>554</v>
      </c>
      <c r="B390" s="11" t="s">
        <v>11</v>
      </c>
      <c r="C390" s="11" t="n">
        <v>2022</v>
      </c>
      <c r="D390" s="11" t="n">
        <v>5</v>
      </c>
      <c r="E390" s="11" t="s">
        <v>111</v>
      </c>
      <c r="F390" s="11" t="s">
        <v>112</v>
      </c>
      <c r="G390" s="11" t="n">
        <v>12</v>
      </c>
      <c r="H390" s="12" t="s">
        <v>559</v>
      </c>
    </row>
    <row r="391" customFormat="false" ht="15" hidden="false" customHeight="false" outlineLevel="0" collapsed="false">
      <c r="A391" s="11" t="s">
        <v>554</v>
      </c>
      <c r="B391" s="11" t="s">
        <v>11</v>
      </c>
      <c r="C391" s="11" t="n">
        <v>2022</v>
      </c>
      <c r="D391" s="11" t="n">
        <v>6</v>
      </c>
      <c r="E391" s="11" t="s">
        <v>114</v>
      </c>
      <c r="F391" s="11" t="s">
        <v>115</v>
      </c>
      <c r="G391" s="11" t="n">
        <v>12</v>
      </c>
      <c r="H391" s="12" t="s">
        <v>560</v>
      </c>
    </row>
    <row r="392" customFormat="false" ht="15" hidden="false" customHeight="false" outlineLevel="0" collapsed="false">
      <c r="A392" s="11" t="s">
        <v>554</v>
      </c>
      <c r="B392" s="11" t="s">
        <v>11</v>
      </c>
      <c r="C392" s="11" t="n">
        <v>2022</v>
      </c>
      <c r="D392" s="11" t="n">
        <v>7</v>
      </c>
      <c r="E392" s="11" t="s">
        <v>117</v>
      </c>
      <c r="F392" s="11" t="s">
        <v>118</v>
      </c>
      <c r="G392" s="11" t="n">
        <v>12</v>
      </c>
      <c r="H392" s="12" t="s">
        <v>561</v>
      </c>
    </row>
    <row r="393" customFormat="false" ht="15" hidden="false" customHeight="false" outlineLevel="0" collapsed="false">
      <c r="A393" s="11" t="s">
        <v>554</v>
      </c>
      <c r="B393" s="11" t="s">
        <v>11</v>
      </c>
      <c r="C393" s="11" t="n">
        <v>2022</v>
      </c>
      <c r="D393" s="11" t="n">
        <v>8</v>
      </c>
      <c r="E393" s="11" t="s">
        <v>120</v>
      </c>
      <c r="F393" s="11" t="s">
        <v>121</v>
      </c>
      <c r="G393" s="11" t="n">
        <v>12</v>
      </c>
      <c r="H393" s="12" t="s">
        <v>562</v>
      </c>
    </row>
    <row r="394" customFormat="false" ht="15" hidden="false" customHeight="false" outlineLevel="0" collapsed="false">
      <c r="A394" s="11" t="s">
        <v>554</v>
      </c>
      <c r="B394" s="11" t="s">
        <v>11</v>
      </c>
      <c r="C394" s="11" t="n">
        <v>2022</v>
      </c>
      <c r="D394" s="11" t="n">
        <v>9</v>
      </c>
      <c r="E394" s="11" t="s">
        <v>123</v>
      </c>
      <c r="F394" s="11" t="s">
        <v>124</v>
      </c>
      <c r="G394" s="11" t="n">
        <v>12</v>
      </c>
      <c r="H394" s="12" t="s">
        <v>563</v>
      </c>
    </row>
    <row r="395" customFormat="false" ht="15" hidden="false" customHeight="false" outlineLevel="0" collapsed="false">
      <c r="A395" s="11" t="s">
        <v>554</v>
      </c>
      <c r="B395" s="11" t="s">
        <v>11</v>
      </c>
      <c r="C395" s="11" t="n">
        <v>2022</v>
      </c>
      <c r="D395" s="11" t="n">
        <v>10</v>
      </c>
      <c r="E395" s="11" t="s">
        <v>126</v>
      </c>
      <c r="F395" s="11" t="s">
        <v>127</v>
      </c>
      <c r="G395" s="11" t="n">
        <v>16</v>
      </c>
      <c r="H395" s="12" t="s">
        <v>564</v>
      </c>
    </row>
    <row r="396" customFormat="false" ht="15" hidden="false" customHeight="false" outlineLevel="0" collapsed="false">
      <c r="A396" s="11" t="s">
        <v>554</v>
      </c>
      <c r="B396" s="11" t="s">
        <v>11</v>
      </c>
      <c r="C396" s="11" t="n">
        <v>2022</v>
      </c>
      <c r="D396" s="11" t="n">
        <v>11</v>
      </c>
      <c r="E396" s="11" t="s">
        <v>129</v>
      </c>
      <c r="F396" s="11" t="s">
        <v>130</v>
      </c>
      <c r="G396" s="11" t="n">
        <v>12</v>
      </c>
      <c r="H396" s="12" t="s">
        <v>565</v>
      </c>
    </row>
    <row r="397" customFormat="false" ht="15" hidden="false" customHeight="false" outlineLevel="0" collapsed="false">
      <c r="A397" s="11" t="s">
        <v>554</v>
      </c>
      <c r="B397" s="11" t="s">
        <v>11</v>
      </c>
      <c r="C397" s="11" t="n">
        <v>2022</v>
      </c>
      <c r="D397" s="11" t="n">
        <v>12</v>
      </c>
      <c r="E397" s="11" t="s">
        <v>132</v>
      </c>
      <c r="F397" s="11" t="s">
        <v>133</v>
      </c>
      <c r="G397" s="11" t="n">
        <v>16</v>
      </c>
      <c r="H397" s="12" t="s">
        <v>566</v>
      </c>
    </row>
    <row r="398" customFormat="false" ht="15" hidden="false" customHeight="false" outlineLevel="0" collapsed="false">
      <c r="A398" s="11" t="s">
        <v>554</v>
      </c>
      <c r="B398" s="11" t="s">
        <v>11</v>
      </c>
      <c r="C398" s="11" t="n">
        <v>2023</v>
      </c>
      <c r="D398" s="11" t="n">
        <v>1</v>
      </c>
      <c r="E398" s="11" t="s">
        <v>99</v>
      </c>
      <c r="F398" s="11" t="s">
        <v>135</v>
      </c>
      <c r="G398" s="11" t="n">
        <v>12</v>
      </c>
      <c r="H398" s="12" t="s">
        <v>567</v>
      </c>
    </row>
    <row r="399" customFormat="false" ht="15" hidden="false" customHeight="false" outlineLevel="0" collapsed="false">
      <c r="A399" s="11" t="s">
        <v>554</v>
      </c>
      <c r="B399" s="11" t="s">
        <v>11</v>
      </c>
      <c r="C399" s="11" t="n">
        <v>2023</v>
      </c>
      <c r="D399" s="11" t="n">
        <v>2</v>
      </c>
      <c r="E399" s="11" t="s">
        <v>102</v>
      </c>
      <c r="F399" s="11" t="s">
        <v>137</v>
      </c>
      <c r="G399" s="11" t="n">
        <v>8</v>
      </c>
      <c r="H399" s="12" t="s">
        <v>568</v>
      </c>
    </row>
    <row r="400" customFormat="false" ht="15" hidden="false" customHeight="false" outlineLevel="0" collapsed="false">
      <c r="A400" s="11" t="s">
        <v>554</v>
      </c>
      <c r="B400" s="11" t="s">
        <v>11</v>
      </c>
      <c r="C400" s="11" t="n">
        <v>2023</v>
      </c>
      <c r="D400" s="11" t="n">
        <v>3</v>
      </c>
      <c r="E400" s="11" t="s">
        <v>105</v>
      </c>
      <c r="F400" s="11" t="s">
        <v>139</v>
      </c>
      <c r="G400" s="11" t="n">
        <v>12</v>
      </c>
      <c r="H400" s="12" t="s">
        <v>569</v>
      </c>
    </row>
    <row r="401" customFormat="false" ht="15" hidden="false" customHeight="false" outlineLevel="0" collapsed="false">
      <c r="A401" s="11" t="s">
        <v>554</v>
      </c>
      <c r="B401" s="11" t="s">
        <v>11</v>
      </c>
      <c r="C401" s="11" t="n">
        <v>2023</v>
      </c>
      <c r="D401" s="11" t="n">
        <v>4</v>
      </c>
      <c r="E401" s="11" t="s">
        <v>108</v>
      </c>
      <c r="F401" s="11" t="s">
        <v>141</v>
      </c>
      <c r="G401" s="11" t="n">
        <v>12</v>
      </c>
      <c r="H401" s="12" t="s">
        <v>570</v>
      </c>
    </row>
    <row r="402" customFormat="false" ht="15" hidden="false" customHeight="false" outlineLevel="0" collapsed="false">
      <c r="A402" s="11" t="s">
        <v>554</v>
      </c>
      <c r="B402" s="11" t="s">
        <v>11</v>
      </c>
      <c r="C402" s="11" t="n">
        <v>2023</v>
      </c>
      <c r="D402" s="11" t="n">
        <v>5</v>
      </c>
      <c r="E402" s="11" t="s">
        <v>111</v>
      </c>
      <c r="F402" s="11" t="s">
        <v>143</v>
      </c>
      <c r="G402" s="11" t="n">
        <v>16</v>
      </c>
      <c r="H402" s="12" t="s">
        <v>571</v>
      </c>
    </row>
    <row r="403" customFormat="false" ht="15" hidden="false" customHeight="false" outlineLevel="0" collapsed="false">
      <c r="A403" s="11" t="s">
        <v>554</v>
      </c>
      <c r="B403" s="11" t="s">
        <v>11</v>
      </c>
      <c r="C403" s="11" t="n">
        <v>2023</v>
      </c>
      <c r="D403" s="11" t="n">
        <v>6</v>
      </c>
      <c r="E403" s="11" t="s">
        <v>114</v>
      </c>
      <c r="F403" s="11" t="s">
        <v>145</v>
      </c>
      <c r="G403" s="11" t="n">
        <v>16</v>
      </c>
      <c r="H403" s="12" t="s">
        <v>572</v>
      </c>
    </row>
    <row r="404" customFormat="false" ht="15" hidden="false" customHeight="false" outlineLevel="0" collapsed="false">
      <c r="A404" s="11" t="s">
        <v>554</v>
      </c>
      <c r="B404" s="11" t="s">
        <v>11</v>
      </c>
      <c r="C404" s="11" t="n">
        <v>2023</v>
      </c>
      <c r="D404" s="11" t="n">
        <v>7</v>
      </c>
      <c r="E404" s="11" t="s">
        <v>117</v>
      </c>
      <c r="F404" s="11" t="s">
        <v>147</v>
      </c>
      <c r="G404" s="11" t="n">
        <v>16</v>
      </c>
      <c r="H404" s="12" t="s">
        <v>573</v>
      </c>
    </row>
    <row r="405" customFormat="false" ht="15" hidden="false" customHeight="false" outlineLevel="0" collapsed="false">
      <c r="A405" s="11" t="s">
        <v>554</v>
      </c>
      <c r="B405" s="11" t="s">
        <v>11</v>
      </c>
      <c r="C405" s="11" t="n">
        <v>2023</v>
      </c>
      <c r="D405" s="11" t="n">
        <v>8</v>
      </c>
      <c r="E405" s="11" t="s">
        <v>120</v>
      </c>
      <c r="F405" s="11" t="s">
        <v>149</v>
      </c>
      <c r="G405" s="11" t="n">
        <v>12</v>
      </c>
      <c r="H405" s="12" t="s">
        <v>574</v>
      </c>
    </row>
    <row r="406" customFormat="false" ht="15" hidden="false" customHeight="false" outlineLevel="0" collapsed="false">
      <c r="A406" s="11" t="s">
        <v>554</v>
      </c>
      <c r="B406" s="11" t="s">
        <v>11</v>
      </c>
      <c r="C406" s="11" t="n">
        <v>2023</v>
      </c>
      <c r="D406" s="11" t="n">
        <v>9</v>
      </c>
      <c r="E406" s="11" t="s">
        <v>123</v>
      </c>
      <c r="F406" s="11" t="s">
        <v>151</v>
      </c>
      <c r="G406" s="11" t="n">
        <v>12</v>
      </c>
      <c r="H406" s="12" t="s">
        <v>575</v>
      </c>
    </row>
    <row r="407" customFormat="false" ht="15" hidden="false" customHeight="false" outlineLevel="0" collapsed="false">
      <c r="A407" s="11" t="s">
        <v>554</v>
      </c>
      <c r="B407" s="11" t="s">
        <v>11</v>
      </c>
      <c r="C407" s="11" t="n">
        <v>2023</v>
      </c>
      <c r="D407" s="11" t="n">
        <v>10</v>
      </c>
      <c r="E407" s="11" t="s">
        <v>126</v>
      </c>
      <c r="F407" s="11" t="s">
        <v>153</v>
      </c>
      <c r="G407" s="11" t="n">
        <v>12</v>
      </c>
      <c r="H407" s="12" t="s">
        <v>576</v>
      </c>
    </row>
    <row r="408" customFormat="false" ht="15" hidden="false" customHeight="false" outlineLevel="0" collapsed="false">
      <c r="A408" s="11" t="s">
        <v>554</v>
      </c>
      <c r="B408" s="11" t="s">
        <v>11</v>
      </c>
      <c r="C408" s="11" t="n">
        <v>2023</v>
      </c>
      <c r="D408" s="11" t="n">
        <v>11</v>
      </c>
      <c r="E408" s="11" t="s">
        <v>129</v>
      </c>
      <c r="F408" s="11" t="s">
        <v>155</v>
      </c>
      <c r="G408" s="11" t="n">
        <v>16</v>
      </c>
      <c r="H408" s="12" t="s">
        <v>577</v>
      </c>
    </row>
    <row r="409" customFormat="false" ht="15" hidden="false" customHeight="false" outlineLevel="0" collapsed="false">
      <c r="A409" s="11" t="s">
        <v>554</v>
      </c>
      <c r="B409" s="11" t="s">
        <v>11</v>
      </c>
      <c r="C409" s="11" t="n">
        <v>2023</v>
      </c>
      <c r="D409" s="11" t="n">
        <v>12</v>
      </c>
      <c r="E409" s="11" t="s">
        <v>132</v>
      </c>
      <c r="F409" s="11" t="s">
        <v>157</v>
      </c>
      <c r="G409" s="11" t="n">
        <v>12</v>
      </c>
      <c r="H409" s="12" t="s">
        <v>578</v>
      </c>
    </row>
    <row r="410" customFormat="false" ht="15" hidden="false" customHeight="false" outlineLevel="0" collapsed="false">
      <c r="A410" s="11" t="s">
        <v>554</v>
      </c>
      <c r="B410" s="11" t="s">
        <v>11</v>
      </c>
      <c r="C410" s="11" t="n">
        <v>2024</v>
      </c>
      <c r="D410" s="11" t="n">
        <v>1</v>
      </c>
      <c r="E410" s="11" t="s">
        <v>99</v>
      </c>
      <c r="F410" s="11" t="s">
        <v>159</v>
      </c>
      <c r="G410" s="11" t="n">
        <v>12</v>
      </c>
      <c r="H410" s="12" t="s">
        <v>579</v>
      </c>
    </row>
    <row r="411" customFormat="false" ht="15" hidden="false" customHeight="false" outlineLevel="0" collapsed="false">
      <c r="A411" s="11" t="s">
        <v>554</v>
      </c>
      <c r="B411" s="11" t="s">
        <v>11</v>
      </c>
      <c r="C411" s="11" t="n">
        <v>2024</v>
      </c>
      <c r="D411" s="11" t="n">
        <v>2</v>
      </c>
      <c r="E411" s="11" t="s">
        <v>102</v>
      </c>
      <c r="F411" s="11" t="s">
        <v>161</v>
      </c>
      <c r="G411" s="11" t="n">
        <v>12</v>
      </c>
      <c r="H411" s="12" t="s">
        <v>580</v>
      </c>
    </row>
    <row r="412" customFormat="false" ht="15" hidden="false" customHeight="false" outlineLevel="0" collapsed="false">
      <c r="A412" s="11" t="s">
        <v>554</v>
      </c>
      <c r="B412" s="11" t="s">
        <v>11</v>
      </c>
      <c r="C412" s="11" t="n">
        <v>2024</v>
      </c>
      <c r="D412" s="11" t="n">
        <v>3</v>
      </c>
      <c r="E412" s="11" t="s">
        <v>105</v>
      </c>
      <c r="F412" s="11" t="s">
        <v>163</v>
      </c>
      <c r="G412" s="11" t="n">
        <v>12</v>
      </c>
      <c r="H412" s="12" t="s">
        <v>581</v>
      </c>
    </row>
    <row r="413" customFormat="false" ht="15" hidden="false" customHeight="false" outlineLevel="0" collapsed="false">
      <c r="A413" s="11" t="s">
        <v>554</v>
      </c>
      <c r="B413" s="11" t="s">
        <v>11</v>
      </c>
      <c r="C413" s="11" t="n">
        <v>2024</v>
      </c>
      <c r="D413" s="11" t="n">
        <v>4</v>
      </c>
      <c r="E413" s="11" t="s">
        <v>108</v>
      </c>
      <c r="F413" s="11" t="s">
        <v>165</v>
      </c>
      <c r="G413" s="11" t="n">
        <v>12</v>
      </c>
      <c r="H413" s="12" t="s">
        <v>582</v>
      </c>
    </row>
    <row r="414" customFormat="false" ht="15" hidden="false" customHeight="false" outlineLevel="0" collapsed="false">
      <c r="A414" s="11" t="s">
        <v>554</v>
      </c>
      <c r="B414" s="11" t="s">
        <v>11</v>
      </c>
      <c r="C414" s="11" t="n">
        <v>2024</v>
      </c>
      <c r="D414" s="11" t="n">
        <v>5</v>
      </c>
      <c r="E414" s="11" t="s">
        <v>111</v>
      </c>
      <c r="F414" s="11" t="s">
        <v>167</v>
      </c>
      <c r="G414" s="11" t="n">
        <v>16</v>
      </c>
      <c r="H414" s="12" t="s">
        <v>583</v>
      </c>
    </row>
    <row r="415" customFormat="false" ht="15" hidden="false" customHeight="false" outlineLevel="0" collapsed="false">
      <c r="A415" s="11" t="s">
        <v>554</v>
      </c>
      <c r="B415" s="11" t="s">
        <v>11</v>
      </c>
      <c r="C415" s="11" t="n">
        <v>2024</v>
      </c>
      <c r="D415" s="11" t="n">
        <v>6</v>
      </c>
      <c r="E415" s="11" t="s">
        <v>114</v>
      </c>
      <c r="F415" s="11" t="s">
        <v>169</v>
      </c>
      <c r="G415" s="11" t="n">
        <v>16</v>
      </c>
      <c r="H415" s="12" t="s">
        <v>584</v>
      </c>
    </row>
    <row r="416" customFormat="false" ht="15" hidden="false" customHeight="false" outlineLevel="0" collapsed="false">
      <c r="A416" s="11" t="s">
        <v>554</v>
      </c>
      <c r="B416" s="11" t="s">
        <v>11</v>
      </c>
      <c r="C416" s="11" t="n">
        <v>2024</v>
      </c>
      <c r="D416" s="11" t="n">
        <v>7</v>
      </c>
      <c r="E416" s="11" t="s">
        <v>117</v>
      </c>
      <c r="F416" s="11" t="s">
        <v>171</v>
      </c>
      <c r="G416" s="11" t="n">
        <v>12</v>
      </c>
      <c r="H416" s="12" t="s">
        <v>585</v>
      </c>
    </row>
    <row r="417" customFormat="false" ht="15" hidden="false" customHeight="false" outlineLevel="0" collapsed="false">
      <c r="A417" s="11" t="s">
        <v>554</v>
      </c>
      <c r="B417" s="11" t="s">
        <v>11</v>
      </c>
      <c r="C417" s="11" t="n">
        <v>2024</v>
      </c>
      <c r="D417" s="11" t="n">
        <v>8</v>
      </c>
      <c r="E417" s="11" t="s">
        <v>120</v>
      </c>
      <c r="F417" s="11" t="s">
        <v>173</v>
      </c>
      <c r="G417" s="11" t="n">
        <v>8</v>
      </c>
      <c r="H417" s="12" t="s">
        <v>586</v>
      </c>
    </row>
    <row r="418" customFormat="false" ht="15" hidden="false" customHeight="false" outlineLevel="0" collapsed="false">
      <c r="A418" s="11" t="s">
        <v>554</v>
      </c>
      <c r="B418" s="11" t="s">
        <v>11</v>
      </c>
      <c r="C418" s="11" t="n">
        <v>2024</v>
      </c>
      <c r="D418" s="11" t="n">
        <v>9</v>
      </c>
      <c r="E418" s="11" t="s">
        <v>123</v>
      </c>
      <c r="F418" s="11" t="s">
        <v>175</v>
      </c>
      <c r="G418" s="11" t="n">
        <v>12</v>
      </c>
      <c r="H418" s="12" t="s">
        <v>587</v>
      </c>
    </row>
    <row r="419" customFormat="false" ht="15" hidden="false" customHeight="false" outlineLevel="0" collapsed="false">
      <c r="A419" s="11" t="s">
        <v>554</v>
      </c>
      <c r="B419" s="11" t="s">
        <v>11</v>
      </c>
      <c r="C419" s="11" t="n">
        <v>2024</v>
      </c>
      <c r="D419" s="11" t="n">
        <v>10</v>
      </c>
      <c r="E419" s="11" t="s">
        <v>126</v>
      </c>
      <c r="F419" s="11" t="s">
        <v>177</v>
      </c>
      <c r="G419" s="11" t="n">
        <v>12</v>
      </c>
      <c r="H419" s="12" t="s">
        <v>588</v>
      </c>
    </row>
    <row r="420" customFormat="false" ht="15" hidden="false" customHeight="false" outlineLevel="0" collapsed="false">
      <c r="A420" s="11" t="s">
        <v>554</v>
      </c>
      <c r="B420" s="11" t="s">
        <v>11</v>
      </c>
      <c r="C420" s="11" t="n">
        <v>2024</v>
      </c>
      <c r="D420" s="11" t="n">
        <v>11</v>
      </c>
      <c r="E420" s="11" t="s">
        <v>129</v>
      </c>
      <c r="F420" s="11" t="s">
        <v>179</v>
      </c>
      <c r="G420" s="11" t="n">
        <v>12</v>
      </c>
      <c r="H420" s="12" t="s">
        <v>589</v>
      </c>
    </row>
    <row r="421" customFormat="false" ht="15" hidden="false" customHeight="false" outlineLevel="0" collapsed="false">
      <c r="A421" s="11" t="s">
        <v>554</v>
      </c>
      <c r="B421" s="11" t="s">
        <v>11</v>
      </c>
      <c r="C421" s="11" t="n">
        <v>2024</v>
      </c>
      <c r="D421" s="11" t="n">
        <v>12</v>
      </c>
      <c r="E421" s="11" t="s">
        <v>132</v>
      </c>
      <c r="F421" s="11" t="s">
        <v>181</v>
      </c>
      <c r="G421" s="11" t="n">
        <v>12</v>
      </c>
      <c r="H421" s="12" t="s">
        <v>590</v>
      </c>
    </row>
    <row r="422" customFormat="false" ht="15" hidden="false" customHeight="false" outlineLevel="0" collapsed="false">
      <c r="A422" s="11" t="s">
        <v>554</v>
      </c>
      <c r="B422" s="11" t="s">
        <v>11</v>
      </c>
      <c r="C422" s="11" t="n">
        <v>2025</v>
      </c>
      <c r="D422" s="11" t="n">
        <v>1</v>
      </c>
      <c r="E422" s="11" t="s">
        <v>99</v>
      </c>
      <c r="F422" s="11" t="s">
        <v>183</v>
      </c>
      <c r="G422" s="11" t="n">
        <v>8</v>
      </c>
      <c r="H422" s="12" t="s">
        <v>591</v>
      </c>
    </row>
    <row r="423" customFormat="false" ht="15" hidden="false" customHeight="false" outlineLevel="0" collapsed="false">
      <c r="A423" s="11" t="s">
        <v>554</v>
      </c>
      <c r="B423" s="11" t="s">
        <v>11</v>
      </c>
      <c r="C423" s="11" t="n">
        <v>2025</v>
      </c>
      <c r="D423" s="11" t="n">
        <v>2</v>
      </c>
      <c r="E423" s="11" t="s">
        <v>102</v>
      </c>
      <c r="F423" s="11" t="s">
        <v>185</v>
      </c>
      <c r="G423" s="11" t="n">
        <v>12</v>
      </c>
      <c r="H423" s="12" t="s">
        <v>592</v>
      </c>
    </row>
    <row r="424" customFormat="false" ht="15" hidden="false" customHeight="false" outlineLevel="0" collapsed="false">
      <c r="A424" s="11" t="s">
        <v>554</v>
      </c>
      <c r="B424" s="11" t="s">
        <v>11</v>
      </c>
      <c r="C424" s="11" t="n">
        <v>2025</v>
      </c>
      <c r="D424" s="11" t="n">
        <v>3</v>
      </c>
      <c r="E424" s="11" t="s">
        <v>105</v>
      </c>
      <c r="F424" s="11" t="s">
        <v>187</v>
      </c>
      <c r="G424" s="11" t="n">
        <v>8</v>
      </c>
      <c r="H424" s="12" t="s">
        <v>593</v>
      </c>
    </row>
    <row r="425" customFormat="false" ht="15" hidden="false" customHeight="false" outlineLevel="0" collapsed="false">
      <c r="A425" s="11" t="s">
        <v>554</v>
      </c>
      <c r="B425" s="11" t="s">
        <v>11</v>
      </c>
      <c r="C425" s="11" t="n">
        <v>2025</v>
      </c>
      <c r="D425" s="11" t="n">
        <v>4</v>
      </c>
      <c r="E425" s="11" t="s">
        <v>108</v>
      </c>
      <c r="F425" s="11" t="s">
        <v>189</v>
      </c>
      <c r="G425" s="11" t="n">
        <v>12</v>
      </c>
      <c r="H425" s="12" t="s">
        <v>594</v>
      </c>
    </row>
    <row r="426" customFormat="false" ht="15" hidden="false" customHeight="false" outlineLevel="0" collapsed="false">
      <c r="A426" s="11" t="s">
        <v>554</v>
      </c>
      <c r="B426" s="11" t="s">
        <v>11</v>
      </c>
      <c r="C426" s="11" t="n">
        <v>2025</v>
      </c>
      <c r="D426" s="11" t="n">
        <v>5</v>
      </c>
      <c r="E426" s="11" t="s">
        <v>111</v>
      </c>
      <c r="F426" s="11" t="s">
        <v>191</v>
      </c>
      <c r="G426" s="11" t="n">
        <v>12</v>
      </c>
      <c r="H426" s="12" t="s">
        <v>595</v>
      </c>
    </row>
    <row r="427" customFormat="false" ht="15" hidden="false" customHeight="false" outlineLevel="0" collapsed="false">
      <c r="A427" s="11" t="s">
        <v>554</v>
      </c>
      <c r="B427" s="11" t="s">
        <v>11</v>
      </c>
      <c r="C427" s="11" t="n">
        <v>2025</v>
      </c>
      <c r="D427" s="11" t="n">
        <v>6</v>
      </c>
      <c r="E427" s="11" t="s">
        <v>114</v>
      </c>
      <c r="F427" s="11" t="s">
        <v>193</v>
      </c>
      <c r="G427" s="11" t="n">
        <v>12</v>
      </c>
      <c r="H427" s="12" t="s">
        <v>596</v>
      </c>
    </row>
    <row r="428" customFormat="false" ht="15" hidden="false" customHeight="false" outlineLevel="0" collapsed="false">
      <c r="A428" s="11" t="s">
        <v>554</v>
      </c>
      <c r="B428" s="11" t="s">
        <v>11</v>
      </c>
      <c r="C428" s="11" t="n">
        <v>2025</v>
      </c>
      <c r="D428" s="11" t="n">
        <v>7</v>
      </c>
      <c r="E428" s="11" t="s">
        <v>117</v>
      </c>
      <c r="F428" s="11" t="s">
        <v>195</v>
      </c>
      <c r="G428" s="11" t="n">
        <v>12</v>
      </c>
      <c r="H428" s="12" t="s">
        <v>597</v>
      </c>
    </row>
    <row r="429" customFormat="false" ht="15" hidden="false" customHeight="false" outlineLevel="0" collapsed="false">
      <c r="A429" s="11" t="s">
        <v>554</v>
      </c>
      <c r="B429" s="11" t="s">
        <v>11</v>
      </c>
      <c r="C429" s="11" t="n">
        <v>2025</v>
      </c>
      <c r="D429" s="11" t="n">
        <v>8</v>
      </c>
      <c r="E429" s="11" t="s">
        <v>120</v>
      </c>
      <c r="F429" s="11" t="s">
        <v>197</v>
      </c>
      <c r="G429" s="11" t="n">
        <v>12</v>
      </c>
      <c r="H429" s="12" t="s">
        <v>598</v>
      </c>
    </row>
    <row r="430" customFormat="false" ht="15" hidden="false" customHeight="false" outlineLevel="0" collapsed="false">
      <c r="A430" s="11" t="s">
        <v>554</v>
      </c>
      <c r="B430" s="11" t="s">
        <v>11</v>
      </c>
      <c r="C430" s="11" t="n">
        <v>2025</v>
      </c>
      <c r="D430" s="11" t="n">
        <v>9</v>
      </c>
      <c r="E430" s="11" t="s">
        <v>123</v>
      </c>
      <c r="F430" s="11" t="s">
        <v>199</v>
      </c>
      <c r="G430" s="11" t="n">
        <v>12</v>
      </c>
      <c r="H430" s="12" t="s">
        <v>599</v>
      </c>
    </row>
    <row r="431" customFormat="false" ht="15" hidden="false" customHeight="false" outlineLevel="0" collapsed="false">
      <c r="A431" s="11" t="s">
        <v>554</v>
      </c>
      <c r="B431" s="11" t="s">
        <v>11</v>
      </c>
      <c r="C431" s="11" t="n">
        <v>2025</v>
      </c>
      <c r="D431" s="11" t="n">
        <v>10</v>
      </c>
      <c r="E431" s="11" t="s">
        <v>126</v>
      </c>
      <c r="F431" s="11" t="s">
        <v>201</v>
      </c>
      <c r="G431" s="11" t="n">
        <v>12</v>
      </c>
      <c r="H431" s="12" t="s">
        <v>600</v>
      </c>
    </row>
    <row r="432" customFormat="false" ht="15" hidden="false" customHeight="false" outlineLevel="0" collapsed="false">
      <c r="A432" s="11" t="s">
        <v>554</v>
      </c>
      <c r="B432" s="11" t="s">
        <v>11</v>
      </c>
      <c r="C432" s="11" t="n">
        <v>2025</v>
      </c>
      <c r="D432" s="11" t="n">
        <v>11</v>
      </c>
      <c r="E432" s="11" t="s">
        <v>129</v>
      </c>
      <c r="F432" s="11" t="s">
        <v>203</v>
      </c>
      <c r="G432" s="11" t="n">
        <v>12</v>
      </c>
      <c r="H432" s="12" t="s">
        <v>601</v>
      </c>
    </row>
    <row r="433" customFormat="false" ht="15" hidden="false" customHeight="false" outlineLevel="0" collapsed="false">
      <c r="A433" s="11" t="s">
        <v>554</v>
      </c>
      <c r="B433" s="11" t="s">
        <v>11</v>
      </c>
      <c r="C433" s="11" t="n">
        <v>2025</v>
      </c>
      <c r="D433" s="11" t="n">
        <v>12</v>
      </c>
      <c r="E433" s="11" t="s">
        <v>132</v>
      </c>
      <c r="F433" s="11" t="s">
        <v>205</v>
      </c>
      <c r="G433" s="11" t="n">
        <v>12</v>
      </c>
      <c r="H433" s="12" t="s">
        <v>602</v>
      </c>
    </row>
    <row r="434" customFormat="false" ht="15" hidden="false" customHeight="false" outlineLevel="0" collapsed="false">
      <c r="A434" s="11" t="s">
        <v>554</v>
      </c>
      <c r="B434" s="11" t="s">
        <v>11</v>
      </c>
      <c r="C434" s="11" t="n">
        <v>2026</v>
      </c>
      <c r="D434" s="11" t="n">
        <v>1</v>
      </c>
      <c r="E434" s="11" t="s">
        <v>99</v>
      </c>
      <c r="F434" s="11" t="s">
        <v>207</v>
      </c>
      <c r="G434" s="11" t="n">
        <v>8</v>
      </c>
      <c r="H434" s="12" t="s">
        <v>603</v>
      </c>
    </row>
    <row r="435" customFormat="false" ht="15" hidden="false" customHeight="false" outlineLevel="0" collapsed="false">
      <c r="A435" s="11" t="s">
        <v>554</v>
      </c>
      <c r="B435" s="11" t="s">
        <v>11</v>
      </c>
      <c r="C435" s="11" t="n">
        <v>2026</v>
      </c>
      <c r="D435" s="11" t="n">
        <v>2</v>
      </c>
      <c r="E435" s="11" t="s">
        <v>102</v>
      </c>
      <c r="F435" s="11" t="s">
        <v>209</v>
      </c>
      <c r="G435" s="11" t="n">
        <v>8</v>
      </c>
      <c r="H435" s="12" t="s">
        <v>604</v>
      </c>
    </row>
    <row r="436" customFormat="false" ht="15" hidden="false" customHeight="false" outlineLevel="0" collapsed="false">
      <c r="A436" s="11" t="s">
        <v>554</v>
      </c>
      <c r="B436" s="11" t="s">
        <v>11</v>
      </c>
      <c r="C436" s="11" t="n">
        <v>2026</v>
      </c>
      <c r="D436" s="11" t="n">
        <v>3</v>
      </c>
      <c r="E436" s="11" t="s">
        <v>105</v>
      </c>
      <c r="F436" s="11" t="s">
        <v>211</v>
      </c>
      <c r="G436" s="11" t="n">
        <v>8</v>
      </c>
      <c r="H436" s="12" t="s">
        <v>605</v>
      </c>
    </row>
    <row r="437" customFormat="false" ht="15" hidden="false" customHeight="false" outlineLevel="0" collapsed="false">
      <c r="A437" s="11" t="s">
        <v>554</v>
      </c>
      <c r="B437" s="11" t="s">
        <v>11</v>
      </c>
      <c r="C437" s="11" t="n">
        <v>2026</v>
      </c>
      <c r="D437" s="11" t="n">
        <v>4</v>
      </c>
      <c r="E437" s="11" t="s">
        <v>108</v>
      </c>
      <c r="F437" s="11" t="s">
        <v>213</v>
      </c>
      <c r="G437" s="11" t="n">
        <v>12</v>
      </c>
      <c r="H437" s="12" t="s">
        <v>606</v>
      </c>
    </row>
    <row r="438" customFormat="false" ht="15" hidden="false" customHeight="false" outlineLevel="0" collapsed="false">
      <c r="A438" s="11" t="s">
        <v>554</v>
      </c>
      <c r="B438" s="11" t="s">
        <v>11</v>
      </c>
      <c r="C438" s="11" t="n">
        <v>2026</v>
      </c>
      <c r="D438" s="11" t="n">
        <v>5</v>
      </c>
      <c r="E438" s="11" t="s">
        <v>111</v>
      </c>
      <c r="F438" s="11" t="s">
        <v>215</v>
      </c>
      <c r="G438" s="11" t="n">
        <v>8</v>
      </c>
      <c r="H438" s="12" t="s">
        <v>607</v>
      </c>
    </row>
    <row r="439" customFormat="false" ht="15" hidden="false" customHeight="false" outlineLevel="0" collapsed="false">
      <c r="A439" s="11" t="s">
        <v>608</v>
      </c>
      <c r="B439" s="11" t="s">
        <v>12</v>
      </c>
      <c r="C439" s="11" t="n">
        <v>2022</v>
      </c>
      <c r="D439" s="11" t="n">
        <v>1</v>
      </c>
      <c r="E439" s="11" t="s">
        <v>99</v>
      </c>
      <c r="F439" s="11" t="s">
        <v>100</v>
      </c>
      <c r="G439" s="11" t="n">
        <v>8</v>
      </c>
      <c r="H439" s="12" t="s">
        <v>609</v>
      </c>
    </row>
    <row r="440" customFormat="false" ht="15" hidden="false" customHeight="false" outlineLevel="0" collapsed="false">
      <c r="A440" s="11" t="s">
        <v>608</v>
      </c>
      <c r="B440" s="11" t="s">
        <v>12</v>
      </c>
      <c r="C440" s="11" t="n">
        <v>2022</v>
      </c>
      <c r="D440" s="11" t="n">
        <v>2</v>
      </c>
      <c r="E440" s="11" t="s">
        <v>102</v>
      </c>
      <c r="F440" s="11" t="s">
        <v>103</v>
      </c>
      <c r="G440" s="11" t="n">
        <v>8</v>
      </c>
      <c r="H440" s="12" t="s">
        <v>610</v>
      </c>
    </row>
    <row r="441" customFormat="false" ht="15" hidden="false" customHeight="false" outlineLevel="0" collapsed="false">
      <c r="A441" s="11" t="s">
        <v>608</v>
      </c>
      <c r="B441" s="11" t="s">
        <v>12</v>
      </c>
      <c r="C441" s="11" t="n">
        <v>2022</v>
      </c>
      <c r="D441" s="11" t="n">
        <v>3</v>
      </c>
      <c r="E441" s="11" t="s">
        <v>105</v>
      </c>
      <c r="F441" s="11" t="s">
        <v>106</v>
      </c>
      <c r="G441" s="11" t="n">
        <v>12</v>
      </c>
      <c r="H441" s="12" t="s">
        <v>611</v>
      </c>
    </row>
    <row r="442" customFormat="false" ht="15" hidden="false" customHeight="false" outlineLevel="0" collapsed="false">
      <c r="A442" s="11" t="s">
        <v>608</v>
      </c>
      <c r="B442" s="11" t="s">
        <v>12</v>
      </c>
      <c r="C442" s="11" t="n">
        <v>2022</v>
      </c>
      <c r="D442" s="11" t="n">
        <v>4</v>
      </c>
      <c r="E442" s="11" t="s">
        <v>108</v>
      </c>
      <c r="F442" s="11" t="s">
        <v>109</v>
      </c>
      <c r="G442" s="11" t="n">
        <v>16</v>
      </c>
      <c r="H442" s="12" t="s">
        <v>612</v>
      </c>
    </row>
    <row r="443" customFormat="false" ht="15" hidden="false" customHeight="false" outlineLevel="0" collapsed="false">
      <c r="A443" s="11" t="s">
        <v>608</v>
      </c>
      <c r="B443" s="11" t="s">
        <v>12</v>
      </c>
      <c r="C443" s="11" t="n">
        <v>2022</v>
      </c>
      <c r="D443" s="11" t="n">
        <v>5</v>
      </c>
      <c r="E443" s="11" t="s">
        <v>111</v>
      </c>
      <c r="F443" s="11" t="s">
        <v>112</v>
      </c>
      <c r="G443" s="11" t="n">
        <v>16</v>
      </c>
      <c r="H443" s="12" t="s">
        <v>613</v>
      </c>
    </row>
    <row r="444" customFormat="false" ht="15" hidden="false" customHeight="false" outlineLevel="0" collapsed="false">
      <c r="A444" s="11" t="s">
        <v>608</v>
      </c>
      <c r="B444" s="11" t="s">
        <v>12</v>
      </c>
      <c r="C444" s="11" t="n">
        <v>2022</v>
      </c>
      <c r="D444" s="11" t="n">
        <v>6</v>
      </c>
      <c r="E444" s="11" t="s">
        <v>114</v>
      </c>
      <c r="F444" s="11" t="s">
        <v>115</v>
      </c>
      <c r="G444" s="11" t="n">
        <v>16</v>
      </c>
      <c r="H444" s="12" t="s">
        <v>614</v>
      </c>
    </row>
    <row r="445" customFormat="false" ht="15" hidden="false" customHeight="false" outlineLevel="0" collapsed="false">
      <c r="A445" s="11" t="s">
        <v>608</v>
      </c>
      <c r="B445" s="11" t="s">
        <v>12</v>
      </c>
      <c r="C445" s="11" t="n">
        <v>2022</v>
      </c>
      <c r="D445" s="11" t="n">
        <v>7</v>
      </c>
      <c r="E445" s="11" t="s">
        <v>117</v>
      </c>
      <c r="F445" s="11" t="s">
        <v>118</v>
      </c>
      <c r="G445" s="11" t="n">
        <v>12</v>
      </c>
      <c r="H445" s="12" t="s">
        <v>615</v>
      </c>
    </row>
    <row r="446" customFormat="false" ht="15" hidden="false" customHeight="false" outlineLevel="0" collapsed="false">
      <c r="A446" s="11" t="s">
        <v>608</v>
      </c>
      <c r="B446" s="11" t="s">
        <v>12</v>
      </c>
      <c r="C446" s="11" t="n">
        <v>2022</v>
      </c>
      <c r="D446" s="11" t="n">
        <v>8</v>
      </c>
      <c r="E446" s="11" t="s">
        <v>120</v>
      </c>
      <c r="F446" s="11" t="s">
        <v>121</v>
      </c>
      <c r="G446" s="11" t="n">
        <v>12</v>
      </c>
      <c r="H446" s="12" t="s">
        <v>616</v>
      </c>
    </row>
    <row r="447" customFormat="false" ht="15" hidden="false" customHeight="false" outlineLevel="0" collapsed="false">
      <c r="A447" s="11" t="s">
        <v>608</v>
      </c>
      <c r="B447" s="11" t="s">
        <v>12</v>
      </c>
      <c r="C447" s="11" t="n">
        <v>2022</v>
      </c>
      <c r="D447" s="11" t="n">
        <v>9</v>
      </c>
      <c r="E447" s="11" t="s">
        <v>123</v>
      </c>
      <c r="F447" s="11" t="s">
        <v>124</v>
      </c>
      <c r="G447" s="11" t="n">
        <v>16</v>
      </c>
      <c r="H447" s="12" t="s">
        <v>617</v>
      </c>
    </row>
    <row r="448" customFormat="false" ht="15" hidden="false" customHeight="false" outlineLevel="0" collapsed="false">
      <c r="A448" s="11" t="s">
        <v>608</v>
      </c>
      <c r="B448" s="11" t="s">
        <v>12</v>
      </c>
      <c r="C448" s="11" t="n">
        <v>2022</v>
      </c>
      <c r="D448" s="11" t="n">
        <v>10</v>
      </c>
      <c r="E448" s="11" t="s">
        <v>126</v>
      </c>
      <c r="F448" s="11" t="s">
        <v>127</v>
      </c>
      <c r="G448" s="11" t="n">
        <v>16</v>
      </c>
      <c r="H448" s="12" t="s">
        <v>618</v>
      </c>
    </row>
    <row r="449" customFormat="false" ht="15" hidden="false" customHeight="false" outlineLevel="0" collapsed="false">
      <c r="A449" s="11" t="s">
        <v>608</v>
      </c>
      <c r="B449" s="11" t="s">
        <v>12</v>
      </c>
      <c r="C449" s="11" t="n">
        <v>2022</v>
      </c>
      <c r="D449" s="11" t="n">
        <v>11</v>
      </c>
      <c r="E449" s="11" t="s">
        <v>129</v>
      </c>
      <c r="F449" s="11" t="s">
        <v>130</v>
      </c>
      <c r="G449" s="11" t="n">
        <v>12</v>
      </c>
      <c r="H449" s="12" t="s">
        <v>619</v>
      </c>
    </row>
    <row r="450" customFormat="false" ht="15" hidden="false" customHeight="false" outlineLevel="0" collapsed="false">
      <c r="A450" s="11" t="s">
        <v>608</v>
      </c>
      <c r="B450" s="11" t="s">
        <v>12</v>
      </c>
      <c r="C450" s="11" t="n">
        <v>2022</v>
      </c>
      <c r="D450" s="11" t="n">
        <v>12</v>
      </c>
      <c r="E450" s="11" t="s">
        <v>132</v>
      </c>
      <c r="F450" s="11" t="s">
        <v>133</v>
      </c>
      <c r="G450" s="11" t="n">
        <v>19</v>
      </c>
      <c r="H450" s="12" t="s">
        <v>620</v>
      </c>
    </row>
    <row r="451" customFormat="false" ht="15" hidden="false" customHeight="false" outlineLevel="0" collapsed="false">
      <c r="A451" s="11" t="s">
        <v>608</v>
      </c>
      <c r="B451" s="11" t="s">
        <v>12</v>
      </c>
      <c r="C451" s="11" t="n">
        <v>2023</v>
      </c>
      <c r="D451" s="11" t="n">
        <v>1</v>
      </c>
      <c r="E451" s="11" t="s">
        <v>99</v>
      </c>
      <c r="F451" s="11" t="s">
        <v>135</v>
      </c>
      <c r="G451" s="11" t="n">
        <v>12</v>
      </c>
      <c r="H451" s="12" t="s">
        <v>621</v>
      </c>
    </row>
    <row r="452" customFormat="false" ht="15" hidden="false" customHeight="false" outlineLevel="0" collapsed="false">
      <c r="A452" s="11" t="s">
        <v>608</v>
      </c>
      <c r="B452" s="11" t="s">
        <v>12</v>
      </c>
      <c r="C452" s="11" t="n">
        <v>2023</v>
      </c>
      <c r="D452" s="11" t="n">
        <v>2</v>
      </c>
      <c r="E452" s="11" t="s">
        <v>102</v>
      </c>
      <c r="F452" s="11" t="s">
        <v>137</v>
      </c>
      <c r="G452" s="11" t="n">
        <v>12</v>
      </c>
      <c r="H452" s="12" t="s">
        <v>622</v>
      </c>
    </row>
    <row r="453" customFormat="false" ht="15" hidden="false" customHeight="false" outlineLevel="0" collapsed="false">
      <c r="A453" s="11" t="s">
        <v>608</v>
      </c>
      <c r="B453" s="11" t="s">
        <v>12</v>
      </c>
      <c r="C453" s="11" t="n">
        <v>2023</v>
      </c>
      <c r="D453" s="11" t="n">
        <v>3</v>
      </c>
      <c r="E453" s="11" t="s">
        <v>105</v>
      </c>
      <c r="F453" s="11" t="s">
        <v>139</v>
      </c>
      <c r="G453" s="11" t="n">
        <v>12</v>
      </c>
      <c r="H453" s="12" t="s">
        <v>623</v>
      </c>
    </row>
    <row r="454" customFormat="false" ht="15" hidden="false" customHeight="false" outlineLevel="0" collapsed="false">
      <c r="A454" s="11" t="s">
        <v>608</v>
      </c>
      <c r="B454" s="11" t="s">
        <v>12</v>
      </c>
      <c r="C454" s="11" t="n">
        <v>2023</v>
      </c>
      <c r="D454" s="11" t="n">
        <v>4</v>
      </c>
      <c r="E454" s="11" t="s">
        <v>108</v>
      </c>
      <c r="F454" s="11" t="s">
        <v>141</v>
      </c>
      <c r="G454" s="11" t="n">
        <v>12</v>
      </c>
      <c r="H454" s="12" t="s">
        <v>624</v>
      </c>
    </row>
    <row r="455" customFormat="false" ht="15" hidden="false" customHeight="false" outlineLevel="0" collapsed="false">
      <c r="A455" s="11" t="s">
        <v>608</v>
      </c>
      <c r="B455" s="11" t="s">
        <v>12</v>
      </c>
      <c r="C455" s="11" t="n">
        <v>2023</v>
      </c>
      <c r="D455" s="11" t="n">
        <v>5</v>
      </c>
      <c r="E455" s="11" t="s">
        <v>111</v>
      </c>
      <c r="F455" s="11" t="s">
        <v>143</v>
      </c>
      <c r="G455" s="11" t="n">
        <v>12</v>
      </c>
      <c r="H455" s="12" t="s">
        <v>625</v>
      </c>
    </row>
    <row r="456" customFormat="false" ht="15" hidden="false" customHeight="false" outlineLevel="0" collapsed="false">
      <c r="A456" s="11" t="s">
        <v>608</v>
      </c>
      <c r="B456" s="11" t="s">
        <v>12</v>
      </c>
      <c r="C456" s="11" t="n">
        <v>2023</v>
      </c>
      <c r="D456" s="11" t="n">
        <v>6</v>
      </c>
      <c r="E456" s="11" t="s">
        <v>114</v>
      </c>
      <c r="F456" s="11" t="s">
        <v>145</v>
      </c>
      <c r="G456" s="11" t="n">
        <v>16</v>
      </c>
      <c r="H456" s="12" t="s">
        <v>626</v>
      </c>
    </row>
    <row r="457" customFormat="false" ht="15" hidden="false" customHeight="false" outlineLevel="0" collapsed="false">
      <c r="A457" s="11" t="s">
        <v>608</v>
      </c>
      <c r="B457" s="11" t="s">
        <v>12</v>
      </c>
      <c r="C457" s="11" t="n">
        <v>2023</v>
      </c>
      <c r="D457" s="11" t="n">
        <v>7</v>
      </c>
      <c r="E457" s="11" t="s">
        <v>117</v>
      </c>
      <c r="F457" s="11" t="s">
        <v>147</v>
      </c>
      <c r="G457" s="11" t="n">
        <v>16</v>
      </c>
      <c r="H457" s="12" t="s">
        <v>627</v>
      </c>
    </row>
    <row r="458" customFormat="false" ht="15" hidden="false" customHeight="false" outlineLevel="0" collapsed="false">
      <c r="A458" s="11" t="s">
        <v>608</v>
      </c>
      <c r="B458" s="11" t="s">
        <v>12</v>
      </c>
      <c r="C458" s="11" t="n">
        <v>2023</v>
      </c>
      <c r="D458" s="11" t="n">
        <v>8</v>
      </c>
      <c r="E458" s="11" t="s">
        <v>120</v>
      </c>
      <c r="F458" s="11" t="s">
        <v>149</v>
      </c>
      <c r="G458" s="11" t="n">
        <v>12</v>
      </c>
      <c r="H458" s="12" t="s">
        <v>628</v>
      </c>
    </row>
    <row r="459" customFormat="false" ht="15" hidden="false" customHeight="false" outlineLevel="0" collapsed="false">
      <c r="A459" s="11" t="s">
        <v>608</v>
      </c>
      <c r="B459" s="11" t="s">
        <v>12</v>
      </c>
      <c r="C459" s="11" t="n">
        <v>2023</v>
      </c>
      <c r="D459" s="11" t="n">
        <v>9</v>
      </c>
      <c r="E459" s="11" t="s">
        <v>123</v>
      </c>
      <c r="F459" s="11" t="s">
        <v>151</v>
      </c>
      <c r="G459" s="11" t="n">
        <v>12</v>
      </c>
      <c r="H459" s="12" t="s">
        <v>629</v>
      </c>
    </row>
    <row r="460" customFormat="false" ht="15" hidden="false" customHeight="false" outlineLevel="0" collapsed="false">
      <c r="A460" s="11" t="s">
        <v>608</v>
      </c>
      <c r="B460" s="11" t="s">
        <v>12</v>
      </c>
      <c r="C460" s="11" t="n">
        <v>2023</v>
      </c>
      <c r="D460" s="11" t="n">
        <v>10</v>
      </c>
      <c r="E460" s="11" t="s">
        <v>126</v>
      </c>
      <c r="F460" s="11" t="s">
        <v>153</v>
      </c>
      <c r="G460" s="11" t="n">
        <v>12</v>
      </c>
      <c r="H460" s="12" t="s">
        <v>630</v>
      </c>
    </row>
    <row r="461" customFormat="false" ht="15" hidden="false" customHeight="false" outlineLevel="0" collapsed="false">
      <c r="A461" s="11" t="s">
        <v>608</v>
      </c>
      <c r="B461" s="11" t="s">
        <v>12</v>
      </c>
      <c r="C461" s="11" t="n">
        <v>2023</v>
      </c>
      <c r="D461" s="11" t="n">
        <v>11</v>
      </c>
      <c r="E461" s="11" t="s">
        <v>129</v>
      </c>
      <c r="F461" s="11" t="s">
        <v>155</v>
      </c>
      <c r="G461" s="11" t="n">
        <v>16</v>
      </c>
      <c r="H461" s="12" t="s">
        <v>631</v>
      </c>
    </row>
    <row r="462" customFormat="false" ht="15" hidden="false" customHeight="false" outlineLevel="0" collapsed="false">
      <c r="A462" s="11" t="s">
        <v>608</v>
      </c>
      <c r="B462" s="11" t="s">
        <v>12</v>
      </c>
      <c r="C462" s="11" t="n">
        <v>2023</v>
      </c>
      <c r="D462" s="11" t="n">
        <v>12</v>
      </c>
      <c r="E462" s="11" t="s">
        <v>132</v>
      </c>
      <c r="F462" s="11" t="s">
        <v>157</v>
      </c>
      <c r="G462" s="11" t="n">
        <v>12</v>
      </c>
      <c r="H462" s="12" t="s">
        <v>632</v>
      </c>
    </row>
    <row r="463" customFormat="false" ht="15" hidden="false" customHeight="false" outlineLevel="0" collapsed="false">
      <c r="A463" s="11" t="s">
        <v>608</v>
      </c>
      <c r="B463" s="11" t="s">
        <v>12</v>
      </c>
      <c r="C463" s="11" t="n">
        <v>2024</v>
      </c>
      <c r="D463" s="11" t="n">
        <v>1</v>
      </c>
      <c r="E463" s="11" t="s">
        <v>99</v>
      </c>
      <c r="F463" s="11" t="s">
        <v>159</v>
      </c>
      <c r="G463" s="11" t="n">
        <v>12</v>
      </c>
      <c r="H463" s="12" t="s">
        <v>633</v>
      </c>
    </row>
    <row r="464" customFormat="false" ht="15" hidden="false" customHeight="false" outlineLevel="0" collapsed="false">
      <c r="A464" s="11" t="s">
        <v>608</v>
      </c>
      <c r="B464" s="11" t="s">
        <v>12</v>
      </c>
      <c r="C464" s="11" t="n">
        <v>2024</v>
      </c>
      <c r="D464" s="11" t="n">
        <v>2</v>
      </c>
      <c r="E464" s="11" t="s">
        <v>102</v>
      </c>
      <c r="F464" s="11" t="s">
        <v>161</v>
      </c>
      <c r="G464" s="11" t="n">
        <v>12</v>
      </c>
      <c r="H464" s="12" t="s">
        <v>634</v>
      </c>
    </row>
    <row r="465" customFormat="false" ht="15" hidden="false" customHeight="false" outlineLevel="0" collapsed="false">
      <c r="A465" s="11" t="s">
        <v>608</v>
      </c>
      <c r="B465" s="11" t="s">
        <v>12</v>
      </c>
      <c r="C465" s="11" t="n">
        <v>2024</v>
      </c>
      <c r="D465" s="11" t="n">
        <v>3</v>
      </c>
      <c r="E465" s="11" t="s">
        <v>105</v>
      </c>
      <c r="F465" s="11" t="s">
        <v>163</v>
      </c>
      <c r="G465" s="11" t="n">
        <v>16</v>
      </c>
      <c r="H465" s="12" t="s">
        <v>635</v>
      </c>
    </row>
    <row r="466" customFormat="false" ht="15" hidden="false" customHeight="false" outlineLevel="0" collapsed="false">
      <c r="A466" s="11" t="s">
        <v>608</v>
      </c>
      <c r="B466" s="11" t="s">
        <v>12</v>
      </c>
      <c r="C466" s="11" t="n">
        <v>2024</v>
      </c>
      <c r="D466" s="11" t="n">
        <v>4</v>
      </c>
      <c r="E466" s="11" t="s">
        <v>108</v>
      </c>
      <c r="F466" s="11" t="s">
        <v>165</v>
      </c>
      <c r="G466" s="11" t="n">
        <v>16</v>
      </c>
      <c r="H466" s="12" t="s">
        <v>636</v>
      </c>
    </row>
    <row r="467" customFormat="false" ht="15" hidden="false" customHeight="false" outlineLevel="0" collapsed="false">
      <c r="A467" s="11" t="s">
        <v>608</v>
      </c>
      <c r="B467" s="11" t="s">
        <v>12</v>
      </c>
      <c r="C467" s="11" t="n">
        <v>2024</v>
      </c>
      <c r="D467" s="11" t="n">
        <v>5</v>
      </c>
      <c r="E467" s="11" t="s">
        <v>111</v>
      </c>
      <c r="F467" s="11" t="s">
        <v>167</v>
      </c>
      <c r="G467" s="11" t="n">
        <v>16</v>
      </c>
      <c r="H467" s="12" t="s">
        <v>637</v>
      </c>
    </row>
    <row r="468" customFormat="false" ht="15" hidden="false" customHeight="false" outlineLevel="0" collapsed="false">
      <c r="A468" s="11" t="s">
        <v>608</v>
      </c>
      <c r="B468" s="11" t="s">
        <v>12</v>
      </c>
      <c r="C468" s="11" t="n">
        <v>2024</v>
      </c>
      <c r="D468" s="11" t="n">
        <v>6</v>
      </c>
      <c r="E468" s="11" t="s">
        <v>114</v>
      </c>
      <c r="F468" s="11" t="s">
        <v>169</v>
      </c>
      <c r="G468" s="11" t="n">
        <v>16</v>
      </c>
      <c r="H468" s="12" t="s">
        <v>638</v>
      </c>
    </row>
    <row r="469" customFormat="false" ht="15" hidden="false" customHeight="false" outlineLevel="0" collapsed="false">
      <c r="A469" s="11" t="s">
        <v>608</v>
      </c>
      <c r="B469" s="11" t="s">
        <v>12</v>
      </c>
      <c r="C469" s="11" t="n">
        <v>2024</v>
      </c>
      <c r="D469" s="11" t="n">
        <v>7</v>
      </c>
      <c r="E469" s="11" t="s">
        <v>117</v>
      </c>
      <c r="F469" s="11" t="s">
        <v>171</v>
      </c>
      <c r="G469" s="11" t="n">
        <v>12</v>
      </c>
      <c r="H469" s="12" t="s">
        <v>639</v>
      </c>
    </row>
    <row r="470" customFormat="false" ht="15" hidden="false" customHeight="false" outlineLevel="0" collapsed="false">
      <c r="A470" s="11" t="s">
        <v>608</v>
      </c>
      <c r="B470" s="11" t="s">
        <v>12</v>
      </c>
      <c r="C470" s="11" t="n">
        <v>2024</v>
      </c>
      <c r="D470" s="11" t="n">
        <v>8</v>
      </c>
      <c r="E470" s="11" t="s">
        <v>120</v>
      </c>
      <c r="F470" s="11" t="s">
        <v>173</v>
      </c>
      <c r="G470" s="11" t="n">
        <v>12</v>
      </c>
      <c r="H470" s="12" t="s">
        <v>640</v>
      </c>
    </row>
    <row r="471" customFormat="false" ht="15" hidden="false" customHeight="false" outlineLevel="0" collapsed="false">
      <c r="A471" s="11" t="s">
        <v>608</v>
      </c>
      <c r="B471" s="11" t="s">
        <v>12</v>
      </c>
      <c r="C471" s="11" t="n">
        <v>2024</v>
      </c>
      <c r="D471" s="11" t="n">
        <v>9</v>
      </c>
      <c r="E471" s="11" t="s">
        <v>123</v>
      </c>
      <c r="F471" s="11" t="s">
        <v>175</v>
      </c>
      <c r="G471" s="11" t="n">
        <v>12</v>
      </c>
      <c r="H471" s="12" t="s">
        <v>641</v>
      </c>
    </row>
    <row r="472" customFormat="false" ht="15" hidden="false" customHeight="false" outlineLevel="0" collapsed="false">
      <c r="A472" s="11" t="s">
        <v>608</v>
      </c>
      <c r="B472" s="11" t="s">
        <v>12</v>
      </c>
      <c r="C472" s="11" t="n">
        <v>2024</v>
      </c>
      <c r="D472" s="11" t="n">
        <v>10</v>
      </c>
      <c r="E472" s="11" t="s">
        <v>126</v>
      </c>
      <c r="F472" s="11" t="s">
        <v>177</v>
      </c>
      <c r="G472" s="11" t="n">
        <v>12</v>
      </c>
      <c r="H472" s="12" t="s">
        <v>642</v>
      </c>
    </row>
    <row r="473" customFormat="false" ht="15" hidden="false" customHeight="false" outlineLevel="0" collapsed="false">
      <c r="A473" s="11" t="s">
        <v>608</v>
      </c>
      <c r="B473" s="11" t="s">
        <v>12</v>
      </c>
      <c r="C473" s="11" t="n">
        <v>2024</v>
      </c>
      <c r="D473" s="11" t="n">
        <v>11</v>
      </c>
      <c r="E473" s="11" t="s">
        <v>129</v>
      </c>
      <c r="F473" s="11" t="s">
        <v>179</v>
      </c>
      <c r="G473" s="11" t="n">
        <v>16</v>
      </c>
      <c r="H473" s="12" t="s">
        <v>643</v>
      </c>
    </row>
    <row r="474" customFormat="false" ht="15" hidden="false" customHeight="false" outlineLevel="0" collapsed="false">
      <c r="A474" s="11" t="s">
        <v>608</v>
      </c>
      <c r="B474" s="11" t="s">
        <v>12</v>
      </c>
      <c r="C474" s="11" t="n">
        <v>2024</v>
      </c>
      <c r="D474" s="11" t="n">
        <v>12</v>
      </c>
      <c r="E474" s="11" t="s">
        <v>132</v>
      </c>
      <c r="F474" s="11" t="s">
        <v>181</v>
      </c>
      <c r="G474" s="11" t="n">
        <v>12</v>
      </c>
      <c r="H474" s="12" t="s">
        <v>644</v>
      </c>
    </row>
    <row r="475" customFormat="false" ht="15" hidden="false" customHeight="false" outlineLevel="0" collapsed="false">
      <c r="A475" s="11" t="s">
        <v>608</v>
      </c>
      <c r="B475" s="11" t="s">
        <v>12</v>
      </c>
      <c r="C475" s="11" t="n">
        <v>2025</v>
      </c>
      <c r="D475" s="11" t="n">
        <v>1</v>
      </c>
      <c r="E475" s="11" t="s">
        <v>99</v>
      </c>
      <c r="F475" s="11" t="s">
        <v>183</v>
      </c>
      <c r="G475" s="11" t="n">
        <v>12</v>
      </c>
      <c r="H475" s="12" t="s">
        <v>645</v>
      </c>
    </row>
    <row r="476" customFormat="false" ht="15" hidden="false" customHeight="false" outlineLevel="0" collapsed="false">
      <c r="A476" s="11" t="s">
        <v>608</v>
      </c>
      <c r="B476" s="11" t="s">
        <v>12</v>
      </c>
      <c r="C476" s="11" t="n">
        <v>2025</v>
      </c>
      <c r="D476" s="11" t="n">
        <v>2</v>
      </c>
      <c r="E476" s="11" t="s">
        <v>102</v>
      </c>
      <c r="F476" s="11" t="s">
        <v>185</v>
      </c>
      <c r="G476" s="11" t="n">
        <v>12</v>
      </c>
      <c r="H476" s="12" t="s">
        <v>646</v>
      </c>
    </row>
    <row r="477" customFormat="false" ht="15" hidden="false" customHeight="false" outlineLevel="0" collapsed="false">
      <c r="A477" s="11" t="s">
        <v>608</v>
      </c>
      <c r="B477" s="11" t="s">
        <v>12</v>
      </c>
      <c r="C477" s="11" t="n">
        <v>2025</v>
      </c>
      <c r="D477" s="11" t="n">
        <v>3</v>
      </c>
      <c r="E477" s="11" t="s">
        <v>105</v>
      </c>
      <c r="F477" s="11" t="s">
        <v>187</v>
      </c>
      <c r="G477" s="11" t="n">
        <v>21</v>
      </c>
      <c r="H477" s="12" t="s">
        <v>647</v>
      </c>
    </row>
    <row r="478" customFormat="false" ht="15" hidden="false" customHeight="false" outlineLevel="0" collapsed="false">
      <c r="A478" s="11" t="s">
        <v>608</v>
      </c>
      <c r="B478" s="11" t="s">
        <v>12</v>
      </c>
      <c r="C478" s="11" t="n">
        <v>2025</v>
      </c>
      <c r="D478" s="11" t="n">
        <v>4</v>
      </c>
      <c r="E478" s="11" t="s">
        <v>108</v>
      </c>
      <c r="F478" s="11" t="s">
        <v>189</v>
      </c>
      <c r="G478" s="11" t="n">
        <v>16</v>
      </c>
      <c r="H478" s="12" t="s">
        <v>648</v>
      </c>
    </row>
    <row r="479" customFormat="false" ht="15" hidden="false" customHeight="false" outlineLevel="0" collapsed="false">
      <c r="A479" s="11" t="s">
        <v>608</v>
      </c>
      <c r="B479" s="11" t="s">
        <v>12</v>
      </c>
      <c r="C479" s="11" t="n">
        <v>2025</v>
      </c>
      <c r="D479" s="11" t="n">
        <v>5</v>
      </c>
      <c r="E479" s="11" t="s">
        <v>111</v>
      </c>
      <c r="F479" s="11" t="s">
        <v>191</v>
      </c>
      <c r="G479" s="11" t="n">
        <v>16</v>
      </c>
      <c r="H479" s="12" t="s">
        <v>649</v>
      </c>
    </row>
    <row r="480" customFormat="false" ht="15" hidden="false" customHeight="false" outlineLevel="0" collapsed="false">
      <c r="A480" s="11" t="s">
        <v>608</v>
      </c>
      <c r="B480" s="11" t="s">
        <v>12</v>
      </c>
      <c r="C480" s="11" t="n">
        <v>2025</v>
      </c>
      <c r="D480" s="11" t="n">
        <v>6</v>
      </c>
      <c r="E480" s="11" t="s">
        <v>114</v>
      </c>
      <c r="F480" s="11" t="s">
        <v>193</v>
      </c>
      <c r="G480" s="11" t="n">
        <v>12</v>
      </c>
      <c r="H480" s="12" t="s">
        <v>650</v>
      </c>
    </row>
    <row r="481" customFormat="false" ht="15" hidden="false" customHeight="false" outlineLevel="0" collapsed="false">
      <c r="A481" s="11" t="s">
        <v>608</v>
      </c>
      <c r="B481" s="11" t="s">
        <v>12</v>
      </c>
      <c r="C481" s="11" t="n">
        <v>2025</v>
      </c>
      <c r="D481" s="11" t="n">
        <v>7</v>
      </c>
      <c r="E481" s="11" t="s">
        <v>117</v>
      </c>
      <c r="F481" s="11" t="s">
        <v>195</v>
      </c>
      <c r="G481" s="11" t="n">
        <v>12</v>
      </c>
      <c r="H481" s="12" t="s">
        <v>651</v>
      </c>
    </row>
    <row r="482" customFormat="false" ht="15" hidden="false" customHeight="false" outlineLevel="0" collapsed="false">
      <c r="A482" s="11" t="s">
        <v>608</v>
      </c>
      <c r="B482" s="11" t="s">
        <v>12</v>
      </c>
      <c r="C482" s="11" t="n">
        <v>2025</v>
      </c>
      <c r="D482" s="11" t="n">
        <v>8</v>
      </c>
      <c r="E482" s="11" t="s">
        <v>120</v>
      </c>
      <c r="F482" s="11" t="s">
        <v>197</v>
      </c>
      <c r="G482" s="11" t="n">
        <v>16</v>
      </c>
      <c r="H482" s="12" t="s">
        <v>652</v>
      </c>
    </row>
    <row r="483" customFormat="false" ht="15" hidden="false" customHeight="false" outlineLevel="0" collapsed="false">
      <c r="A483" s="11" t="s">
        <v>608</v>
      </c>
      <c r="B483" s="11" t="s">
        <v>12</v>
      </c>
      <c r="C483" s="11" t="n">
        <v>2025</v>
      </c>
      <c r="D483" s="11" t="n">
        <v>9</v>
      </c>
      <c r="E483" s="11" t="s">
        <v>123</v>
      </c>
      <c r="F483" s="11" t="s">
        <v>199</v>
      </c>
      <c r="G483" s="11" t="n">
        <v>12</v>
      </c>
      <c r="H483" s="12" t="s">
        <v>653</v>
      </c>
    </row>
    <row r="484" customFormat="false" ht="15" hidden="false" customHeight="false" outlineLevel="0" collapsed="false">
      <c r="A484" s="11" t="s">
        <v>608</v>
      </c>
      <c r="B484" s="11" t="s">
        <v>12</v>
      </c>
      <c r="C484" s="11" t="n">
        <v>2025</v>
      </c>
      <c r="D484" s="11" t="n">
        <v>10</v>
      </c>
      <c r="E484" s="11" t="s">
        <v>126</v>
      </c>
      <c r="F484" s="11" t="s">
        <v>201</v>
      </c>
      <c r="G484" s="11" t="n">
        <v>12</v>
      </c>
      <c r="H484" s="12" t="s">
        <v>654</v>
      </c>
    </row>
    <row r="485" customFormat="false" ht="15" hidden="false" customHeight="false" outlineLevel="0" collapsed="false">
      <c r="A485" s="11" t="s">
        <v>608</v>
      </c>
      <c r="B485" s="11" t="s">
        <v>12</v>
      </c>
      <c r="C485" s="11" t="n">
        <v>2025</v>
      </c>
      <c r="D485" s="11" t="n">
        <v>11</v>
      </c>
      <c r="E485" s="11" t="s">
        <v>129</v>
      </c>
      <c r="F485" s="11" t="s">
        <v>203</v>
      </c>
      <c r="G485" s="11" t="n">
        <v>12</v>
      </c>
      <c r="H485" s="12" t="s">
        <v>655</v>
      </c>
    </row>
    <row r="486" customFormat="false" ht="15" hidden="false" customHeight="false" outlineLevel="0" collapsed="false">
      <c r="A486" s="11" t="s">
        <v>608</v>
      </c>
      <c r="B486" s="11" t="s">
        <v>12</v>
      </c>
      <c r="C486" s="11" t="n">
        <v>2025</v>
      </c>
      <c r="D486" s="11" t="n">
        <v>12</v>
      </c>
      <c r="E486" s="11" t="s">
        <v>132</v>
      </c>
      <c r="F486" s="11" t="s">
        <v>205</v>
      </c>
      <c r="G486" s="11" t="n">
        <v>12</v>
      </c>
      <c r="H486" s="12" t="s">
        <v>656</v>
      </c>
    </row>
    <row r="487" customFormat="false" ht="15" hidden="false" customHeight="false" outlineLevel="0" collapsed="false">
      <c r="A487" s="11" t="s">
        <v>608</v>
      </c>
      <c r="B487" s="11" t="s">
        <v>12</v>
      </c>
      <c r="C487" s="11" t="n">
        <v>2026</v>
      </c>
      <c r="D487" s="11" t="n">
        <v>1</v>
      </c>
      <c r="E487" s="11" t="s">
        <v>99</v>
      </c>
      <c r="F487" s="11" t="s">
        <v>207</v>
      </c>
      <c r="G487" s="11" t="n">
        <v>12</v>
      </c>
      <c r="H487" s="12" t="s">
        <v>657</v>
      </c>
    </row>
    <row r="488" customFormat="false" ht="15" hidden="false" customHeight="false" outlineLevel="0" collapsed="false">
      <c r="A488" s="11" t="s">
        <v>608</v>
      </c>
      <c r="B488" s="11" t="s">
        <v>12</v>
      </c>
      <c r="C488" s="11" t="n">
        <v>2026</v>
      </c>
      <c r="D488" s="11" t="n">
        <v>2</v>
      </c>
      <c r="E488" s="11" t="s">
        <v>102</v>
      </c>
      <c r="F488" s="11" t="s">
        <v>209</v>
      </c>
      <c r="G488" s="11" t="n">
        <v>12</v>
      </c>
      <c r="H488" s="12" t="s">
        <v>658</v>
      </c>
    </row>
    <row r="489" customFormat="false" ht="15" hidden="false" customHeight="false" outlineLevel="0" collapsed="false">
      <c r="A489" s="11" t="s">
        <v>608</v>
      </c>
      <c r="B489" s="11" t="s">
        <v>12</v>
      </c>
      <c r="C489" s="11" t="n">
        <v>2026</v>
      </c>
      <c r="D489" s="11" t="n">
        <v>3</v>
      </c>
      <c r="E489" s="11" t="s">
        <v>105</v>
      </c>
      <c r="F489" s="11" t="s">
        <v>211</v>
      </c>
      <c r="G489" s="11" t="n">
        <v>12</v>
      </c>
      <c r="H489" s="12" t="s">
        <v>659</v>
      </c>
    </row>
    <row r="490" customFormat="false" ht="15" hidden="false" customHeight="false" outlineLevel="0" collapsed="false">
      <c r="A490" s="11" t="s">
        <v>608</v>
      </c>
      <c r="B490" s="11" t="s">
        <v>12</v>
      </c>
      <c r="C490" s="11" t="n">
        <v>2026</v>
      </c>
      <c r="D490" s="11" t="n">
        <v>4</v>
      </c>
      <c r="E490" s="11" t="s">
        <v>108</v>
      </c>
      <c r="F490" s="11" t="s">
        <v>213</v>
      </c>
      <c r="G490" s="11" t="n">
        <v>16</v>
      </c>
      <c r="H490" s="12" t="s">
        <v>660</v>
      </c>
    </row>
    <row r="491" customFormat="false" ht="15" hidden="false" customHeight="false" outlineLevel="0" collapsed="false">
      <c r="A491" s="11" t="s">
        <v>608</v>
      </c>
      <c r="B491" s="11" t="s">
        <v>12</v>
      </c>
      <c r="C491" s="11" t="n">
        <v>2026</v>
      </c>
      <c r="D491" s="11" t="n">
        <v>5</v>
      </c>
      <c r="E491" s="11" t="s">
        <v>111</v>
      </c>
      <c r="F491" s="11" t="s">
        <v>215</v>
      </c>
      <c r="G491" s="11" t="n">
        <v>12</v>
      </c>
      <c r="H491" s="12" t="s">
        <v>661</v>
      </c>
    </row>
    <row r="492" customFormat="false" ht="15" hidden="false" customHeight="false" outlineLevel="0" collapsed="false">
      <c r="A492" s="11" t="s">
        <v>662</v>
      </c>
      <c r="B492" s="11" t="s">
        <v>13</v>
      </c>
      <c r="C492" s="11" t="n">
        <v>2024</v>
      </c>
      <c r="D492" s="11" t="n">
        <v>12</v>
      </c>
      <c r="E492" s="11" t="s">
        <v>132</v>
      </c>
      <c r="F492" s="11" t="s">
        <v>181</v>
      </c>
      <c r="G492" s="11" t="n">
        <v>16</v>
      </c>
      <c r="H492" s="12" t="s">
        <v>663</v>
      </c>
    </row>
    <row r="493" customFormat="false" ht="15" hidden="false" customHeight="false" outlineLevel="0" collapsed="false">
      <c r="A493" s="11" t="s">
        <v>662</v>
      </c>
      <c r="B493" s="11" t="s">
        <v>13</v>
      </c>
      <c r="C493" s="11" t="n">
        <v>2025</v>
      </c>
      <c r="D493" s="11" t="n">
        <v>1</v>
      </c>
      <c r="E493" s="11" t="s">
        <v>99</v>
      </c>
      <c r="F493" s="11" t="s">
        <v>183</v>
      </c>
      <c r="G493" s="11" t="n">
        <v>8</v>
      </c>
      <c r="H493" s="12" t="s">
        <v>664</v>
      </c>
    </row>
    <row r="494" customFormat="false" ht="15" hidden="false" customHeight="false" outlineLevel="0" collapsed="false">
      <c r="A494" s="11" t="s">
        <v>662</v>
      </c>
      <c r="B494" s="11" t="s">
        <v>13</v>
      </c>
      <c r="C494" s="11" t="n">
        <v>2025</v>
      </c>
      <c r="D494" s="11" t="n">
        <v>2</v>
      </c>
      <c r="E494" s="11" t="s">
        <v>102</v>
      </c>
      <c r="F494" s="11" t="s">
        <v>185</v>
      </c>
      <c r="G494" s="11" t="n">
        <v>12</v>
      </c>
      <c r="H494" s="12" t="s">
        <v>665</v>
      </c>
    </row>
    <row r="495" customFormat="false" ht="15" hidden="false" customHeight="false" outlineLevel="0" collapsed="false">
      <c r="A495" s="11" t="s">
        <v>662</v>
      </c>
      <c r="B495" s="11" t="s">
        <v>13</v>
      </c>
      <c r="C495" s="11" t="n">
        <v>2025</v>
      </c>
      <c r="D495" s="11" t="n">
        <v>3</v>
      </c>
      <c r="E495" s="11" t="s">
        <v>105</v>
      </c>
      <c r="F495" s="11" t="s">
        <v>187</v>
      </c>
      <c r="G495" s="11" t="n">
        <v>8</v>
      </c>
      <c r="H495" s="12" t="s">
        <v>666</v>
      </c>
    </row>
    <row r="496" customFormat="false" ht="15" hidden="false" customHeight="false" outlineLevel="0" collapsed="false">
      <c r="A496" s="11" t="s">
        <v>662</v>
      </c>
      <c r="B496" s="11" t="s">
        <v>13</v>
      </c>
      <c r="C496" s="11" t="n">
        <v>2025</v>
      </c>
      <c r="D496" s="11" t="n">
        <v>4</v>
      </c>
      <c r="E496" s="11" t="s">
        <v>108</v>
      </c>
      <c r="F496" s="11" t="s">
        <v>189</v>
      </c>
      <c r="G496" s="11" t="n">
        <v>16</v>
      </c>
      <c r="H496" s="12" t="s">
        <v>667</v>
      </c>
    </row>
    <row r="497" customFormat="false" ht="15" hidden="false" customHeight="false" outlineLevel="0" collapsed="false">
      <c r="A497" s="11" t="s">
        <v>662</v>
      </c>
      <c r="B497" s="11" t="s">
        <v>13</v>
      </c>
      <c r="C497" s="11" t="n">
        <v>2025</v>
      </c>
      <c r="D497" s="11" t="n">
        <v>5</v>
      </c>
      <c r="E497" s="11" t="s">
        <v>111</v>
      </c>
      <c r="F497" s="11" t="s">
        <v>191</v>
      </c>
      <c r="G497" s="11" t="n">
        <v>16</v>
      </c>
      <c r="H497" s="12" t="s">
        <v>668</v>
      </c>
    </row>
    <row r="498" customFormat="false" ht="15" hidden="false" customHeight="false" outlineLevel="0" collapsed="false">
      <c r="A498" s="11" t="s">
        <v>662</v>
      </c>
      <c r="B498" s="11" t="s">
        <v>13</v>
      </c>
      <c r="C498" s="11" t="n">
        <v>2025</v>
      </c>
      <c r="D498" s="11" t="n">
        <v>6</v>
      </c>
      <c r="E498" s="11" t="s">
        <v>114</v>
      </c>
      <c r="F498" s="11" t="s">
        <v>193</v>
      </c>
      <c r="G498" s="11" t="n">
        <v>16</v>
      </c>
      <c r="H498" s="12" t="s">
        <v>669</v>
      </c>
    </row>
    <row r="499" customFormat="false" ht="15" hidden="false" customHeight="false" outlineLevel="0" collapsed="false">
      <c r="A499" s="11" t="s">
        <v>662</v>
      </c>
      <c r="B499" s="11" t="s">
        <v>13</v>
      </c>
      <c r="C499" s="11" t="n">
        <v>2025</v>
      </c>
      <c r="D499" s="11" t="n">
        <v>7</v>
      </c>
      <c r="E499" s="11" t="s">
        <v>117</v>
      </c>
      <c r="F499" s="11" t="s">
        <v>195</v>
      </c>
      <c r="G499" s="11" t="n">
        <v>12</v>
      </c>
      <c r="H499" s="12" t="s">
        <v>670</v>
      </c>
    </row>
    <row r="500" customFormat="false" ht="15" hidden="false" customHeight="false" outlineLevel="0" collapsed="false">
      <c r="A500" s="11" t="s">
        <v>662</v>
      </c>
      <c r="B500" s="11" t="s">
        <v>13</v>
      </c>
      <c r="C500" s="11" t="n">
        <v>2025</v>
      </c>
      <c r="D500" s="11" t="n">
        <v>8</v>
      </c>
      <c r="E500" s="11" t="s">
        <v>120</v>
      </c>
      <c r="F500" s="11" t="s">
        <v>197</v>
      </c>
      <c r="G500" s="11" t="n">
        <v>16</v>
      </c>
      <c r="H500" s="12" t="s">
        <v>671</v>
      </c>
    </row>
    <row r="501" customFormat="false" ht="15" hidden="false" customHeight="false" outlineLevel="0" collapsed="false">
      <c r="A501" s="11" t="s">
        <v>662</v>
      </c>
      <c r="B501" s="11" t="s">
        <v>13</v>
      </c>
      <c r="C501" s="11" t="n">
        <v>2025</v>
      </c>
      <c r="D501" s="11" t="n">
        <v>9</v>
      </c>
      <c r="E501" s="11" t="s">
        <v>123</v>
      </c>
      <c r="F501" s="11" t="s">
        <v>199</v>
      </c>
      <c r="G501" s="11" t="n">
        <v>12</v>
      </c>
      <c r="H501" s="12" t="s">
        <v>672</v>
      </c>
    </row>
    <row r="502" customFormat="false" ht="15" hidden="false" customHeight="false" outlineLevel="0" collapsed="false">
      <c r="A502" s="11" t="s">
        <v>662</v>
      </c>
      <c r="B502" s="11" t="s">
        <v>13</v>
      </c>
      <c r="C502" s="11" t="n">
        <v>2025</v>
      </c>
      <c r="D502" s="11" t="n">
        <v>10</v>
      </c>
      <c r="E502" s="11" t="s">
        <v>126</v>
      </c>
      <c r="F502" s="11" t="s">
        <v>201</v>
      </c>
      <c r="G502" s="11" t="n">
        <v>12</v>
      </c>
      <c r="H502" s="12" t="s">
        <v>673</v>
      </c>
    </row>
    <row r="503" customFormat="false" ht="15" hidden="false" customHeight="false" outlineLevel="0" collapsed="false">
      <c r="A503" s="11" t="s">
        <v>662</v>
      </c>
      <c r="B503" s="11" t="s">
        <v>13</v>
      </c>
      <c r="C503" s="11" t="n">
        <v>2025</v>
      </c>
      <c r="D503" s="11" t="n">
        <v>11</v>
      </c>
      <c r="E503" s="11" t="s">
        <v>129</v>
      </c>
      <c r="F503" s="11" t="s">
        <v>203</v>
      </c>
      <c r="G503" s="11" t="n">
        <v>12</v>
      </c>
      <c r="H503" s="12" t="s">
        <v>674</v>
      </c>
    </row>
    <row r="504" customFormat="false" ht="15" hidden="false" customHeight="false" outlineLevel="0" collapsed="false">
      <c r="A504" s="11" t="s">
        <v>662</v>
      </c>
      <c r="B504" s="11" t="s">
        <v>13</v>
      </c>
      <c r="C504" s="11" t="n">
        <v>2025</v>
      </c>
      <c r="D504" s="11" t="n">
        <v>12</v>
      </c>
      <c r="E504" s="11" t="s">
        <v>132</v>
      </c>
      <c r="F504" s="11" t="s">
        <v>205</v>
      </c>
      <c r="G504" s="11" t="n">
        <v>12</v>
      </c>
      <c r="H504" s="12" t="s">
        <v>675</v>
      </c>
    </row>
    <row r="505" customFormat="false" ht="15" hidden="false" customHeight="false" outlineLevel="0" collapsed="false">
      <c r="A505" s="11" t="s">
        <v>662</v>
      </c>
      <c r="B505" s="11" t="s">
        <v>13</v>
      </c>
      <c r="C505" s="11" t="n">
        <v>2026</v>
      </c>
      <c r="D505" s="11" t="n">
        <v>1</v>
      </c>
      <c r="E505" s="11" t="s">
        <v>99</v>
      </c>
      <c r="F505" s="11" t="s">
        <v>207</v>
      </c>
      <c r="G505" s="11" t="n">
        <v>8</v>
      </c>
      <c r="H505" s="12" t="s">
        <v>676</v>
      </c>
    </row>
    <row r="506" customFormat="false" ht="15" hidden="false" customHeight="false" outlineLevel="0" collapsed="false">
      <c r="A506" s="11" t="s">
        <v>662</v>
      </c>
      <c r="B506" s="11" t="s">
        <v>13</v>
      </c>
      <c r="C506" s="11" t="n">
        <v>2026</v>
      </c>
      <c r="D506" s="11" t="n">
        <v>2</v>
      </c>
      <c r="E506" s="11" t="s">
        <v>102</v>
      </c>
      <c r="F506" s="11" t="s">
        <v>209</v>
      </c>
      <c r="G506" s="11" t="n">
        <v>8</v>
      </c>
      <c r="H506" s="12" t="s">
        <v>677</v>
      </c>
    </row>
    <row r="507" customFormat="false" ht="15" hidden="false" customHeight="false" outlineLevel="0" collapsed="false">
      <c r="A507" s="11" t="s">
        <v>662</v>
      </c>
      <c r="B507" s="11" t="s">
        <v>13</v>
      </c>
      <c r="C507" s="11" t="n">
        <v>2026</v>
      </c>
      <c r="D507" s="11" t="n">
        <v>3</v>
      </c>
      <c r="E507" s="11" t="s">
        <v>105</v>
      </c>
      <c r="F507" s="11" t="s">
        <v>211</v>
      </c>
      <c r="G507" s="11" t="n">
        <v>12</v>
      </c>
      <c r="H507" s="12" t="s">
        <v>678</v>
      </c>
    </row>
    <row r="508" customFormat="false" ht="15" hidden="false" customHeight="false" outlineLevel="0" collapsed="false">
      <c r="A508" s="11" t="s">
        <v>662</v>
      </c>
      <c r="B508" s="11" t="s">
        <v>13</v>
      </c>
      <c r="C508" s="11" t="n">
        <v>2026</v>
      </c>
      <c r="D508" s="11" t="n">
        <v>4</v>
      </c>
      <c r="E508" s="11" t="s">
        <v>108</v>
      </c>
      <c r="F508" s="11" t="s">
        <v>213</v>
      </c>
      <c r="G508" s="11" t="n">
        <v>12</v>
      </c>
      <c r="H508" s="12" t="s">
        <v>679</v>
      </c>
    </row>
    <row r="509" customFormat="false" ht="15" hidden="false" customHeight="false" outlineLevel="0" collapsed="false">
      <c r="A509" s="11" t="s">
        <v>662</v>
      </c>
      <c r="B509" s="11" t="s">
        <v>13</v>
      </c>
      <c r="C509" s="11" t="n">
        <v>2026</v>
      </c>
      <c r="D509" s="11" t="n">
        <v>5</v>
      </c>
      <c r="E509" s="11" t="s">
        <v>111</v>
      </c>
      <c r="F509" s="11" t="s">
        <v>215</v>
      </c>
      <c r="G509" s="11" t="n">
        <v>12</v>
      </c>
      <c r="H509" s="12" t="s">
        <v>680</v>
      </c>
    </row>
    <row r="510" customFormat="false" ht="15" hidden="false" customHeight="false" outlineLevel="0" collapsed="false">
      <c r="A510" s="11" t="s">
        <v>681</v>
      </c>
      <c r="B510" s="11" t="s">
        <v>14</v>
      </c>
      <c r="C510" s="11" t="n">
        <v>2022</v>
      </c>
      <c r="D510" s="11" t="n">
        <v>1</v>
      </c>
      <c r="E510" s="11" t="s">
        <v>99</v>
      </c>
      <c r="F510" s="11" t="s">
        <v>100</v>
      </c>
      <c r="G510" s="11" t="n">
        <v>12</v>
      </c>
      <c r="H510" s="12" t="s">
        <v>682</v>
      </c>
    </row>
    <row r="511" customFormat="false" ht="15" hidden="false" customHeight="false" outlineLevel="0" collapsed="false">
      <c r="A511" s="11" t="s">
        <v>681</v>
      </c>
      <c r="B511" s="11" t="s">
        <v>14</v>
      </c>
      <c r="C511" s="11" t="n">
        <v>2022</v>
      </c>
      <c r="D511" s="11" t="n">
        <v>2</v>
      </c>
      <c r="E511" s="11" t="s">
        <v>102</v>
      </c>
      <c r="F511" s="11" t="s">
        <v>103</v>
      </c>
      <c r="G511" s="11" t="n">
        <v>12</v>
      </c>
      <c r="H511" s="12" t="s">
        <v>683</v>
      </c>
    </row>
    <row r="512" customFormat="false" ht="15" hidden="false" customHeight="false" outlineLevel="0" collapsed="false">
      <c r="A512" s="11" t="s">
        <v>681</v>
      </c>
      <c r="B512" s="11" t="s">
        <v>14</v>
      </c>
      <c r="C512" s="11" t="n">
        <v>2022</v>
      </c>
      <c r="D512" s="11" t="n">
        <v>3</v>
      </c>
      <c r="E512" s="11" t="s">
        <v>105</v>
      </c>
      <c r="F512" s="11" t="s">
        <v>106</v>
      </c>
      <c r="G512" s="11" t="n">
        <v>16</v>
      </c>
      <c r="H512" s="12" t="s">
        <v>684</v>
      </c>
    </row>
    <row r="513" customFormat="false" ht="15" hidden="false" customHeight="false" outlineLevel="0" collapsed="false">
      <c r="A513" s="11" t="s">
        <v>681</v>
      </c>
      <c r="B513" s="11" t="s">
        <v>14</v>
      </c>
      <c r="C513" s="11" t="n">
        <v>2022</v>
      </c>
      <c r="D513" s="11" t="n">
        <v>4</v>
      </c>
      <c r="E513" s="11" t="s">
        <v>108</v>
      </c>
      <c r="F513" s="11" t="s">
        <v>109</v>
      </c>
      <c r="G513" s="11" t="n">
        <v>20</v>
      </c>
      <c r="H513" s="12" t="s">
        <v>685</v>
      </c>
    </row>
    <row r="514" customFormat="false" ht="15" hidden="false" customHeight="false" outlineLevel="0" collapsed="false">
      <c r="A514" s="11" t="s">
        <v>681</v>
      </c>
      <c r="B514" s="11" t="s">
        <v>14</v>
      </c>
      <c r="C514" s="11" t="n">
        <v>2022</v>
      </c>
      <c r="D514" s="11" t="n">
        <v>5</v>
      </c>
      <c r="E514" s="11" t="s">
        <v>111</v>
      </c>
      <c r="F514" s="11" t="s">
        <v>112</v>
      </c>
      <c r="G514" s="11" t="n">
        <v>20</v>
      </c>
      <c r="H514" s="12" t="s">
        <v>686</v>
      </c>
    </row>
    <row r="515" customFormat="false" ht="15" hidden="false" customHeight="false" outlineLevel="0" collapsed="false">
      <c r="A515" s="11" t="s">
        <v>681</v>
      </c>
      <c r="B515" s="11" t="s">
        <v>14</v>
      </c>
      <c r="C515" s="11" t="n">
        <v>2022</v>
      </c>
      <c r="D515" s="11" t="n">
        <v>6</v>
      </c>
      <c r="E515" s="11" t="s">
        <v>114</v>
      </c>
      <c r="F515" s="11" t="s">
        <v>115</v>
      </c>
      <c r="G515" s="11" t="n">
        <v>16</v>
      </c>
      <c r="H515" s="12" t="s">
        <v>687</v>
      </c>
    </row>
    <row r="516" customFormat="false" ht="15" hidden="false" customHeight="false" outlineLevel="0" collapsed="false">
      <c r="A516" s="11" t="s">
        <v>681</v>
      </c>
      <c r="B516" s="11" t="s">
        <v>14</v>
      </c>
      <c r="C516" s="11" t="n">
        <v>2022</v>
      </c>
      <c r="D516" s="11" t="n">
        <v>7</v>
      </c>
      <c r="E516" s="11" t="s">
        <v>117</v>
      </c>
      <c r="F516" s="11" t="s">
        <v>118</v>
      </c>
      <c r="G516" s="11" t="n">
        <v>12</v>
      </c>
      <c r="H516" s="12" t="s">
        <v>688</v>
      </c>
    </row>
    <row r="517" customFormat="false" ht="15" hidden="false" customHeight="false" outlineLevel="0" collapsed="false">
      <c r="A517" s="11" t="s">
        <v>681</v>
      </c>
      <c r="B517" s="11" t="s">
        <v>14</v>
      </c>
      <c r="C517" s="11" t="n">
        <v>2022</v>
      </c>
      <c r="D517" s="11" t="n">
        <v>8</v>
      </c>
      <c r="E517" s="11" t="s">
        <v>120</v>
      </c>
      <c r="F517" s="11" t="s">
        <v>121</v>
      </c>
      <c r="G517" s="11" t="n">
        <v>12</v>
      </c>
      <c r="H517" s="12" t="s">
        <v>689</v>
      </c>
    </row>
    <row r="518" customFormat="false" ht="15" hidden="false" customHeight="false" outlineLevel="0" collapsed="false">
      <c r="A518" s="11" t="s">
        <v>681</v>
      </c>
      <c r="B518" s="11" t="s">
        <v>14</v>
      </c>
      <c r="C518" s="11" t="n">
        <v>2022</v>
      </c>
      <c r="D518" s="11" t="n">
        <v>9</v>
      </c>
      <c r="E518" s="11" t="s">
        <v>123</v>
      </c>
      <c r="F518" s="11" t="s">
        <v>124</v>
      </c>
      <c r="G518" s="11" t="n">
        <v>16</v>
      </c>
      <c r="H518" s="12" t="s">
        <v>690</v>
      </c>
    </row>
    <row r="519" customFormat="false" ht="15" hidden="false" customHeight="false" outlineLevel="0" collapsed="false">
      <c r="A519" s="11" t="s">
        <v>681</v>
      </c>
      <c r="B519" s="11" t="s">
        <v>14</v>
      </c>
      <c r="C519" s="11" t="n">
        <v>2022</v>
      </c>
      <c r="D519" s="11" t="n">
        <v>10</v>
      </c>
      <c r="E519" s="11" t="s">
        <v>126</v>
      </c>
      <c r="F519" s="11" t="s">
        <v>127</v>
      </c>
      <c r="G519" s="11" t="n">
        <v>16</v>
      </c>
      <c r="H519" s="12" t="s">
        <v>691</v>
      </c>
    </row>
    <row r="520" customFormat="false" ht="15" hidden="false" customHeight="false" outlineLevel="0" collapsed="false">
      <c r="A520" s="11" t="s">
        <v>681</v>
      </c>
      <c r="B520" s="11" t="s">
        <v>14</v>
      </c>
      <c r="C520" s="11" t="n">
        <v>2022</v>
      </c>
      <c r="D520" s="11" t="n">
        <v>11</v>
      </c>
      <c r="E520" s="11" t="s">
        <v>129</v>
      </c>
      <c r="F520" s="11" t="s">
        <v>130</v>
      </c>
      <c r="G520" s="11" t="n">
        <v>16</v>
      </c>
      <c r="H520" s="12" t="s">
        <v>692</v>
      </c>
    </row>
    <row r="521" customFormat="false" ht="15" hidden="false" customHeight="false" outlineLevel="0" collapsed="false">
      <c r="A521" s="11" t="s">
        <v>681</v>
      </c>
      <c r="B521" s="11" t="s">
        <v>14</v>
      </c>
      <c r="C521" s="11" t="n">
        <v>2022</v>
      </c>
      <c r="D521" s="11" t="n">
        <v>12</v>
      </c>
      <c r="E521" s="11" t="s">
        <v>132</v>
      </c>
      <c r="F521" s="11" t="s">
        <v>133</v>
      </c>
      <c r="G521" s="11" t="n">
        <v>16</v>
      </c>
      <c r="H521" s="12" t="s">
        <v>693</v>
      </c>
    </row>
    <row r="522" customFormat="false" ht="15" hidden="false" customHeight="false" outlineLevel="0" collapsed="false">
      <c r="A522" s="11" t="s">
        <v>681</v>
      </c>
      <c r="B522" s="11" t="s">
        <v>14</v>
      </c>
      <c r="C522" s="11" t="n">
        <v>2023</v>
      </c>
      <c r="D522" s="11" t="n">
        <v>1</v>
      </c>
      <c r="E522" s="11" t="s">
        <v>99</v>
      </c>
      <c r="F522" s="11" t="s">
        <v>135</v>
      </c>
      <c r="G522" s="11" t="n">
        <v>12</v>
      </c>
      <c r="H522" s="12" t="s">
        <v>694</v>
      </c>
    </row>
    <row r="523" customFormat="false" ht="15" hidden="false" customHeight="false" outlineLevel="0" collapsed="false">
      <c r="A523" s="11" t="s">
        <v>681</v>
      </c>
      <c r="B523" s="11" t="s">
        <v>14</v>
      </c>
      <c r="C523" s="11" t="n">
        <v>2023</v>
      </c>
      <c r="D523" s="11" t="n">
        <v>2</v>
      </c>
      <c r="E523" s="11" t="s">
        <v>102</v>
      </c>
      <c r="F523" s="11" t="s">
        <v>137</v>
      </c>
      <c r="G523" s="11" t="n">
        <v>12</v>
      </c>
      <c r="H523" s="12" t="s">
        <v>695</v>
      </c>
    </row>
    <row r="524" customFormat="false" ht="15" hidden="false" customHeight="false" outlineLevel="0" collapsed="false">
      <c r="A524" s="11" t="s">
        <v>681</v>
      </c>
      <c r="B524" s="11" t="s">
        <v>14</v>
      </c>
      <c r="C524" s="11" t="n">
        <v>2023</v>
      </c>
      <c r="D524" s="11" t="n">
        <v>3</v>
      </c>
      <c r="E524" s="11" t="s">
        <v>105</v>
      </c>
      <c r="F524" s="11" t="s">
        <v>139</v>
      </c>
      <c r="G524" s="11" t="n">
        <v>16</v>
      </c>
      <c r="H524" s="12" t="s">
        <v>696</v>
      </c>
    </row>
    <row r="525" customFormat="false" ht="15" hidden="false" customHeight="false" outlineLevel="0" collapsed="false">
      <c r="A525" s="11" t="s">
        <v>681</v>
      </c>
      <c r="B525" s="11" t="s">
        <v>14</v>
      </c>
      <c r="C525" s="11" t="n">
        <v>2023</v>
      </c>
      <c r="D525" s="11" t="n">
        <v>4</v>
      </c>
      <c r="E525" s="11" t="s">
        <v>108</v>
      </c>
      <c r="F525" s="11" t="s">
        <v>141</v>
      </c>
      <c r="G525" s="11" t="n">
        <v>16</v>
      </c>
      <c r="H525" s="12" t="s">
        <v>697</v>
      </c>
    </row>
    <row r="526" customFormat="false" ht="15" hidden="false" customHeight="false" outlineLevel="0" collapsed="false">
      <c r="A526" s="11" t="s">
        <v>681</v>
      </c>
      <c r="B526" s="11" t="s">
        <v>14</v>
      </c>
      <c r="C526" s="11" t="n">
        <v>2023</v>
      </c>
      <c r="D526" s="11" t="n">
        <v>5</v>
      </c>
      <c r="E526" s="11" t="s">
        <v>111</v>
      </c>
      <c r="F526" s="11" t="s">
        <v>143</v>
      </c>
      <c r="G526" s="11" t="n">
        <v>16</v>
      </c>
      <c r="H526" s="12" t="s">
        <v>698</v>
      </c>
    </row>
    <row r="527" customFormat="false" ht="15" hidden="false" customHeight="false" outlineLevel="0" collapsed="false">
      <c r="A527" s="11" t="s">
        <v>681</v>
      </c>
      <c r="B527" s="11" t="s">
        <v>14</v>
      </c>
      <c r="C527" s="11" t="n">
        <v>2023</v>
      </c>
      <c r="D527" s="11" t="n">
        <v>6</v>
      </c>
      <c r="E527" s="11" t="s">
        <v>114</v>
      </c>
      <c r="F527" s="11" t="s">
        <v>145</v>
      </c>
      <c r="G527" s="11" t="n">
        <v>20</v>
      </c>
      <c r="H527" s="12" t="s">
        <v>699</v>
      </c>
    </row>
    <row r="528" customFormat="false" ht="15" hidden="false" customHeight="false" outlineLevel="0" collapsed="false">
      <c r="A528" s="11" t="s">
        <v>681</v>
      </c>
      <c r="B528" s="11" t="s">
        <v>14</v>
      </c>
      <c r="C528" s="11" t="n">
        <v>2023</v>
      </c>
      <c r="D528" s="11" t="n">
        <v>7</v>
      </c>
      <c r="E528" s="11" t="s">
        <v>117</v>
      </c>
      <c r="F528" s="11" t="s">
        <v>147</v>
      </c>
      <c r="G528" s="11" t="n">
        <v>20</v>
      </c>
      <c r="H528" s="12" t="s">
        <v>700</v>
      </c>
    </row>
    <row r="529" customFormat="false" ht="15" hidden="false" customHeight="false" outlineLevel="0" collapsed="false">
      <c r="A529" s="11" t="s">
        <v>681</v>
      </c>
      <c r="B529" s="11" t="s">
        <v>14</v>
      </c>
      <c r="C529" s="11" t="n">
        <v>2023</v>
      </c>
      <c r="D529" s="11" t="n">
        <v>8</v>
      </c>
      <c r="E529" s="11" t="s">
        <v>120</v>
      </c>
      <c r="F529" s="11" t="s">
        <v>149</v>
      </c>
      <c r="G529" s="11" t="n">
        <v>16</v>
      </c>
      <c r="H529" s="12" t="s">
        <v>701</v>
      </c>
    </row>
    <row r="530" customFormat="false" ht="15" hidden="false" customHeight="false" outlineLevel="0" collapsed="false">
      <c r="A530" s="11" t="s">
        <v>681</v>
      </c>
      <c r="B530" s="11" t="s">
        <v>14</v>
      </c>
      <c r="C530" s="11" t="n">
        <v>2023</v>
      </c>
      <c r="D530" s="11" t="n">
        <v>9</v>
      </c>
      <c r="E530" s="11" t="s">
        <v>123</v>
      </c>
      <c r="F530" s="11" t="s">
        <v>151</v>
      </c>
      <c r="G530" s="11" t="n">
        <v>20</v>
      </c>
      <c r="H530" s="12" t="s">
        <v>702</v>
      </c>
    </row>
    <row r="531" customFormat="false" ht="15" hidden="false" customHeight="false" outlineLevel="0" collapsed="false">
      <c r="A531" s="11" t="s">
        <v>681</v>
      </c>
      <c r="B531" s="11" t="s">
        <v>14</v>
      </c>
      <c r="C531" s="11" t="n">
        <v>2023</v>
      </c>
      <c r="D531" s="11" t="n">
        <v>10</v>
      </c>
      <c r="E531" s="11" t="s">
        <v>126</v>
      </c>
      <c r="F531" s="11" t="s">
        <v>153</v>
      </c>
      <c r="G531" s="11" t="n">
        <v>16</v>
      </c>
      <c r="H531" s="12" t="s">
        <v>703</v>
      </c>
    </row>
    <row r="532" customFormat="false" ht="15" hidden="false" customHeight="false" outlineLevel="0" collapsed="false">
      <c r="A532" s="11" t="s">
        <v>681</v>
      </c>
      <c r="B532" s="11" t="s">
        <v>14</v>
      </c>
      <c r="C532" s="11" t="n">
        <v>2023</v>
      </c>
      <c r="D532" s="11" t="n">
        <v>11</v>
      </c>
      <c r="E532" s="11" t="s">
        <v>129</v>
      </c>
      <c r="F532" s="11" t="s">
        <v>155</v>
      </c>
      <c r="G532" s="11" t="n">
        <v>16</v>
      </c>
      <c r="H532" s="12" t="s">
        <v>704</v>
      </c>
    </row>
    <row r="533" customFormat="false" ht="15" hidden="false" customHeight="false" outlineLevel="0" collapsed="false">
      <c r="A533" s="11" t="s">
        <v>681</v>
      </c>
      <c r="B533" s="11" t="s">
        <v>14</v>
      </c>
      <c r="C533" s="11" t="n">
        <v>2023</v>
      </c>
      <c r="D533" s="11" t="n">
        <v>12</v>
      </c>
      <c r="E533" s="11" t="s">
        <v>132</v>
      </c>
      <c r="F533" s="11" t="s">
        <v>157</v>
      </c>
      <c r="G533" s="11" t="n">
        <v>16</v>
      </c>
      <c r="H533" s="12" t="s">
        <v>705</v>
      </c>
    </row>
    <row r="534" customFormat="false" ht="15" hidden="false" customHeight="false" outlineLevel="0" collapsed="false">
      <c r="A534" s="11" t="s">
        <v>681</v>
      </c>
      <c r="B534" s="11" t="s">
        <v>14</v>
      </c>
      <c r="C534" s="11" t="n">
        <v>2024</v>
      </c>
      <c r="D534" s="11" t="n">
        <v>1</v>
      </c>
      <c r="E534" s="11" t="s">
        <v>99</v>
      </c>
      <c r="F534" s="11" t="s">
        <v>159</v>
      </c>
      <c r="G534" s="11" t="n">
        <v>12</v>
      </c>
      <c r="H534" s="12" t="s">
        <v>706</v>
      </c>
    </row>
    <row r="535" customFormat="false" ht="15" hidden="false" customHeight="false" outlineLevel="0" collapsed="false">
      <c r="A535" s="11" t="s">
        <v>681</v>
      </c>
      <c r="B535" s="11" t="s">
        <v>14</v>
      </c>
      <c r="C535" s="11" t="n">
        <v>2024</v>
      </c>
      <c r="D535" s="11" t="n">
        <v>2</v>
      </c>
      <c r="E535" s="11" t="s">
        <v>102</v>
      </c>
      <c r="F535" s="11" t="s">
        <v>161</v>
      </c>
      <c r="G535" s="11" t="n">
        <v>12</v>
      </c>
      <c r="H535" s="12" t="s">
        <v>707</v>
      </c>
    </row>
    <row r="536" customFormat="false" ht="15" hidden="false" customHeight="false" outlineLevel="0" collapsed="false">
      <c r="A536" s="11" t="s">
        <v>681</v>
      </c>
      <c r="B536" s="11" t="s">
        <v>14</v>
      </c>
      <c r="C536" s="11" t="n">
        <v>2024</v>
      </c>
      <c r="D536" s="11" t="n">
        <v>3</v>
      </c>
      <c r="E536" s="11" t="s">
        <v>105</v>
      </c>
      <c r="F536" s="11" t="s">
        <v>163</v>
      </c>
      <c r="G536" s="11" t="n">
        <v>12</v>
      </c>
      <c r="H536" s="12" t="s">
        <v>708</v>
      </c>
    </row>
    <row r="537" customFormat="false" ht="15" hidden="false" customHeight="false" outlineLevel="0" collapsed="false">
      <c r="A537" s="11" t="s">
        <v>681</v>
      </c>
      <c r="B537" s="11" t="s">
        <v>14</v>
      </c>
      <c r="C537" s="11" t="n">
        <v>2024</v>
      </c>
      <c r="D537" s="11" t="n">
        <v>4</v>
      </c>
      <c r="E537" s="11" t="s">
        <v>108</v>
      </c>
      <c r="F537" s="11" t="s">
        <v>165</v>
      </c>
      <c r="G537" s="11" t="n">
        <v>16</v>
      </c>
      <c r="H537" s="12" t="s">
        <v>709</v>
      </c>
    </row>
    <row r="538" customFormat="false" ht="15" hidden="false" customHeight="false" outlineLevel="0" collapsed="false">
      <c r="A538" s="11" t="s">
        <v>681</v>
      </c>
      <c r="B538" s="11" t="s">
        <v>14</v>
      </c>
      <c r="C538" s="11" t="n">
        <v>2024</v>
      </c>
      <c r="D538" s="11" t="n">
        <v>5</v>
      </c>
      <c r="E538" s="11" t="s">
        <v>111</v>
      </c>
      <c r="F538" s="11" t="s">
        <v>167</v>
      </c>
      <c r="G538" s="11" t="n">
        <v>16</v>
      </c>
      <c r="H538" s="12" t="s">
        <v>710</v>
      </c>
    </row>
    <row r="539" customFormat="false" ht="15" hidden="false" customHeight="false" outlineLevel="0" collapsed="false">
      <c r="A539" s="11" t="s">
        <v>681</v>
      </c>
      <c r="B539" s="11" t="s">
        <v>14</v>
      </c>
      <c r="C539" s="11" t="n">
        <v>2024</v>
      </c>
      <c r="D539" s="11" t="n">
        <v>6</v>
      </c>
      <c r="E539" s="11" t="s">
        <v>114</v>
      </c>
      <c r="F539" s="11" t="s">
        <v>169</v>
      </c>
      <c r="G539" s="11" t="n">
        <v>16</v>
      </c>
      <c r="H539" s="12" t="s">
        <v>711</v>
      </c>
    </row>
    <row r="540" customFormat="false" ht="15" hidden="false" customHeight="false" outlineLevel="0" collapsed="false">
      <c r="A540" s="11" t="s">
        <v>681</v>
      </c>
      <c r="B540" s="11" t="s">
        <v>14</v>
      </c>
      <c r="C540" s="11" t="n">
        <v>2024</v>
      </c>
      <c r="D540" s="11" t="n">
        <v>7</v>
      </c>
      <c r="E540" s="11" t="s">
        <v>117</v>
      </c>
      <c r="F540" s="11" t="s">
        <v>171</v>
      </c>
      <c r="G540" s="11" t="n">
        <v>12</v>
      </c>
      <c r="H540" s="12" t="s">
        <v>712</v>
      </c>
    </row>
    <row r="541" customFormat="false" ht="15" hidden="false" customHeight="false" outlineLevel="0" collapsed="false">
      <c r="A541" s="11" t="s">
        <v>681</v>
      </c>
      <c r="B541" s="11" t="s">
        <v>14</v>
      </c>
      <c r="C541" s="11" t="n">
        <v>2024</v>
      </c>
      <c r="D541" s="11" t="n">
        <v>8</v>
      </c>
      <c r="E541" s="11" t="s">
        <v>120</v>
      </c>
      <c r="F541" s="11" t="s">
        <v>173</v>
      </c>
      <c r="G541" s="11" t="n">
        <v>12</v>
      </c>
      <c r="H541" s="12" t="s">
        <v>713</v>
      </c>
    </row>
    <row r="542" customFormat="false" ht="15" hidden="false" customHeight="false" outlineLevel="0" collapsed="false">
      <c r="A542" s="11" t="s">
        <v>681</v>
      </c>
      <c r="B542" s="11" t="s">
        <v>14</v>
      </c>
      <c r="C542" s="11" t="n">
        <v>2024</v>
      </c>
      <c r="D542" s="11" t="n">
        <v>9</v>
      </c>
      <c r="E542" s="11" t="s">
        <v>123</v>
      </c>
      <c r="F542" s="11" t="s">
        <v>175</v>
      </c>
      <c r="G542" s="11" t="n">
        <v>16</v>
      </c>
      <c r="H542" s="12" t="s">
        <v>714</v>
      </c>
    </row>
    <row r="543" customFormat="false" ht="15" hidden="false" customHeight="false" outlineLevel="0" collapsed="false">
      <c r="A543" s="11" t="s">
        <v>681</v>
      </c>
      <c r="B543" s="11" t="s">
        <v>14</v>
      </c>
      <c r="C543" s="11" t="n">
        <v>2024</v>
      </c>
      <c r="D543" s="11" t="n">
        <v>10</v>
      </c>
      <c r="E543" s="11" t="s">
        <v>126</v>
      </c>
      <c r="F543" s="11" t="s">
        <v>177</v>
      </c>
      <c r="G543" s="11" t="n">
        <v>12</v>
      </c>
      <c r="H543" s="12" t="s">
        <v>715</v>
      </c>
    </row>
    <row r="544" customFormat="false" ht="15" hidden="false" customHeight="false" outlineLevel="0" collapsed="false">
      <c r="A544" s="11" t="s">
        <v>681</v>
      </c>
      <c r="B544" s="11" t="s">
        <v>14</v>
      </c>
      <c r="C544" s="11" t="n">
        <v>2024</v>
      </c>
      <c r="D544" s="11" t="n">
        <v>11</v>
      </c>
      <c r="E544" s="11" t="s">
        <v>129</v>
      </c>
      <c r="F544" s="11" t="s">
        <v>179</v>
      </c>
      <c r="G544" s="11" t="n">
        <v>12</v>
      </c>
      <c r="H544" s="12" t="s">
        <v>716</v>
      </c>
    </row>
    <row r="545" customFormat="false" ht="15" hidden="false" customHeight="false" outlineLevel="0" collapsed="false">
      <c r="A545" s="11" t="s">
        <v>681</v>
      </c>
      <c r="B545" s="11" t="s">
        <v>14</v>
      </c>
      <c r="C545" s="11" t="n">
        <v>2024</v>
      </c>
      <c r="D545" s="11" t="n">
        <v>12</v>
      </c>
      <c r="E545" s="11" t="s">
        <v>132</v>
      </c>
      <c r="F545" s="11" t="s">
        <v>181</v>
      </c>
      <c r="G545" s="11" t="n">
        <v>8</v>
      </c>
      <c r="H545" s="12" t="s">
        <v>717</v>
      </c>
    </row>
    <row r="546" customFormat="false" ht="15" hidden="false" customHeight="false" outlineLevel="0" collapsed="false">
      <c r="A546" s="11" t="s">
        <v>681</v>
      </c>
      <c r="B546" s="11" t="s">
        <v>14</v>
      </c>
      <c r="C546" s="11" t="n">
        <v>2025</v>
      </c>
      <c r="D546" s="11" t="n">
        <v>1</v>
      </c>
      <c r="E546" s="11" t="s">
        <v>99</v>
      </c>
      <c r="F546" s="11" t="s">
        <v>183</v>
      </c>
      <c r="G546" s="11" t="n">
        <v>8</v>
      </c>
      <c r="H546" s="12" t="s">
        <v>718</v>
      </c>
    </row>
    <row r="547" customFormat="false" ht="15" hidden="false" customHeight="false" outlineLevel="0" collapsed="false">
      <c r="A547" s="11" t="s">
        <v>681</v>
      </c>
      <c r="B547" s="11" t="s">
        <v>14</v>
      </c>
      <c r="C547" s="11" t="n">
        <v>2025</v>
      </c>
      <c r="D547" s="11" t="n">
        <v>2</v>
      </c>
      <c r="E547" s="11" t="s">
        <v>102</v>
      </c>
      <c r="F547" s="11" t="s">
        <v>185</v>
      </c>
      <c r="G547" s="11" t="n">
        <v>12</v>
      </c>
      <c r="H547" s="12" t="s">
        <v>719</v>
      </c>
    </row>
    <row r="548" customFormat="false" ht="15" hidden="false" customHeight="false" outlineLevel="0" collapsed="false">
      <c r="A548" s="11" t="s">
        <v>681</v>
      </c>
      <c r="B548" s="11" t="s">
        <v>14</v>
      </c>
      <c r="C548" s="11" t="n">
        <v>2025</v>
      </c>
      <c r="D548" s="11" t="n">
        <v>3</v>
      </c>
      <c r="E548" s="11" t="s">
        <v>105</v>
      </c>
      <c r="F548" s="11" t="s">
        <v>187</v>
      </c>
      <c r="G548" s="11" t="n">
        <v>12</v>
      </c>
      <c r="H548" s="12" t="s">
        <v>720</v>
      </c>
    </row>
    <row r="549" customFormat="false" ht="15" hidden="false" customHeight="false" outlineLevel="0" collapsed="false">
      <c r="A549" s="11" t="s">
        <v>681</v>
      </c>
      <c r="B549" s="11" t="s">
        <v>14</v>
      </c>
      <c r="C549" s="11" t="n">
        <v>2025</v>
      </c>
      <c r="D549" s="11" t="n">
        <v>4</v>
      </c>
      <c r="E549" s="11" t="s">
        <v>108</v>
      </c>
      <c r="F549" s="11" t="s">
        <v>189</v>
      </c>
      <c r="G549" s="11" t="n">
        <v>16</v>
      </c>
      <c r="H549" s="12" t="s">
        <v>721</v>
      </c>
    </row>
    <row r="550" customFormat="false" ht="15" hidden="false" customHeight="false" outlineLevel="0" collapsed="false">
      <c r="A550" s="11" t="s">
        <v>681</v>
      </c>
      <c r="B550" s="11" t="s">
        <v>14</v>
      </c>
      <c r="C550" s="11" t="n">
        <v>2025</v>
      </c>
      <c r="D550" s="11" t="n">
        <v>5</v>
      </c>
      <c r="E550" s="11" t="s">
        <v>111</v>
      </c>
      <c r="F550" s="11" t="s">
        <v>191</v>
      </c>
      <c r="G550" s="11" t="n">
        <v>16</v>
      </c>
      <c r="H550" s="12" t="s">
        <v>722</v>
      </c>
    </row>
    <row r="551" customFormat="false" ht="15" hidden="false" customHeight="false" outlineLevel="0" collapsed="false">
      <c r="A551" s="11" t="s">
        <v>681</v>
      </c>
      <c r="B551" s="11" t="s">
        <v>14</v>
      </c>
      <c r="C551" s="11" t="n">
        <v>2025</v>
      </c>
      <c r="D551" s="11" t="n">
        <v>6</v>
      </c>
      <c r="E551" s="11" t="s">
        <v>114</v>
      </c>
      <c r="F551" s="11" t="s">
        <v>193</v>
      </c>
      <c r="G551" s="11" t="n">
        <v>12</v>
      </c>
      <c r="H551" s="12" t="s">
        <v>723</v>
      </c>
    </row>
    <row r="552" customFormat="false" ht="15" hidden="false" customHeight="false" outlineLevel="0" collapsed="false">
      <c r="A552" s="11" t="s">
        <v>681</v>
      </c>
      <c r="B552" s="11" t="s">
        <v>14</v>
      </c>
      <c r="C552" s="11" t="n">
        <v>2025</v>
      </c>
      <c r="D552" s="11" t="n">
        <v>7</v>
      </c>
      <c r="E552" s="11" t="s">
        <v>117</v>
      </c>
      <c r="F552" s="11" t="s">
        <v>195</v>
      </c>
      <c r="G552" s="11" t="n">
        <v>12</v>
      </c>
      <c r="H552" s="12" t="s">
        <v>724</v>
      </c>
    </row>
    <row r="553" customFormat="false" ht="15" hidden="false" customHeight="false" outlineLevel="0" collapsed="false">
      <c r="A553" s="11" t="s">
        <v>681</v>
      </c>
      <c r="B553" s="11" t="s">
        <v>14</v>
      </c>
      <c r="C553" s="11" t="n">
        <v>2025</v>
      </c>
      <c r="D553" s="11" t="n">
        <v>8</v>
      </c>
      <c r="E553" s="11" t="s">
        <v>120</v>
      </c>
      <c r="F553" s="11" t="s">
        <v>197</v>
      </c>
      <c r="G553" s="11" t="n">
        <v>16</v>
      </c>
      <c r="H553" s="12" t="s">
        <v>725</v>
      </c>
    </row>
    <row r="554" customFormat="false" ht="15" hidden="false" customHeight="false" outlineLevel="0" collapsed="false">
      <c r="A554" s="11" t="s">
        <v>681</v>
      </c>
      <c r="B554" s="11" t="s">
        <v>14</v>
      </c>
      <c r="C554" s="11" t="n">
        <v>2025</v>
      </c>
      <c r="D554" s="11" t="n">
        <v>9</v>
      </c>
      <c r="E554" s="11" t="s">
        <v>123</v>
      </c>
      <c r="F554" s="11" t="s">
        <v>199</v>
      </c>
      <c r="G554" s="11" t="n">
        <v>12</v>
      </c>
      <c r="H554" s="12" t="s">
        <v>726</v>
      </c>
    </row>
    <row r="555" customFormat="false" ht="15" hidden="false" customHeight="false" outlineLevel="0" collapsed="false">
      <c r="A555" s="11" t="s">
        <v>681</v>
      </c>
      <c r="B555" s="11" t="s">
        <v>14</v>
      </c>
      <c r="C555" s="11" t="n">
        <v>2025</v>
      </c>
      <c r="D555" s="11" t="n">
        <v>10</v>
      </c>
      <c r="E555" s="11" t="s">
        <v>126</v>
      </c>
      <c r="F555" s="11" t="s">
        <v>201</v>
      </c>
      <c r="G555" s="11" t="n">
        <v>16</v>
      </c>
      <c r="H555" s="12" t="s">
        <v>727</v>
      </c>
    </row>
    <row r="556" customFormat="false" ht="15" hidden="false" customHeight="false" outlineLevel="0" collapsed="false">
      <c r="A556" s="11" t="s">
        <v>681</v>
      </c>
      <c r="B556" s="11" t="s">
        <v>14</v>
      </c>
      <c r="C556" s="11" t="n">
        <v>2025</v>
      </c>
      <c r="D556" s="11" t="n">
        <v>11</v>
      </c>
      <c r="E556" s="11" t="s">
        <v>129</v>
      </c>
      <c r="F556" s="11" t="s">
        <v>203</v>
      </c>
      <c r="G556" s="11" t="n">
        <v>12</v>
      </c>
      <c r="H556" s="12" t="s">
        <v>728</v>
      </c>
    </row>
    <row r="557" customFormat="false" ht="15" hidden="false" customHeight="false" outlineLevel="0" collapsed="false">
      <c r="A557" s="11" t="s">
        <v>681</v>
      </c>
      <c r="B557" s="11" t="s">
        <v>14</v>
      </c>
      <c r="C557" s="11" t="n">
        <v>2025</v>
      </c>
      <c r="D557" s="11" t="n">
        <v>12</v>
      </c>
      <c r="E557" s="11" t="s">
        <v>132</v>
      </c>
      <c r="F557" s="11" t="s">
        <v>205</v>
      </c>
      <c r="G557" s="11" t="n">
        <v>12</v>
      </c>
      <c r="H557" s="12" t="s">
        <v>729</v>
      </c>
    </row>
    <row r="558" customFormat="false" ht="15" hidden="false" customHeight="false" outlineLevel="0" collapsed="false">
      <c r="A558" s="11" t="s">
        <v>681</v>
      </c>
      <c r="B558" s="11" t="s">
        <v>14</v>
      </c>
      <c r="C558" s="11" t="n">
        <v>2026</v>
      </c>
      <c r="D558" s="11" t="n">
        <v>1</v>
      </c>
      <c r="E558" s="11" t="s">
        <v>99</v>
      </c>
      <c r="F558" s="11" t="s">
        <v>207</v>
      </c>
      <c r="G558" s="11" t="n">
        <v>12</v>
      </c>
      <c r="H558" s="12" t="s">
        <v>730</v>
      </c>
    </row>
    <row r="559" customFormat="false" ht="15" hidden="false" customHeight="false" outlineLevel="0" collapsed="false">
      <c r="A559" s="11" t="s">
        <v>681</v>
      </c>
      <c r="B559" s="11" t="s">
        <v>14</v>
      </c>
      <c r="C559" s="11" t="n">
        <v>2026</v>
      </c>
      <c r="D559" s="11" t="n">
        <v>2</v>
      </c>
      <c r="E559" s="11" t="s">
        <v>102</v>
      </c>
      <c r="F559" s="11" t="s">
        <v>209</v>
      </c>
      <c r="G559" s="11" t="n">
        <v>12</v>
      </c>
      <c r="H559" s="12" t="s">
        <v>731</v>
      </c>
    </row>
    <row r="560" customFormat="false" ht="15" hidden="false" customHeight="false" outlineLevel="0" collapsed="false">
      <c r="A560" s="11" t="s">
        <v>681</v>
      </c>
      <c r="B560" s="11" t="s">
        <v>14</v>
      </c>
      <c r="C560" s="11" t="n">
        <v>2026</v>
      </c>
      <c r="D560" s="11" t="n">
        <v>3</v>
      </c>
      <c r="E560" s="11" t="s">
        <v>105</v>
      </c>
      <c r="F560" s="11" t="s">
        <v>211</v>
      </c>
      <c r="G560" s="11" t="n">
        <v>12</v>
      </c>
      <c r="H560" s="12" t="s">
        <v>732</v>
      </c>
    </row>
    <row r="561" customFormat="false" ht="15" hidden="false" customHeight="false" outlineLevel="0" collapsed="false">
      <c r="A561" s="11" t="s">
        <v>681</v>
      </c>
      <c r="B561" s="11" t="s">
        <v>14</v>
      </c>
      <c r="C561" s="11" t="n">
        <v>2026</v>
      </c>
      <c r="D561" s="11" t="n">
        <v>4</v>
      </c>
      <c r="E561" s="11" t="s">
        <v>108</v>
      </c>
      <c r="F561" s="11" t="s">
        <v>213</v>
      </c>
      <c r="G561" s="11" t="n">
        <v>16</v>
      </c>
      <c r="H561" s="12" t="s">
        <v>733</v>
      </c>
    </row>
    <row r="562" customFormat="false" ht="15" hidden="false" customHeight="false" outlineLevel="0" collapsed="false">
      <c r="A562" s="11" t="s">
        <v>681</v>
      </c>
      <c r="B562" s="11" t="s">
        <v>14</v>
      </c>
      <c r="C562" s="11" t="n">
        <v>2026</v>
      </c>
      <c r="D562" s="11" t="n">
        <v>5</v>
      </c>
      <c r="E562" s="11" t="s">
        <v>111</v>
      </c>
      <c r="F562" s="11" t="s">
        <v>215</v>
      </c>
      <c r="G562" s="11" t="n">
        <v>12</v>
      </c>
      <c r="H562" s="12" t="s">
        <v>734</v>
      </c>
    </row>
    <row r="563" customFormat="false" ht="15" hidden="false" customHeight="false" outlineLevel="0" collapsed="false">
      <c r="A563" s="11" t="s">
        <v>735</v>
      </c>
      <c r="B563" s="11" t="s">
        <v>15</v>
      </c>
      <c r="C563" s="11" t="n">
        <v>2022</v>
      </c>
      <c r="D563" s="11" t="n">
        <v>1</v>
      </c>
      <c r="E563" s="11" t="s">
        <v>99</v>
      </c>
      <c r="F563" s="11" t="s">
        <v>100</v>
      </c>
      <c r="G563" s="11" t="n">
        <v>16</v>
      </c>
      <c r="H563" s="12" t="s">
        <v>736</v>
      </c>
    </row>
    <row r="564" customFormat="false" ht="15" hidden="false" customHeight="false" outlineLevel="0" collapsed="false">
      <c r="A564" s="11" t="s">
        <v>735</v>
      </c>
      <c r="B564" s="11" t="s">
        <v>15</v>
      </c>
      <c r="C564" s="11" t="n">
        <v>2022</v>
      </c>
      <c r="D564" s="11" t="n">
        <v>2</v>
      </c>
      <c r="E564" s="11" t="s">
        <v>102</v>
      </c>
      <c r="F564" s="11" t="s">
        <v>103</v>
      </c>
      <c r="G564" s="11" t="n">
        <v>16</v>
      </c>
      <c r="H564" s="12" t="s">
        <v>737</v>
      </c>
    </row>
    <row r="565" customFormat="false" ht="15" hidden="false" customHeight="false" outlineLevel="0" collapsed="false">
      <c r="A565" s="11" t="s">
        <v>735</v>
      </c>
      <c r="B565" s="11" t="s">
        <v>15</v>
      </c>
      <c r="C565" s="11" t="n">
        <v>2022</v>
      </c>
      <c r="D565" s="11" t="n">
        <v>3</v>
      </c>
      <c r="E565" s="11" t="s">
        <v>105</v>
      </c>
      <c r="F565" s="11" t="s">
        <v>106</v>
      </c>
      <c r="G565" s="11" t="n">
        <v>20</v>
      </c>
      <c r="H565" s="12" t="s">
        <v>738</v>
      </c>
    </row>
    <row r="566" customFormat="false" ht="15" hidden="false" customHeight="false" outlineLevel="0" collapsed="false">
      <c r="A566" s="11" t="s">
        <v>735</v>
      </c>
      <c r="B566" s="11" t="s">
        <v>15</v>
      </c>
      <c r="C566" s="11" t="n">
        <v>2022</v>
      </c>
      <c r="D566" s="11" t="n">
        <v>4</v>
      </c>
      <c r="E566" s="11" t="s">
        <v>108</v>
      </c>
      <c r="F566" s="11" t="s">
        <v>109</v>
      </c>
      <c r="G566" s="11" t="n">
        <v>24</v>
      </c>
      <c r="H566" s="12" t="s">
        <v>739</v>
      </c>
    </row>
    <row r="567" customFormat="false" ht="15" hidden="false" customHeight="false" outlineLevel="0" collapsed="false">
      <c r="A567" s="11" t="s">
        <v>735</v>
      </c>
      <c r="B567" s="11" t="s">
        <v>15</v>
      </c>
      <c r="C567" s="11" t="n">
        <v>2022</v>
      </c>
      <c r="D567" s="11" t="n">
        <v>5</v>
      </c>
      <c r="E567" s="11" t="s">
        <v>111</v>
      </c>
      <c r="F567" s="11" t="s">
        <v>112</v>
      </c>
      <c r="G567" s="11" t="n">
        <v>24</v>
      </c>
      <c r="H567" s="12" t="s">
        <v>740</v>
      </c>
    </row>
    <row r="568" customFormat="false" ht="15" hidden="false" customHeight="false" outlineLevel="0" collapsed="false">
      <c r="A568" s="11" t="s">
        <v>735</v>
      </c>
      <c r="B568" s="11" t="s">
        <v>15</v>
      </c>
      <c r="C568" s="11" t="n">
        <v>2022</v>
      </c>
      <c r="D568" s="11" t="n">
        <v>6</v>
      </c>
      <c r="E568" s="11" t="s">
        <v>114</v>
      </c>
      <c r="F568" s="11" t="s">
        <v>115</v>
      </c>
      <c r="G568" s="11" t="n">
        <v>20</v>
      </c>
      <c r="H568" s="12" t="s">
        <v>741</v>
      </c>
    </row>
    <row r="569" customFormat="false" ht="15" hidden="false" customHeight="false" outlineLevel="0" collapsed="false">
      <c r="A569" s="11" t="s">
        <v>735</v>
      </c>
      <c r="B569" s="11" t="s">
        <v>15</v>
      </c>
      <c r="C569" s="11" t="n">
        <v>2022</v>
      </c>
      <c r="D569" s="11" t="n">
        <v>7</v>
      </c>
      <c r="E569" s="11" t="s">
        <v>117</v>
      </c>
      <c r="F569" s="11" t="s">
        <v>118</v>
      </c>
      <c r="G569" s="11" t="n">
        <v>20</v>
      </c>
      <c r="H569" s="12" t="s">
        <v>742</v>
      </c>
    </row>
    <row r="570" customFormat="false" ht="15" hidden="false" customHeight="false" outlineLevel="0" collapsed="false">
      <c r="A570" s="11" t="s">
        <v>735</v>
      </c>
      <c r="B570" s="11" t="s">
        <v>15</v>
      </c>
      <c r="C570" s="11" t="n">
        <v>2022</v>
      </c>
      <c r="D570" s="11" t="n">
        <v>8</v>
      </c>
      <c r="E570" s="11" t="s">
        <v>120</v>
      </c>
      <c r="F570" s="11" t="s">
        <v>121</v>
      </c>
      <c r="G570" s="11" t="n">
        <v>20</v>
      </c>
      <c r="H570" s="12" t="s">
        <v>743</v>
      </c>
    </row>
    <row r="571" customFormat="false" ht="15" hidden="false" customHeight="false" outlineLevel="0" collapsed="false">
      <c r="A571" s="11" t="s">
        <v>735</v>
      </c>
      <c r="B571" s="11" t="s">
        <v>15</v>
      </c>
      <c r="C571" s="11" t="n">
        <v>2022</v>
      </c>
      <c r="D571" s="11" t="n">
        <v>9</v>
      </c>
      <c r="E571" s="11" t="s">
        <v>123</v>
      </c>
      <c r="F571" s="11" t="s">
        <v>124</v>
      </c>
      <c r="G571" s="11" t="n">
        <v>24</v>
      </c>
      <c r="H571" s="12" t="s">
        <v>744</v>
      </c>
    </row>
    <row r="572" customFormat="false" ht="15" hidden="false" customHeight="false" outlineLevel="0" collapsed="false">
      <c r="A572" s="11" t="s">
        <v>735</v>
      </c>
      <c r="B572" s="11" t="s">
        <v>15</v>
      </c>
      <c r="C572" s="11" t="n">
        <v>2022</v>
      </c>
      <c r="D572" s="11" t="n">
        <v>10</v>
      </c>
      <c r="E572" s="11" t="s">
        <v>126</v>
      </c>
      <c r="F572" s="11" t="s">
        <v>127</v>
      </c>
      <c r="G572" s="11" t="n">
        <v>24</v>
      </c>
      <c r="H572" s="12" t="s">
        <v>745</v>
      </c>
    </row>
    <row r="573" customFormat="false" ht="15" hidden="false" customHeight="false" outlineLevel="0" collapsed="false">
      <c r="A573" s="11" t="s">
        <v>735</v>
      </c>
      <c r="B573" s="11" t="s">
        <v>15</v>
      </c>
      <c r="C573" s="11" t="n">
        <v>2022</v>
      </c>
      <c r="D573" s="11" t="n">
        <v>11</v>
      </c>
      <c r="E573" s="11" t="s">
        <v>129</v>
      </c>
      <c r="F573" s="11" t="s">
        <v>130</v>
      </c>
      <c r="G573" s="11" t="n">
        <v>20</v>
      </c>
      <c r="H573" s="12" t="s">
        <v>746</v>
      </c>
    </row>
    <row r="574" customFormat="false" ht="15" hidden="false" customHeight="false" outlineLevel="0" collapsed="false">
      <c r="A574" s="11" t="s">
        <v>735</v>
      </c>
      <c r="B574" s="11" t="s">
        <v>15</v>
      </c>
      <c r="C574" s="11" t="n">
        <v>2022</v>
      </c>
      <c r="D574" s="11" t="n">
        <v>12</v>
      </c>
      <c r="E574" s="11" t="s">
        <v>132</v>
      </c>
      <c r="F574" s="11" t="s">
        <v>133</v>
      </c>
      <c r="G574" s="11" t="n">
        <v>24</v>
      </c>
      <c r="H574" s="12" t="s">
        <v>747</v>
      </c>
    </row>
    <row r="575" customFormat="false" ht="15" hidden="false" customHeight="false" outlineLevel="0" collapsed="false">
      <c r="A575" s="11" t="s">
        <v>735</v>
      </c>
      <c r="B575" s="11" t="s">
        <v>15</v>
      </c>
      <c r="C575" s="11" t="n">
        <v>2023</v>
      </c>
      <c r="D575" s="11" t="n">
        <v>1</v>
      </c>
      <c r="E575" s="11" t="s">
        <v>99</v>
      </c>
      <c r="F575" s="11" t="s">
        <v>135</v>
      </c>
      <c r="G575" s="11" t="n">
        <v>16</v>
      </c>
      <c r="H575" s="12" t="s">
        <v>748</v>
      </c>
    </row>
    <row r="576" customFormat="false" ht="15" hidden="false" customHeight="false" outlineLevel="0" collapsed="false">
      <c r="A576" s="11" t="s">
        <v>735</v>
      </c>
      <c r="B576" s="11" t="s">
        <v>15</v>
      </c>
      <c r="C576" s="11" t="n">
        <v>2023</v>
      </c>
      <c r="D576" s="11" t="n">
        <v>2</v>
      </c>
      <c r="E576" s="11" t="s">
        <v>102</v>
      </c>
      <c r="F576" s="11" t="s">
        <v>137</v>
      </c>
      <c r="G576" s="11" t="n">
        <v>16</v>
      </c>
      <c r="H576" s="12" t="s">
        <v>749</v>
      </c>
    </row>
    <row r="577" customFormat="false" ht="15" hidden="false" customHeight="false" outlineLevel="0" collapsed="false">
      <c r="A577" s="11" t="s">
        <v>735</v>
      </c>
      <c r="B577" s="11" t="s">
        <v>15</v>
      </c>
      <c r="C577" s="11" t="n">
        <v>2023</v>
      </c>
      <c r="D577" s="11" t="n">
        <v>3</v>
      </c>
      <c r="E577" s="11" t="s">
        <v>105</v>
      </c>
      <c r="F577" s="11" t="s">
        <v>139</v>
      </c>
      <c r="G577" s="11" t="n">
        <v>20</v>
      </c>
      <c r="H577" s="12" t="s">
        <v>750</v>
      </c>
    </row>
    <row r="578" customFormat="false" ht="15" hidden="false" customHeight="false" outlineLevel="0" collapsed="false">
      <c r="A578" s="11" t="s">
        <v>735</v>
      </c>
      <c r="B578" s="11" t="s">
        <v>15</v>
      </c>
      <c r="C578" s="11" t="n">
        <v>2023</v>
      </c>
      <c r="D578" s="11" t="n">
        <v>4</v>
      </c>
      <c r="E578" s="11" t="s">
        <v>108</v>
      </c>
      <c r="F578" s="11" t="s">
        <v>141</v>
      </c>
      <c r="G578" s="11" t="n">
        <v>20</v>
      </c>
      <c r="H578" s="12" t="s">
        <v>751</v>
      </c>
    </row>
    <row r="579" customFormat="false" ht="15" hidden="false" customHeight="false" outlineLevel="0" collapsed="false">
      <c r="A579" s="11" t="s">
        <v>735</v>
      </c>
      <c r="B579" s="11" t="s">
        <v>15</v>
      </c>
      <c r="C579" s="11" t="n">
        <v>2023</v>
      </c>
      <c r="D579" s="11" t="n">
        <v>5</v>
      </c>
      <c r="E579" s="11" t="s">
        <v>111</v>
      </c>
      <c r="F579" s="11" t="s">
        <v>143</v>
      </c>
      <c r="G579" s="11" t="n">
        <v>24</v>
      </c>
      <c r="H579" s="12" t="s">
        <v>752</v>
      </c>
    </row>
    <row r="580" customFormat="false" ht="15" hidden="false" customHeight="false" outlineLevel="0" collapsed="false">
      <c r="A580" s="11" t="s">
        <v>735</v>
      </c>
      <c r="B580" s="11" t="s">
        <v>15</v>
      </c>
      <c r="C580" s="11" t="n">
        <v>2023</v>
      </c>
      <c r="D580" s="11" t="n">
        <v>6</v>
      </c>
      <c r="E580" s="11" t="s">
        <v>114</v>
      </c>
      <c r="F580" s="11" t="s">
        <v>145</v>
      </c>
      <c r="G580" s="11" t="n">
        <v>24</v>
      </c>
      <c r="H580" s="12" t="s">
        <v>753</v>
      </c>
    </row>
    <row r="581" customFormat="false" ht="15" hidden="false" customHeight="false" outlineLevel="0" collapsed="false">
      <c r="A581" s="11" t="s">
        <v>735</v>
      </c>
      <c r="B581" s="11" t="s">
        <v>15</v>
      </c>
      <c r="C581" s="11" t="n">
        <v>2023</v>
      </c>
      <c r="D581" s="11" t="n">
        <v>7</v>
      </c>
      <c r="E581" s="11" t="s">
        <v>117</v>
      </c>
      <c r="F581" s="11" t="s">
        <v>147</v>
      </c>
      <c r="G581" s="11" t="n">
        <v>28</v>
      </c>
      <c r="H581" s="12" t="s">
        <v>754</v>
      </c>
    </row>
    <row r="582" customFormat="false" ht="15" hidden="false" customHeight="false" outlineLevel="0" collapsed="false">
      <c r="A582" s="11" t="s">
        <v>735</v>
      </c>
      <c r="B582" s="11" t="s">
        <v>15</v>
      </c>
      <c r="C582" s="11" t="n">
        <v>2023</v>
      </c>
      <c r="D582" s="11" t="n">
        <v>8</v>
      </c>
      <c r="E582" s="11" t="s">
        <v>120</v>
      </c>
      <c r="F582" s="11" t="s">
        <v>149</v>
      </c>
      <c r="G582" s="11" t="n">
        <v>24</v>
      </c>
      <c r="H582" s="12" t="s">
        <v>755</v>
      </c>
    </row>
    <row r="583" customFormat="false" ht="15" hidden="false" customHeight="false" outlineLevel="0" collapsed="false">
      <c r="A583" s="11" t="s">
        <v>735</v>
      </c>
      <c r="B583" s="11" t="s">
        <v>15</v>
      </c>
      <c r="C583" s="11" t="n">
        <v>2023</v>
      </c>
      <c r="D583" s="11" t="n">
        <v>9</v>
      </c>
      <c r="E583" s="11" t="s">
        <v>123</v>
      </c>
      <c r="F583" s="11" t="s">
        <v>151</v>
      </c>
      <c r="G583" s="11" t="n">
        <v>24</v>
      </c>
      <c r="H583" s="12" t="s">
        <v>756</v>
      </c>
    </row>
    <row r="584" customFormat="false" ht="15" hidden="false" customHeight="false" outlineLevel="0" collapsed="false">
      <c r="A584" s="11" t="s">
        <v>735</v>
      </c>
      <c r="B584" s="11" t="s">
        <v>15</v>
      </c>
      <c r="C584" s="11" t="n">
        <v>2023</v>
      </c>
      <c r="D584" s="11" t="n">
        <v>10</v>
      </c>
      <c r="E584" s="11" t="s">
        <v>126</v>
      </c>
      <c r="F584" s="11" t="s">
        <v>153</v>
      </c>
      <c r="G584" s="11" t="n">
        <v>24</v>
      </c>
      <c r="H584" s="12" t="s">
        <v>757</v>
      </c>
    </row>
    <row r="585" customFormat="false" ht="15" hidden="false" customHeight="false" outlineLevel="0" collapsed="false">
      <c r="A585" s="11" t="s">
        <v>735</v>
      </c>
      <c r="B585" s="11" t="s">
        <v>15</v>
      </c>
      <c r="C585" s="11" t="n">
        <v>2023</v>
      </c>
      <c r="D585" s="11" t="n">
        <v>11</v>
      </c>
      <c r="E585" s="11" t="s">
        <v>129</v>
      </c>
      <c r="F585" s="11" t="s">
        <v>155</v>
      </c>
      <c r="G585" s="11" t="n">
        <v>24</v>
      </c>
      <c r="H585" s="12" t="s">
        <v>758</v>
      </c>
    </row>
    <row r="586" customFormat="false" ht="15" hidden="false" customHeight="false" outlineLevel="0" collapsed="false">
      <c r="A586" s="11" t="s">
        <v>735</v>
      </c>
      <c r="B586" s="11" t="s">
        <v>15</v>
      </c>
      <c r="C586" s="11" t="n">
        <v>2023</v>
      </c>
      <c r="D586" s="11" t="n">
        <v>12</v>
      </c>
      <c r="E586" s="11" t="s">
        <v>132</v>
      </c>
      <c r="F586" s="11" t="s">
        <v>157</v>
      </c>
      <c r="G586" s="11" t="n">
        <v>24</v>
      </c>
      <c r="H586" s="12" t="s">
        <v>759</v>
      </c>
    </row>
    <row r="587" customFormat="false" ht="15" hidden="false" customHeight="false" outlineLevel="0" collapsed="false">
      <c r="A587" s="11" t="s">
        <v>735</v>
      </c>
      <c r="B587" s="11" t="s">
        <v>15</v>
      </c>
      <c r="C587" s="11" t="n">
        <v>2024</v>
      </c>
      <c r="D587" s="11" t="n">
        <v>1</v>
      </c>
      <c r="E587" s="11" t="s">
        <v>99</v>
      </c>
      <c r="F587" s="11" t="s">
        <v>159</v>
      </c>
      <c r="G587" s="11" t="n">
        <v>16</v>
      </c>
      <c r="H587" s="12" t="s">
        <v>760</v>
      </c>
    </row>
    <row r="588" customFormat="false" ht="15" hidden="false" customHeight="false" outlineLevel="0" collapsed="false">
      <c r="A588" s="11" t="s">
        <v>735</v>
      </c>
      <c r="B588" s="11" t="s">
        <v>15</v>
      </c>
      <c r="C588" s="11" t="n">
        <v>2024</v>
      </c>
      <c r="D588" s="11" t="n">
        <v>2</v>
      </c>
      <c r="E588" s="11" t="s">
        <v>102</v>
      </c>
      <c r="F588" s="11" t="s">
        <v>161</v>
      </c>
      <c r="G588" s="11" t="n">
        <v>16</v>
      </c>
      <c r="H588" s="12" t="s">
        <v>761</v>
      </c>
    </row>
    <row r="589" customFormat="false" ht="15" hidden="false" customHeight="false" outlineLevel="0" collapsed="false">
      <c r="A589" s="11" t="s">
        <v>735</v>
      </c>
      <c r="B589" s="11" t="s">
        <v>15</v>
      </c>
      <c r="C589" s="11" t="n">
        <v>2024</v>
      </c>
      <c r="D589" s="11" t="n">
        <v>3</v>
      </c>
      <c r="E589" s="11" t="s">
        <v>105</v>
      </c>
      <c r="F589" s="11" t="s">
        <v>163</v>
      </c>
      <c r="G589" s="11" t="n">
        <v>16</v>
      </c>
      <c r="H589" s="12" t="s">
        <v>762</v>
      </c>
    </row>
    <row r="590" customFormat="false" ht="15" hidden="false" customHeight="false" outlineLevel="0" collapsed="false">
      <c r="A590" s="11" t="s">
        <v>735</v>
      </c>
      <c r="B590" s="11" t="s">
        <v>15</v>
      </c>
      <c r="C590" s="11" t="n">
        <v>2024</v>
      </c>
      <c r="D590" s="11" t="n">
        <v>4</v>
      </c>
      <c r="E590" s="11" t="s">
        <v>108</v>
      </c>
      <c r="F590" s="11" t="s">
        <v>165</v>
      </c>
      <c r="G590" s="11" t="n">
        <v>24</v>
      </c>
      <c r="H590" s="12" t="s">
        <v>763</v>
      </c>
    </row>
    <row r="591" customFormat="false" ht="15" hidden="false" customHeight="false" outlineLevel="0" collapsed="false">
      <c r="A591" s="11" t="s">
        <v>735</v>
      </c>
      <c r="B591" s="11" t="s">
        <v>15</v>
      </c>
      <c r="C591" s="11" t="n">
        <v>2024</v>
      </c>
      <c r="D591" s="11" t="n">
        <v>5</v>
      </c>
      <c r="E591" s="11" t="s">
        <v>111</v>
      </c>
      <c r="F591" s="11" t="s">
        <v>167</v>
      </c>
      <c r="G591" s="11" t="n">
        <v>28</v>
      </c>
      <c r="H591" s="12" t="s">
        <v>764</v>
      </c>
    </row>
    <row r="592" customFormat="false" ht="15" hidden="false" customHeight="false" outlineLevel="0" collapsed="false">
      <c r="A592" s="11" t="s">
        <v>735</v>
      </c>
      <c r="B592" s="11" t="s">
        <v>15</v>
      </c>
      <c r="C592" s="11" t="n">
        <v>2024</v>
      </c>
      <c r="D592" s="11" t="n">
        <v>6</v>
      </c>
      <c r="E592" s="11" t="s">
        <v>114</v>
      </c>
      <c r="F592" s="11" t="s">
        <v>169</v>
      </c>
      <c r="G592" s="11" t="n">
        <v>24</v>
      </c>
      <c r="H592" s="12" t="s">
        <v>765</v>
      </c>
    </row>
    <row r="593" customFormat="false" ht="15" hidden="false" customHeight="false" outlineLevel="0" collapsed="false">
      <c r="A593" s="11" t="s">
        <v>735</v>
      </c>
      <c r="B593" s="11" t="s">
        <v>15</v>
      </c>
      <c r="C593" s="11" t="n">
        <v>2024</v>
      </c>
      <c r="D593" s="11" t="n">
        <v>7</v>
      </c>
      <c r="E593" s="11" t="s">
        <v>117</v>
      </c>
      <c r="F593" s="11" t="s">
        <v>171</v>
      </c>
      <c r="G593" s="11" t="n">
        <v>20</v>
      </c>
      <c r="H593" s="12" t="s">
        <v>766</v>
      </c>
    </row>
    <row r="594" customFormat="false" ht="15" hidden="false" customHeight="false" outlineLevel="0" collapsed="false">
      <c r="A594" s="11" t="s">
        <v>735</v>
      </c>
      <c r="B594" s="11" t="s">
        <v>15</v>
      </c>
      <c r="C594" s="11" t="n">
        <v>2024</v>
      </c>
      <c r="D594" s="11" t="n">
        <v>8</v>
      </c>
      <c r="E594" s="11" t="s">
        <v>120</v>
      </c>
      <c r="F594" s="11" t="s">
        <v>173</v>
      </c>
      <c r="G594" s="11" t="n">
        <v>16</v>
      </c>
      <c r="H594" s="12" t="s">
        <v>767</v>
      </c>
    </row>
    <row r="595" customFormat="false" ht="15" hidden="false" customHeight="false" outlineLevel="0" collapsed="false">
      <c r="A595" s="11" t="s">
        <v>735</v>
      </c>
      <c r="B595" s="11" t="s">
        <v>15</v>
      </c>
      <c r="C595" s="11" t="n">
        <v>2024</v>
      </c>
      <c r="D595" s="11" t="n">
        <v>9</v>
      </c>
      <c r="E595" s="11" t="s">
        <v>123</v>
      </c>
      <c r="F595" s="11" t="s">
        <v>175</v>
      </c>
      <c r="G595" s="11" t="n">
        <v>20</v>
      </c>
      <c r="H595" s="12" t="s">
        <v>768</v>
      </c>
    </row>
    <row r="596" customFormat="false" ht="15" hidden="false" customHeight="false" outlineLevel="0" collapsed="false">
      <c r="A596" s="11" t="s">
        <v>735</v>
      </c>
      <c r="B596" s="11" t="s">
        <v>15</v>
      </c>
      <c r="C596" s="11" t="n">
        <v>2024</v>
      </c>
      <c r="D596" s="11" t="n">
        <v>10</v>
      </c>
      <c r="E596" s="11" t="s">
        <v>126</v>
      </c>
      <c r="F596" s="11" t="s">
        <v>177</v>
      </c>
      <c r="G596" s="11" t="n">
        <v>20</v>
      </c>
      <c r="H596" s="12" t="s">
        <v>769</v>
      </c>
    </row>
    <row r="597" customFormat="false" ht="15" hidden="false" customHeight="false" outlineLevel="0" collapsed="false">
      <c r="A597" s="11" t="s">
        <v>735</v>
      </c>
      <c r="B597" s="11" t="s">
        <v>15</v>
      </c>
      <c r="C597" s="11" t="n">
        <v>2024</v>
      </c>
      <c r="D597" s="11" t="n">
        <v>11</v>
      </c>
      <c r="E597" s="11" t="s">
        <v>129</v>
      </c>
      <c r="F597" s="11" t="s">
        <v>179</v>
      </c>
      <c r="G597" s="11" t="n">
        <v>20</v>
      </c>
      <c r="H597" s="12" t="s">
        <v>770</v>
      </c>
    </row>
    <row r="598" customFormat="false" ht="15" hidden="false" customHeight="false" outlineLevel="0" collapsed="false">
      <c r="A598" s="11" t="s">
        <v>735</v>
      </c>
      <c r="B598" s="11" t="s">
        <v>15</v>
      </c>
      <c r="C598" s="11" t="n">
        <v>2024</v>
      </c>
      <c r="D598" s="11" t="n">
        <v>12</v>
      </c>
      <c r="E598" s="11" t="s">
        <v>132</v>
      </c>
      <c r="F598" s="11" t="s">
        <v>181</v>
      </c>
      <c r="G598" s="11" t="n">
        <v>16</v>
      </c>
      <c r="H598" s="12" t="s">
        <v>771</v>
      </c>
    </row>
    <row r="599" customFormat="false" ht="15" hidden="false" customHeight="false" outlineLevel="0" collapsed="false">
      <c r="A599" s="11" t="s">
        <v>735</v>
      </c>
      <c r="B599" s="11" t="s">
        <v>15</v>
      </c>
      <c r="C599" s="11" t="n">
        <v>2025</v>
      </c>
      <c r="D599" s="11" t="n">
        <v>1</v>
      </c>
      <c r="E599" s="11" t="s">
        <v>99</v>
      </c>
      <c r="F599" s="11" t="s">
        <v>183</v>
      </c>
      <c r="G599" s="11" t="n">
        <v>12</v>
      </c>
      <c r="H599" s="12" t="s">
        <v>772</v>
      </c>
    </row>
    <row r="600" customFormat="false" ht="15" hidden="false" customHeight="false" outlineLevel="0" collapsed="false">
      <c r="A600" s="11" t="s">
        <v>735</v>
      </c>
      <c r="B600" s="11" t="s">
        <v>15</v>
      </c>
      <c r="C600" s="11" t="n">
        <v>2025</v>
      </c>
      <c r="D600" s="11" t="n">
        <v>2</v>
      </c>
      <c r="E600" s="11" t="s">
        <v>102</v>
      </c>
      <c r="F600" s="11" t="s">
        <v>185</v>
      </c>
      <c r="G600" s="11" t="n">
        <v>20</v>
      </c>
      <c r="H600" s="12" t="s">
        <v>773</v>
      </c>
    </row>
    <row r="601" customFormat="false" ht="15" hidden="false" customHeight="false" outlineLevel="0" collapsed="false">
      <c r="A601" s="11" t="s">
        <v>735</v>
      </c>
      <c r="B601" s="11" t="s">
        <v>15</v>
      </c>
      <c r="C601" s="11" t="n">
        <v>2025</v>
      </c>
      <c r="D601" s="11" t="n">
        <v>3</v>
      </c>
      <c r="E601" s="11" t="s">
        <v>105</v>
      </c>
      <c r="F601" s="11" t="s">
        <v>187</v>
      </c>
      <c r="G601" s="11" t="n">
        <v>16</v>
      </c>
      <c r="H601" s="12" t="s">
        <v>774</v>
      </c>
    </row>
    <row r="602" customFormat="false" ht="15" hidden="false" customHeight="false" outlineLevel="0" collapsed="false">
      <c r="A602" s="11" t="s">
        <v>735</v>
      </c>
      <c r="B602" s="11" t="s">
        <v>15</v>
      </c>
      <c r="C602" s="11" t="n">
        <v>2025</v>
      </c>
      <c r="D602" s="11" t="n">
        <v>4</v>
      </c>
      <c r="E602" s="11" t="s">
        <v>108</v>
      </c>
      <c r="F602" s="11" t="s">
        <v>189</v>
      </c>
      <c r="G602" s="11" t="n">
        <v>16</v>
      </c>
      <c r="H602" s="12" t="s">
        <v>775</v>
      </c>
    </row>
    <row r="603" customFormat="false" ht="15" hidden="false" customHeight="false" outlineLevel="0" collapsed="false">
      <c r="A603" s="11" t="s">
        <v>735</v>
      </c>
      <c r="B603" s="11" t="s">
        <v>15</v>
      </c>
      <c r="C603" s="11" t="n">
        <v>2025</v>
      </c>
      <c r="D603" s="11" t="n">
        <v>5</v>
      </c>
      <c r="E603" s="11" t="s">
        <v>111</v>
      </c>
      <c r="F603" s="11" t="s">
        <v>191</v>
      </c>
      <c r="G603" s="11" t="n">
        <v>20</v>
      </c>
      <c r="H603" s="12" t="s">
        <v>776</v>
      </c>
    </row>
    <row r="604" customFormat="false" ht="15" hidden="false" customHeight="false" outlineLevel="0" collapsed="false">
      <c r="A604" s="11" t="s">
        <v>735</v>
      </c>
      <c r="B604" s="11" t="s">
        <v>15</v>
      </c>
      <c r="C604" s="11" t="n">
        <v>2025</v>
      </c>
      <c r="D604" s="11" t="n">
        <v>6</v>
      </c>
      <c r="E604" s="11" t="s">
        <v>114</v>
      </c>
      <c r="F604" s="11" t="s">
        <v>193</v>
      </c>
      <c r="G604" s="11" t="n">
        <v>16</v>
      </c>
      <c r="H604" s="12" t="s">
        <v>777</v>
      </c>
    </row>
    <row r="605" customFormat="false" ht="15" hidden="false" customHeight="false" outlineLevel="0" collapsed="false">
      <c r="A605" s="11" t="s">
        <v>735</v>
      </c>
      <c r="B605" s="11" t="s">
        <v>15</v>
      </c>
      <c r="C605" s="11" t="n">
        <v>2025</v>
      </c>
      <c r="D605" s="11" t="n">
        <v>7</v>
      </c>
      <c r="E605" s="11" t="s">
        <v>117</v>
      </c>
      <c r="F605" s="11" t="s">
        <v>195</v>
      </c>
      <c r="G605" s="11" t="n">
        <v>16</v>
      </c>
      <c r="H605" s="12" t="s">
        <v>778</v>
      </c>
    </row>
    <row r="606" customFormat="false" ht="15" hidden="false" customHeight="false" outlineLevel="0" collapsed="false">
      <c r="A606" s="11" t="s">
        <v>735</v>
      </c>
      <c r="B606" s="11" t="s">
        <v>15</v>
      </c>
      <c r="C606" s="11" t="n">
        <v>2025</v>
      </c>
      <c r="D606" s="11" t="n">
        <v>8</v>
      </c>
      <c r="E606" s="11" t="s">
        <v>120</v>
      </c>
      <c r="F606" s="11" t="s">
        <v>197</v>
      </c>
      <c r="G606" s="11" t="n">
        <v>20</v>
      </c>
      <c r="H606" s="12" t="s">
        <v>779</v>
      </c>
    </row>
    <row r="607" customFormat="false" ht="15" hidden="false" customHeight="false" outlineLevel="0" collapsed="false">
      <c r="A607" s="11" t="s">
        <v>735</v>
      </c>
      <c r="B607" s="11" t="s">
        <v>15</v>
      </c>
      <c r="C607" s="11" t="n">
        <v>2025</v>
      </c>
      <c r="D607" s="11" t="n">
        <v>9</v>
      </c>
      <c r="E607" s="11" t="s">
        <v>123</v>
      </c>
      <c r="F607" s="11" t="s">
        <v>199</v>
      </c>
      <c r="G607" s="11" t="n">
        <v>16</v>
      </c>
      <c r="H607" s="12" t="s">
        <v>780</v>
      </c>
    </row>
    <row r="608" customFormat="false" ht="15" hidden="false" customHeight="false" outlineLevel="0" collapsed="false">
      <c r="A608" s="11" t="s">
        <v>735</v>
      </c>
      <c r="B608" s="11" t="s">
        <v>15</v>
      </c>
      <c r="C608" s="11" t="n">
        <v>2025</v>
      </c>
      <c r="D608" s="11" t="n">
        <v>10</v>
      </c>
      <c r="E608" s="11" t="s">
        <v>126</v>
      </c>
      <c r="F608" s="11" t="s">
        <v>201</v>
      </c>
      <c r="G608" s="11" t="n">
        <v>20</v>
      </c>
      <c r="H608" s="12" t="s">
        <v>781</v>
      </c>
    </row>
    <row r="609" customFormat="false" ht="15" hidden="false" customHeight="false" outlineLevel="0" collapsed="false">
      <c r="A609" s="11" t="s">
        <v>735</v>
      </c>
      <c r="B609" s="11" t="s">
        <v>15</v>
      </c>
      <c r="C609" s="11" t="n">
        <v>2025</v>
      </c>
      <c r="D609" s="11" t="n">
        <v>11</v>
      </c>
      <c r="E609" s="11" t="s">
        <v>129</v>
      </c>
      <c r="F609" s="11" t="s">
        <v>203</v>
      </c>
      <c r="G609" s="11" t="n">
        <v>20</v>
      </c>
      <c r="H609" s="12" t="s">
        <v>782</v>
      </c>
    </row>
    <row r="610" customFormat="false" ht="15" hidden="false" customHeight="false" outlineLevel="0" collapsed="false">
      <c r="A610" s="11" t="s">
        <v>735</v>
      </c>
      <c r="B610" s="11" t="s">
        <v>15</v>
      </c>
      <c r="C610" s="11" t="n">
        <v>2025</v>
      </c>
      <c r="D610" s="11" t="n">
        <v>12</v>
      </c>
      <c r="E610" s="11" t="s">
        <v>132</v>
      </c>
      <c r="F610" s="11" t="s">
        <v>205</v>
      </c>
      <c r="G610" s="11" t="n">
        <v>16</v>
      </c>
      <c r="H610" s="12" t="s">
        <v>783</v>
      </c>
    </row>
    <row r="611" customFormat="false" ht="15" hidden="false" customHeight="false" outlineLevel="0" collapsed="false">
      <c r="A611" s="11" t="s">
        <v>735</v>
      </c>
      <c r="B611" s="11" t="s">
        <v>15</v>
      </c>
      <c r="C611" s="11" t="n">
        <v>2026</v>
      </c>
      <c r="D611" s="11" t="n">
        <v>1</v>
      </c>
      <c r="E611" s="11" t="s">
        <v>99</v>
      </c>
      <c r="F611" s="11" t="s">
        <v>207</v>
      </c>
      <c r="G611" s="11" t="n">
        <v>16</v>
      </c>
      <c r="H611" s="12" t="s">
        <v>784</v>
      </c>
    </row>
    <row r="612" customFormat="false" ht="15" hidden="false" customHeight="false" outlineLevel="0" collapsed="false">
      <c r="A612" s="11" t="s">
        <v>735</v>
      </c>
      <c r="B612" s="11" t="s">
        <v>15</v>
      </c>
      <c r="C612" s="11" t="n">
        <v>2026</v>
      </c>
      <c r="D612" s="11" t="n">
        <v>2</v>
      </c>
      <c r="E612" s="11" t="s">
        <v>102</v>
      </c>
      <c r="F612" s="11" t="s">
        <v>209</v>
      </c>
      <c r="G612" s="11" t="n">
        <v>16</v>
      </c>
      <c r="H612" s="12" t="s">
        <v>785</v>
      </c>
    </row>
    <row r="613" customFormat="false" ht="15" hidden="false" customHeight="false" outlineLevel="0" collapsed="false">
      <c r="A613" s="11" t="s">
        <v>735</v>
      </c>
      <c r="B613" s="11" t="s">
        <v>15</v>
      </c>
      <c r="C613" s="11" t="n">
        <v>2026</v>
      </c>
      <c r="D613" s="11" t="n">
        <v>3</v>
      </c>
      <c r="E613" s="11" t="s">
        <v>105</v>
      </c>
      <c r="F613" s="11" t="s">
        <v>211</v>
      </c>
      <c r="G613" s="11" t="n">
        <v>16</v>
      </c>
      <c r="H613" s="12" t="s">
        <v>786</v>
      </c>
    </row>
    <row r="614" customFormat="false" ht="15" hidden="false" customHeight="false" outlineLevel="0" collapsed="false">
      <c r="A614" s="11" t="s">
        <v>735</v>
      </c>
      <c r="B614" s="11" t="s">
        <v>15</v>
      </c>
      <c r="C614" s="11" t="n">
        <v>2026</v>
      </c>
      <c r="D614" s="11" t="n">
        <v>4</v>
      </c>
      <c r="E614" s="11" t="s">
        <v>108</v>
      </c>
      <c r="F614" s="11" t="s">
        <v>213</v>
      </c>
      <c r="G614" s="11" t="n">
        <v>16</v>
      </c>
      <c r="H614" s="12" t="s">
        <v>787</v>
      </c>
    </row>
    <row r="615" customFormat="false" ht="15" hidden="false" customHeight="false" outlineLevel="0" collapsed="false">
      <c r="A615" s="11" t="s">
        <v>735</v>
      </c>
      <c r="B615" s="11" t="s">
        <v>15</v>
      </c>
      <c r="C615" s="11" t="n">
        <v>2026</v>
      </c>
      <c r="D615" s="11" t="n">
        <v>5</v>
      </c>
      <c r="E615" s="11" t="s">
        <v>111</v>
      </c>
      <c r="F615" s="11" t="s">
        <v>215</v>
      </c>
      <c r="G615" s="11" t="n">
        <v>12</v>
      </c>
      <c r="H615" s="12" t="s">
        <v>788</v>
      </c>
    </row>
    <row r="616" customFormat="false" ht="15" hidden="false" customHeight="false" outlineLevel="0" collapsed="false">
      <c r="A616" s="11" t="s">
        <v>789</v>
      </c>
      <c r="B616" s="11" t="s">
        <v>16</v>
      </c>
      <c r="C616" s="11" t="n">
        <v>2024</v>
      </c>
      <c r="D616" s="11" t="n">
        <v>12</v>
      </c>
      <c r="E616" s="11" t="s">
        <v>132</v>
      </c>
      <c r="F616" s="11" t="s">
        <v>181</v>
      </c>
      <c r="G616" s="11" t="n">
        <v>20</v>
      </c>
      <c r="H616" s="12" t="s">
        <v>790</v>
      </c>
    </row>
    <row r="617" customFormat="false" ht="15" hidden="false" customHeight="false" outlineLevel="0" collapsed="false">
      <c r="A617" s="11" t="s">
        <v>789</v>
      </c>
      <c r="B617" s="11" t="s">
        <v>16</v>
      </c>
      <c r="C617" s="11" t="n">
        <v>2025</v>
      </c>
      <c r="D617" s="11" t="n">
        <v>1</v>
      </c>
      <c r="E617" s="11" t="s">
        <v>99</v>
      </c>
      <c r="F617" s="11" t="s">
        <v>183</v>
      </c>
      <c r="G617" s="11" t="n">
        <v>12</v>
      </c>
      <c r="H617" s="12" t="s">
        <v>791</v>
      </c>
    </row>
    <row r="618" customFormat="false" ht="15" hidden="false" customHeight="false" outlineLevel="0" collapsed="false">
      <c r="A618" s="11" t="s">
        <v>789</v>
      </c>
      <c r="B618" s="11" t="s">
        <v>16</v>
      </c>
      <c r="C618" s="11" t="n">
        <v>2025</v>
      </c>
      <c r="D618" s="11" t="n">
        <v>2</v>
      </c>
      <c r="E618" s="11" t="s">
        <v>102</v>
      </c>
      <c r="F618" s="11" t="s">
        <v>185</v>
      </c>
      <c r="G618" s="11" t="n">
        <v>20</v>
      </c>
      <c r="H618" s="12" t="s">
        <v>773</v>
      </c>
    </row>
    <row r="619" customFormat="false" ht="15" hidden="false" customHeight="false" outlineLevel="0" collapsed="false">
      <c r="A619" s="11" t="s">
        <v>789</v>
      </c>
      <c r="B619" s="11" t="s">
        <v>16</v>
      </c>
      <c r="C619" s="11" t="n">
        <v>2025</v>
      </c>
      <c r="D619" s="11" t="n">
        <v>3</v>
      </c>
      <c r="E619" s="11" t="s">
        <v>105</v>
      </c>
      <c r="F619" s="11" t="s">
        <v>187</v>
      </c>
      <c r="G619" s="11" t="n">
        <v>12</v>
      </c>
      <c r="H619" s="12" t="s">
        <v>792</v>
      </c>
    </row>
    <row r="620" customFormat="false" ht="15" hidden="false" customHeight="false" outlineLevel="0" collapsed="false">
      <c r="A620" s="11" t="s">
        <v>789</v>
      </c>
      <c r="B620" s="11" t="s">
        <v>16</v>
      </c>
      <c r="C620" s="11" t="n">
        <v>2025</v>
      </c>
      <c r="D620" s="11" t="n">
        <v>4</v>
      </c>
      <c r="E620" s="11" t="s">
        <v>108</v>
      </c>
      <c r="F620" s="11" t="s">
        <v>189</v>
      </c>
      <c r="G620" s="11" t="n">
        <v>20</v>
      </c>
      <c r="H620" s="12" t="s">
        <v>793</v>
      </c>
    </row>
    <row r="621" customFormat="false" ht="15" hidden="false" customHeight="false" outlineLevel="0" collapsed="false">
      <c r="A621" s="11" t="s">
        <v>789</v>
      </c>
      <c r="B621" s="11" t="s">
        <v>16</v>
      </c>
      <c r="C621" s="11" t="n">
        <v>2025</v>
      </c>
      <c r="D621" s="11" t="n">
        <v>5</v>
      </c>
      <c r="E621" s="11" t="s">
        <v>111</v>
      </c>
      <c r="F621" s="11" t="s">
        <v>191</v>
      </c>
      <c r="G621" s="11" t="n">
        <v>20</v>
      </c>
      <c r="H621" s="12" t="s">
        <v>794</v>
      </c>
    </row>
    <row r="622" customFormat="false" ht="15" hidden="false" customHeight="false" outlineLevel="0" collapsed="false">
      <c r="A622" s="11" t="s">
        <v>789</v>
      </c>
      <c r="B622" s="11" t="s">
        <v>16</v>
      </c>
      <c r="C622" s="11" t="n">
        <v>2025</v>
      </c>
      <c r="D622" s="11" t="n">
        <v>6</v>
      </c>
      <c r="E622" s="11" t="s">
        <v>114</v>
      </c>
      <c r="F622" s="11" t="s">
        <v>193</v>
      </c>
      <c r="G622" s="11" t="n">
        <v>16</v>
      </c>
      <c r="H622" s="12" t="s">
        <v>795</v>
      </c>
    </row>
    <row r="623" customFormat="false" ht="15" hidden="false" customHeight="false" outlineLevel="0" collapsed="false">
      <c r="A623" s="11" t="s">
        <v>789</v>
      </c>
      <c r="B623" s="11" t="s">
        <v>16</v>
      </c>
      <c r="C623" s="11" t="n">
        <v>2025</v>
      </c>
      <c r="D623" s="11" t="n">
        <v>7</v>
      </c>
      <c r="E623" s="11" t="s">
        <v>117</v>
      </c>
      <c r="F623" s="11" t="s">
        <v>195</v>
      </c>
      <c r="G623" s="11" t="n">
        <v>16</v>
      </c>
      <c r="H623" s="12" t="s">
        <v>796</v>
      </c>
    </row>
    <row r="624" customFormat="false" ht="15" hidden="false" customHeight="false" outlineLevel="0" collapsed="false">
      <c r="A624" s="11" t="s">
        <v>789</v>
      </c>
      <c r="B624" s="11" t="s">
        <v>16</v>
      </c>
      <c r="C624" s="11" t="n">
        <v>2025</v>
      </c>
      <c r="D624" s="11" t="n">
        <v>8</v>
      </c>
      <c r="E624" s="11" t="s">
        <v>120</v>
      </c>
      <c r="F624" s="11" t="s">
        <v>197</v>
      </c>
      <c r="G624" s="11" t="n">
        <v>16</v>
      </c>
      <c r="H624" s="12" t="s">
        <v>797</v>
      </c>
    </row>
    <row r="625" customFormat="false" ht="15" hidden="false" customHeight="false" outlineLevel="0" collapsed="false">
      <c r="A625" s="11" t="s">
        <v>789</v>
      </c>
      <c r="B625" s="11" t="s">
        <v>16</v>
      </c>
      <c r="C625" s="11" t="n">
        <v>2025</v>
      </c>
      <c r="D625" s="11" t="n">
        <v>9</v>
      </c>
      <c r="E625" s="11" t="s">
        <v>123</v>
      </c>
      <c r="F625" s="11" t="s">
        <v>199</v>
      </c>
      <c r="G625" s="11" t="n">
        <v>16</v>
      </c>
      <c r="H625" s="12" t="s">
        <v>798</v>
      </c>
    </row>
    <row r="626" customFormat="false" ht="15" hidden="false" customHeight="false" outlineLevel="0" collapsed="false">
      <c r="A626" s="11" t="s">
        <v>789</v>
      </c>
      <c r="B626" s="11" t="s">
        <v>16</v>
      </c>
      <c r="C626" s="11" t="n">
        <v>2025</v>
      </c>
      <c r="D626" s="11" t="n">
        <v>10</v>
      </c>
      <c r="E626" s="11" t="s">
        <v>126</v>
      </c>
      <c r="F626" s="11" t="s">
        <v>201</v>
      </c>
      <c r="G626" s="11" t="n">
        <v>16</v>
      </c>
      <c r="H626" s="12" t="s">
        <v>799</v>
      </c>
    </row>
    <row r="627" customFormat="false" ht="15" hidden="false" customHeight="false" outlineLevel="0" collapsed="false">
      <c r="A627" s="11" t="s">
        <v>789</v>
      </c>
      <c r="B627" s="11" t="s">
        <v>16</v>
      </c>
      <c r="C627" s="11" t="n">
        <v>2025</v>
      </c>
      <c r="D627" s="11" t="n">
        <v>11</v>
      </c>
      <c r="E627" s="11" t="s">
        <v>129</v>
      </c>
      <c r="F627" s="11" t="s">
        <v>203</v>
      </c>
      <c r="G627" s="11" t="n">
        <v>16</v>
      </c>
      <c r="H627" s="12" t="s">
        <v>800</v>
      </c>
    </row>
    <row r="628" customFormat="false" ht="15" hidden="false" customHeight="false" outlineLevel="0" collapsed="false">
      <c r="A628" s="11" t="s">
        <v>789</v>
      </c>
      <c r="B628" s="11" t="s">
        <v>16</v>
      </c>
      <c r="C628" s="11" t="n">
        <v>2025</v>
      </c>
      <c r="D628" s="11" t="n">
        <v>12</v>
      </c>
      <c r="E628" s="11" t="s">
        <v>132</v>
      </c>
      <c r="F628" s="11" t="s">
        <v>205</v>
      </c>
      <c r="G628" s="11" t="n">
        <v>16</v>
      </c>
      <c r="H628" s="12" t="s">
        <v>801</v>
      </c>
    </row>
    <row r="629" customFormat="false" ht="15" hidden="false" customHeight="false" outlineLevel="0" collapsed="false">
      <c r="A629" s="11" t="s">
        <v>789</v>
      </c>
      <c r="B629" s="11" t="s">
        <v>16</v>
      </c>
      <c r="C629" s="11" t="n">
        <v>2026</v>
      </c>
      <c r="D629" s="11" t="n">
        <v>1</v>
      </c>
      <c r="E629" s="11" t="s">
        <v>99</v>
      </c>
      <c r="F629" s="11" t="s">
        <v>207</v>
      </c>
      <c r="G629" s="11" t="n">
        <v>12</v>
      </c>
      <c r="H629" s="12" t="s">
        <v>802</v>
      </c>
    </row>
    <row r="630" customFormat="false" ht="15" hidden="false" customHeight="false" outlineLevel="0" collapsed="false">
      <c r="A630" s="11" t="s">
        <v>789</v>
      </c>
      <c r="B630" s="11" t="s">
        <v>16</v>
      </c>
      <c r="C630" s="11" t="n">
        <v>2026</v>
      </c>
      <c r="D630" s="11" t="n">
        <v>2</v>
      </c>
      <c r="E630" s="11" t="s">
        <v>102</v>
      </c>
      <c r="F630" s="11" t="s">
        <v>209</v>
      </c>
      <c r="G630" s="11" t="n">
        <v>12</v>
      </c>
      <c r="H630" s="12" t="s">
        <v>803</v>
      </c>
    </row>
    <row r="631" customFormat="false" ht="15" hidden="false" customHeight="false" outlineLevel="0" collapsed="false">
      <c r="A631" s="11" t="s">
        <v>789</v>
      </c>
      <c r="B631" s="11" t="s">
        <v>16</v>
      </c>
      <c r="C631" s="11" t="n">
        <v>2026</v>
      </c>
      <c r="D631" s="11" t="n">
        <v>3</v>
      </c>
      <c r="E631" s="11" t="s">
        <v>105</v>
      </c>
      <c r="F631" s="11" t="s">
        <v>211</v>
      </c>
      <c r="G631" s="11" t="n">
        <v>16</v>
      </c>
      <c r="H631" s="12" t="s">
        <v>804</v>
      </c>
    </row>
    <row r="632" customFormat="false" ht="15" hidden="false" customHeight="false" outlineLevel="0" collapsed="false">
      <c r="A632" s="11" t="s">
        <v>789</v>
      </c>
      <c r="B632" s="11" t="s">
        <v>16</v>
      </c>
      <c r="C632" s="11" t="n">
        <v>2026</v>
      </c>
      <c r="D632" s="11" t="n">
        <v>4</v>
      </c>
      <c r="E632" s="11" t="s">
        <v>108</v>
      </c>
      <c r="F632" s="11" t="s">
        <v>213</v>
      </c>
      <c r="G632" s="11" t="n">
        <v>16</v>
      </c>
      <c r="H632" s="12" t="s">
        <v>805</v>
      </c>
    </row>
    <row r="633" customFormat="false" ht="15" hidden="false" customHeight="false" outlineLevel="0" collapsed="false">
      <c r="A633" s="11" t="s">
        <v>789</v>
      </c>
      <c r="B633" s="11" t="s">
        <v>16</v>
      </c>
      <c r="C633" s="11" t="n">
        <v>2026</v>
      </c>
      <c r="D633" s="11" t="n">
        <v>5</v>
      </c>
      <c r="E633" s="11" t="s">
        <v>111</v>
      </c>
      <c r="F633" s="11" t="s">
        <v>215</v>
      </c>
      <c r="G633" s="11" t="n">
        <v>16</v>
      </c>
      <c r="H633" s="12" t="s">
        <v>806</v>
      </c>
    </row>
    <row r="634" customFormat="false" ht="15" hidden="false" customHeight="false" outlineLevel="0" collapsed="false">
      <c r="A634" s="11" t="s">
        <v>807</v>
      </c>
      <c r="B634" s="11" t="s">
        <v>17</v>
      </c>
      <c r="C634" s="11" t="n">
        <v>2022</v>
      </c>
      <c r="D634" s="11" t="n">
        <v>1</v>
      </c>
      <c r="E634" s="11" t="s">
        <v>99</v>
      </c>
      <c r="F634" s="11" t="s">
        <v>100</v>
      </c>
      <c r="G634" s="11" t="n">
        <v>12</v>
      </c>
      <c r="H634" s="12" t="s">
        <v>808</v>
      </c>
    </row>
    <row r="635" customFormat="false" ht="15" hidden="false" customHeight="false" outlineLevel="0" collapsed="false">
      <c r="A635" s="11" t="s">
        <v>807</v>
      </c>
      <c r="B635" s="11" t="s">
        <v>17</v>
      </c>
      <c r="C635" s="11" t="n">
        <v>2022</v>
      </c>
      <c r="D635" s="11" t="n">
        <v>2</v>
      </c>
      <c r="E635" s="11" t="s">
        <v>102</v>
      </c>
      <c r="F635" s="11" t="s">
        <v>103</v>
      </c>
      <c r="G635" s="11" t="n">
        <v>12</v>
      </c>
      <c r="H635" s="12" t="s">
        <v>809</v>
      </c>
    </row>
    <row r="636" customFormat="false" ht="15" hidden="false" customHeight="false" outlineLevel="0" collapsed="false">
      <c r="A636" s="11" t="s">
        <v>807</v>
      </c>
      <c r="B636" s="11" t="s">
        <v>17</v>
      </c>
      <c r="C636" s="11" t="n">
        <v>2022</v>
      </c>
      <c r="D636" s="11" t="n">
        <v>3</v>
      </c>
      <c r="E636" s="11" t="s">
        <v>105</v>
      </c>
      <c r="F636" s="11" t="s">
        <v>106</v>
      </c>
      <c r="G636" s="11" t="n">
        <v>12</v>
      </c>
      <c r="H636" s="12" t="s">
        <v>810</v>
      </c>
    </row>
    <row r="637" customFormat="false" ht="15" hidden="false" customHeight="false" outlineLevel="0" collapsed="false">
      <c r="A637" s="11" t="s">
        <v>807</v>
      </c>
      <c r="B637" s="11" t="s">
        <v>17</v>
      </c>
      <c r="C637" s="11" t="n">
        <v>2022</v>
      </c>
      <c r="D637" s="11" t="n">
        <v>4</v>
      </c>
      <c r="E637" s="11" t="s">
        <v>108</v>
      </c>
      <c r="F637" s="11" t="s">
        <v>109</v>
      </c>
      <c r="G637" s="11" t="n">
        <v>16</v>
      </c>
      <c r="H637" s="12" t="s">
        <v>811</v>
      </c>
    </row>
    <row r="638" customFormat="false" ht="15" hidden="false" customHeight="false" outlineLevel="0" collapsed="false">
      <c r="A638" s="11" t="s">
        <v>807</v>
      </c>
      <c r="B638" s="11" t="s">
        <v>17</v>
      </c>
      <c r="C638" s="11" t="n">
        <v>2022</v>
      </c>
      <c r="D638" s="11" t="n">
        <v>5</v>
      </c>
      <c r="E638" s="11" t="s">
        <v>111</v>
      </c>
      <c r="F638" s="11" t="s">
        <v>112</v>
      </c>
      <c r="G638" s="11" t="n">
        <v>16</v>
      </c>
      <c r="H638" s="12" t="s">
        <v>812</v>
      </c>
    </row>
    <row r="639" customFormat="false" ht="15" hidden="false" customHeight="false" outlineLevel="0" collapsed="false">
      <c r="A639" s="11" t="s">
        <v>807</v>
      </c>
      <c r="B639" s="11" t="s">
        <v>17</v>
      </c>
      <c r="C639" s="11" t="n">
        <v>2022</v>
      </c>
      <c r="D639" s="11" t="n">
        <v>6</v>
      </c>
      <c r="E639" s="11" t="s">
        <v>114</v>
      </c>
      <c r="F639" s="11" t="s">
        <v>115</v>
      </c>
      <c r="G639" s="11" t="n">
        <v>16</v>
      </c>
      <c r="H639" s="12" t="s">
        <v>813</v>
      </c>
    </row>
    <row r="640" customFormat="false" ht="15" hidden="false" customHeight="false" outlineLevel="0" collapsed="false">
      <c r="A640" s="11" t="s">
        <v>807</v>
      </c>
      <c r="B640" s="11" t="s">
        <v>17</v>
      </c>
      <c r="C640" s="11" t="n">
        <v>2022</v>
      </c>
      <c r="D640" s="11" t="n">
        <v>7</v>
      </c>
      <c r="E640" s="11" t="s">
        <v>117</v>
      </c>
      <c r="F640" s="11" t="s">
        <v>118</v>
      </c>
      <c r="G640" s="11" t="n">
        <v>12</v>
      </c>
      <c r="H640" s="12" t="s">
        <v>814</v>
      </c>
    </row>
    <row r="641" customFormat="false" ht="15" hidden="false" customHeight="false" outlineLevel="0" collapsed="false">
      <c r="A641" s="11" t="s">
        <v>807</v>
      </c>
      <c r="B641" s="11" t="s">
        <v>17</v>
      </c>
      <c r="C641" s="11" t="n">
        <v>2022</v>
      </c>
      <c r="D641" s="11" t="n">
        <v>8</v>
      </c>
      <c r="E641" s="11" t="s">
        <v>120</v>
      </c>
      <c r="F641" s="11" t="s">
        <v>121</v>
      </c>
      <c r="G641" s="11" t="n">
        <v>12</v>
      </c>
      <c r="H641" s="12" t="s">
        <v>815</v>
      </c>
    </row>
    <row r="642" customFormat="false" ht="15" hidden="false" customHeight="false" outlineLevel="0" collapsed="false">
      <c r="A642" s="11" t="s">
        <v>807</v>
      </c>
      <c r="B642" s="11" t="s">
        <v>17</v>
      </c>
      <c r="C642" s="11" t="n">
        <v>2022</v>
      </c>
      <c r="D642" s="11" t="n">
        <v>9</v>
      </c>
      <c r="E642" s="11" t="s">
        <v>123</v>
      </c>
      <c r="F642" s="11" t="s">
        <v>124</v>
      </c>
      <c r="G642" s="11" t="n">
        <v>12</v>
      </c>
      <c r="H642" s="12" t="s">
        <v>816</v>
      </c>
    </row>
    <row r="643" customFormat="false" ht="15" hidden="false" customHeight="false" outlineLevel="0" collapsed="false">
      <c r="A643" s="11" t="s">
        <v>807</v>
      </c>
      <c r="B643" s="11" t="s">
        <v>17</v>
      </c>
      <c r="C643" s="11" t="n">
        <v>2022</v>
      </c>
      <c r="D643" s="11" t="n">
        <v>10</v>
      </c>
      <c r="E643" s="11" t="s">
        <v>126</v>
      </c>
      <c r="F643" s="11" t="s">
        <v>127</v>
      </c>
      <c r="G643" s="11" t="n">
        <v>16</v>
      </c>
      <c r="H643" s="12" t="s">
        <v>817</v>
      </c>
    </row>
    <row r="644" customFormat="false" ht="15" hidden="false" customHeight="false" outlineLevel="0" collapsed="false">
      <c r="A644" s="11" t="s">
        <v>807</v>
      </c>
      <c r="B644" s="11" t="s">
        <v>17</v>
      </c>
      <c r="C644" s="11" t="n">
        <v>2022</v>
      </c>
      <c r="D644" s="11" t="n">
        <v>11</v>
      </c>
      <c r="E644" s="11" t="s">
        <v>129</v>
      </c>
      <c r="F644" s="11" t="s">
        <v>130</v>
      </c>
      <c r="G644" s="11" t="n">
        <v>12</v>
      </c>
      <c r="H644" s="12" t="s">
        <v>818</v>
      </c>
    </row>
    <row r="645" customFormat="false" ht="15" hidden="false" customHeight="false" outlineLevel="0" collapsed="false">
      <c r="A645" s="11" t="s">
        <v>807</v>
      </c>
      <c r="B645" s="11" t="s">
        <v>17</v>
      </c>
      <c r="C645" s="11" t="n">
        <v>2022</v>
      </c>
      <c r="D645" s="11" t="n">
        <v>12</v>
      </c>
      <c r="E645" s="11" t="s">
        <v>132</v>
      </c>
      <c r="F645" s="11" t="s">
        <v>133</v>
      </c>
      <c r="G645" s="11" t="n">
        <v>16</v>
      </c>
      <c r="H645" s="12" t="s">
        <v>819</v>
      </c>
    </row>
    <row r="646" customFormat="false" ht="15" hidden="false" customHeight="false" outlineLevel="0" collapsed="false">
      <c r="A646" s="11" t="s">
        <v>807</v>
      </c>
      <c r="B646" s="11" t="s">
        <v>17</v>
      </c>
      <c r="C646" s="11" t="n">
        <v>2023</v>
      </c>
      <c r="D646" s="11" t="n">
        <v>1</v>
      </c>
      <c r="E646" s="11" t="s">
        <v>99</v>
      </c>
      <c r="F646" s="11" t="s">
        <v>135</v>
      </c>
      <c r="G646" s="11" t="n">
        <v>12</v>
      </c>
      <c r="H646" s="12" t="s">
        <v>820</v>
      </c>
    </row>
    <row r="647" customFormat="false" ht="15" hidden="false" customHeight="false" outlineLevel="0" collapsed="false">
      <c r="A647" s="11" t="s">
        <v>807</v>
      </c>
      <c r="B647" s="11" t="s">
        <v>17</v>
      </c>
      <c r="C647" s="11" t="n">
        <v>2023</v>
      </c>
      <c r="D647" s="11" t="n">
        <v>2</v>
      </c>
      <c r="E647" s="11" t="s">
        <v>102</v>
      </c>
      <c r="F647" s="11" t="s">
        <v>137</v>
      </c>
      <c r="G647" s="11" t="n">
        <v>12</v>
      </c>
      <c r="H647" s="12" t="s">
        <v>821</v>
      </c>
    </row>
    <row r="648" customFormat="false" ht="15" hidden="false" customHeight="false" outlineLevel="0" collapsed="false">
      <c r="A648" s="11" t="s">
        <v>807</v>
      </c>
      <c r="B648" s="11" t="s">
        <v>17</v>
      </c>
      <c r="C648" s="11" t="n">
        <v>2023</v>
      </c>
      <c r="D648" s="11" t="n">
        <v>3</v>
      </c>
      <c r="E648" s="11" t="s">
        <v>105</v>
      </c>
      <c r="F648" s="11" t="s">
        <v>139</v>
      </c>
      <c r="G648" s="11" t="n">
        <v>12</v>
      </c>
      <c r="H648" s="12" t="s">
        <v>822</v>
      </c>
    </row>
    <row r="649" customFormat="false" ht="15" hidden="false" customHeight="false" outlineLevel="0" collapsed="false">
      <c r="A649" s="11" t="s">
        <v>807</v>
      </c>
      <c r="B649" s="11" t="s">
        <v>17</v>
      </c>
      <c r="C649" s="11" t="n">
        <v>2023</v>
      </c>
      <c r="D649" s="11" t="n">
        <v>4</v>
      </c>
      <c r="E649" s="11" t="s">
        <v>108</v>
      </c>
      <c r="F649" s="11" t="s">
        <v>141</v>
      </c>
      <c r="G649" s="11" t="n">
        <v>12</v>
      </c>
      <c r="H649" s="12" t="s">
        <v>823</v>
      </c>
    </row>
    <row r="650" customFormat="false" ht="15" hidden="false" customHeight="false" outlineLevel="0" collapsed="false">
      <c r="A650" s="11" t="s">
        <v>807</v>
      </c>
      <c r="B650" s="11" t="s">
        <v>17</v>
      </c>
      <c r="C650" s="11" t="n">
        <v>2023</v>
      </c>
      <c r="D650" s="11" t="n">
        <v>5</v>
      </c>
      <c r="E650" s="11" t="s">
        <v>111</v>
      </c>
      <c r="F650" s="11" t="s">
        <v>143</v>
      </c>
      <c r="G650" s="11" t="n">
        <v>16</v>
      </c>
      <c r="H650" s="12" t="s">
        <v>824</v>
      </c>
    </row>
    <row r="651" customFormat="false" ht="15" hidden="false" customHeight="false" outlineLevel="0" collapsed="false">
      <c r="A651" s="11" t="s">
        <v>807</v>
      </c>
      <c r="B651" s="11" t="s">
        <v>17</v>
      </c>
      <c r="C651" s="11" t="n">
        <v>2023</v>
      </c>
      <c r="D651" s="11" t="n">
        <v>6</v>
      </c>
      <c r="E651" s="11" t="s">
        <v>114</v>
      </c>
      <c r="F651" s="11" t="s">
        <v>145</v>
      </c>
      <c r="G651" s="11" t="n">
        <v>20</v>
      </c>
      <c r="H651" s="12" t="s">
        <v>825</v>
      </c>
    </row>
    <row r="652" customFormat="false" ht="15" hidden="false" customHeight="false" outlineLevel="0" collapsed="false">
      <c r="A652" s="11" t="s">
        <v>807</v>
      </c>
      <c r="B652" s="11" t="s">
        <v>17</v>
      </c>
      <c r="C652" s="11" t="n">
        <v>2023</v>
      </c>
      <c r="D652" s="11" t="n">
        <v>7</v>
      </c>
      <c r="E652" s="11" t="s">
        <v>117</v>
      </c>
      <c r="F652" s="11" t="s">
        <v>147</v>
      </c>
      <c r="G652" s="11" t="n">
        <v>20</v>
      </c>
      <c r="H652" s="12" t="s">
        <v>826</v>
      </c>
    </row>
    <row r="653" customFormat="false" ht="15" hidden="false" customHeight="false" outlineLevel="0" collapsed="false">
      <c r="A653" s="11" t="s">
        <v>807</v>
      </c>
      <c r="B653" s="11" t="s">
        <v>17</v>
      </c>
      <c r="C653" s="11" t="n">
        <v>2023</v>
      </c>
      <c r="D653" s="11" t="n">
        <v>8</v>
      </c>
      <c r="E653" s="11" t="s">
        <v>120</v>
      </c>
      <c r="F653" s="11" t="s">
        <v>149</v>
      </c>
      <c r="G653" s="11" t="n">
        <v>12</v>
      </c>
      <c r="H653" s="12" t="s">
        <v>827</v>
      </c>
    </row>
    <row r="654" customFormat="false" ht="15" hidden="false" customHeight="false" outlineLevel="0" collapsed="false">
      <c r="A654" s="11" t="s">
        <v>807</v>
      </c>
      <c r="B654" s="11" t="s">
        <v>17</v>
      </c>
      <c r="C654" s="11" t="n">
        <v>2023</v>
      </c>
      <c r="D654" s="11" t="n">
        <v>9</v>
      </c>
      <c r="E654" s="11" t="s">
        <v>123</v>
      </c>
      <c r="F654" s="11" t="s">
        <v>151</v>
      </c>
      <c r="G654" s="11" t="n">
        <v>16</v>
      </c>
      <c r="H654" s="12" t="s">
        <v>828</v>
      </c>
    </row>
    <row r="655" customFormat="false" ht="15" hidden="false" customHeight="false" outlineLevel="0" collapsed="false">
      <c r="A655" s="11" t="s">
        <v>807</v>
      </c>
      <c r="B655" s="11" t="s">
        <v>17</v>
      </c>
      <c r="C655" s="11" t="n">
        <v>2023</v>
      </c>
      <c r="D655" s="11" t="n">
        <v>10</v>
      </c>
      <c r="E655" s="11" t="s">
        <v>126</v>
      </c>
      <c r="F655" s="11" t="s">
        <v>153</v>
      </c>
      <c r="G655" s="11" t="n">
        <v>12</v>
      </c>
      <c r="H655" s="12" t="s">
        <v>829</v>
      </c>
    </row>
    <row r="656" customFormat="false" ht="15" hidden="false" customHeight="false" outlineLevel="0" collapsed="false">
      <c r="A656" s="11" t="s">
        <v>807</v>
      </c>
      <c r="B656" s="11" t="s">
        <v>17</v>
      </c>
      <c r="C656" s="11" t="n">
        <v>2023</v>
      </c>
      <c r="D656" s="11" t="n">
        <v>11</v>
      </c>
      <c r="E656" s="11" t="s">
        <v>129</v>
      </c>
      <c r="F656" s="11" t="s">
        <v>155</v>
      </c>
      <c r="G656" s="11" t="n">
        <v>16</v>
      </c>
      <c r="H656" s="12" t="s">
        <v>830</v>
      </c>
    </row>
    <row r="657" customFormat="false" ht="15" hidden="false" customHeight="false" outlineLevel="0" collapsed="false">
      <c r="A657" s="11" t="s">
        <v>807</v>
      </c>
      <c r="B657" s="11" t="s">
        <v>17</v>
      </c>
      <c r="C657" s="11" t="n">
        <v>2023</v>
      </c>
      <c r="D657" s="11" t="n">
        <v>12</v>
      </c>
      <c r="E657" s="11" t="s">
        <v>132</v>
      </c>
      <c r="F657" s="11" t="s">
        <v>157</v>
      </c>
      <c r="G657" s="11" t="n">
        <v>16</v>
      </c>
      <c r="H657" s="12" t="s">
        <v>831</v>
      </c>
    </row>
    <row r="658" customFormat="false" ht="15" hidden="false" customHeight="false" outlineLevel="0" collapsed="false">
      <c r="A658" s="11" t="s">
        <v>807</v>
      </c>
      <c r="B658" s="11" t="s">
        <v>17</v>
      </c>
      <c r="C658" s="11" t="n">
        <v>2024</v>
      </c>
      <c r="D658" s="11" t="n">
        <v>1</v>
      </c>
      <c r="E658" s="11" t="s">
        <v>99</v>
      </c>
      <c r="F658" s="11" t="s">
        <v>159</v>
      </c>
      <c r="G658" s="11" t="n">
        <v>12</v>
      </c>
      <c r="H658" s="12" t="s">
        <v>832</v>
      </c>
    </row>
    <row r="659" customFormat="false" ht="15" hidden="false" customHeight="false" outlineLevel="0" collapsed="false">
      <c r="A659" s="11" t="s">
        <v>807</v>
      </c>
      <c r="B659" s="11" t="s">
        <v>17</v>
      </c>
      <c r="C659" s="11" t="n">
        <v>2024</v>
      </c>
      <c r="D659" s="11" t="n">
        <v>2</v>
      </c>
      <c r="E659" s="11" t="s">
        <v>102</v>
      </c>
      <c r="F659" s="11" t="s">
        <v>161</v>
      </c>
      <c r="G659" s="11" t="n">
        <v>12</v>
      </c>
      <c r="H659" s="12" t="s">
        <v>833</v>
      </c>
    </row>
    <row r="660" customFormat="false" ht="15" hidden="false" customHeight="false" outlineLevel="0" collapsed="false">
      <c r="A660" s="11" t="s">
        <v>807</v>
      </c>
      <c r="B660" s="11" t="s">
        <v>17</v>
      </c>
      <c r="C660" s="11" t="n">
        <v>2024</v>
      </c>
      <c r="D660" s="11" t="n">
        <v>3</v>
      </c>
      <c r="E660" s="11" t="s">
        <v>105</v>
      </c>
      <c r="F660" s="11" t="s">
        <v>163</v>
      </c>
      <c r="G660" s="11" t="n">
        <v>12</v>
      </c>
      <c r="H660" s="12" t="s">
        <v>834</v>
      </c>
    </row>
    <row r="661" customFormat="false" ht="15" hidden="false" customHeight="false" outlineLevel="0" collapsed="false">
      <c r="A661" s="11" t="s">
        <v>807</v>
      </c>
      <c r="B661" s="11" t="s">
        <v>17</v>
      </c>
      <c r="C661" s="11" t="n">
        <v>2024</v>
      </c>
      <c r="D661" s="11" t="n">
        <v>4</v>
      </c>
      <c r="E661" s="11" t="s">
        <v>108</v>
      </c>
      <c r="F661" s="11" t="s">
        <v>165</v>
      </c>
      <c r="G661" s="11" t="n">
        <v>16</v>
      </c>
      <c r="H661" s="12" t="s">
        <v>835</v>
      </c>
    </row>
    <row r="662" customFormat="false" ht="15" hidden="false" customHeight="false" outlineLevel="0" collapsed="false">
      <c r="A662" s="11" t="s">
        <v>807</v>
      </c>
      <c r="B662" s="11" t="s">
        <v>17</v>
      </c>
      <c r="C662" s="11" t="n">
        <v>2024</v>
      </c>
      <c r="D662" s="11" t="n">
        <v>5</v>
      </c>
      <c r="E662" s="11" t="s">
        <v>111</v>
      </c>
      <c r="F662" s="11" t="s">
        <v>167</v>
      </c>
      <c r="G662" s="11" t="n">
        <v>16</v>
      </c>
      <c r="H662" s="12" t="s">
        <v>836</v>
      </c>
    </row>
    <row r="663" customFormat="false" ht="15" hidden="false" customHeight="false" outlineLevel="0" collapsed="false">
      <c r="A663" s="11" t="s">
        <v>807</v>
      </c>
      <c r="B663" s="11" t="s">
        <v>17</v>
      </c>
      <c r="C663" s="11" t="n">
        <v>2024</v>
      </c>
      <c r="D663" s="11" t="n">
        <v>6</v>
      </c>
      <c r="E663" s="11" t="s">
        <v>114</v>
      </c>
      <c r="F663" s="11" t="s">
        <v>169</v>
      </c>
      <c r="G663" s="11" t="n">
        <v>16</v>
      </c>
      <c r="H663" s="12" t="s">
        <v>837</v>
      </c>
    </row>
    <row r="664" customFormat="false" ht="15" hidden="false" customHeight="false" outlineLevel="0" collapsed="false">
      <c r="A664" s="11" t="s">
        <v>807</v>
      </c>
      <c r="B664" s="11" t="s">
        <v>17</v>
      </c>
      <c r="C664" s="11" t="n">
        <v>2024</v>
      </c>
      <c r="D664" s="11" t="n">
        <v>7</v>
      </c>
      <c r="E664" s="11" t="s">
        <v>117</v>
      </c>
      <c r="F664" s="11" t="s">
        <v>171</v>
      </c>
      <c r="G664" s="11" t="n">
        <v>16</v>
      </c>
      <c r="H664" s="12" t="s">
        <v>838</v>
      </c>
    </row>
    <row r="665" customFormat="false" ht="15" hidden="false" customHeight="false" outlineLevel="0" collapsed="false">
      <c r="A665" s="11" t="s">
        <v>807</v>
      </c>
      <c r="B665" s="11" t="s">
        <v>17</v>
      </c>
      <c r="C665" s="11" t="n">
        <v>2024</v>
      </c>
      <c r="D665" s="11" t="n">
        <v>8</v>
      </c>
      <c r="E665" s="11" t="s">
        <v>120</v>
      </c>
      <c r="F665" s="11" t="s">
        <v>173</v>
      </c>
      <c r="G665" s="11" t="n">
        <v>8</v>
      </c>
      <c r="H665" s="12" t="s">
        <v>839</v>
      </c>
    </row>
    <row r="666" customFormat="false" ht="15" hidden="false" customHeight="false" outlineLevel="0" collapsed="false">
      <c r="A666" s="11" t="s">
        <v>807</v>
      </c>
      <c r="B666" s="11" t="s">
        <v>17</v>
      </c>
      <c r="C666" s="11" t="n">
        <v>2024</v>
      </c>
      <c r="D666" s="11" t="n">
        <v>9</v>
      </c>
      <c r="E666" s="11" t="s">
        <v>123</v>
      </c>
      <c r="F666" s="11" t="s">
        <v>175</v>
      </c>
      <c r="G666" s="11" t="n">
        <v>16</v>
      </c>
      <c r="H666" s="12" t="s">
        <v>840</v>
      </c>
    </row>
    <row r="667" customFormat="false" ht="15" hidden="false" customHeight="false" outlineLevel="0" collapsed="false">
      <c r="A667" s="11" t="s">
        <v>807</v>
      </c>
      <c r="B667" s="11" t="s">
        <v>17</v>
      </c>
      <c r="C667" s="11" t="n">
        <v>2024</v>
      </c>
      <c r="D667" s="11" t="n">
        <v>10</v>
      </c>
      <c r="E667" s="11" t="s">
        <v>126</v>
      </c>
      <c r="F667" s="11" t="s">
        <v>177</v>
      </c>
      <c r="G667" s="11" t="n">
        <v>12</v>
      </c>
      <c r="H667" s="12" t="s">
        <v>841</v>
      </c>
    </row>
    <row r="668" customFormat="false" ht="15" hidden="false" customHeight="false" outlineLevel="0" collapsed="false">
      <c r="A668" s="11" t="s">
        <v>807</v>
      </c>
      <c r="B668" s="11" t="s">
        <v>17</v>
      </c>
      <c r="C668" s="11" t="n">
        <v>2024</v>
      </c>
      <c r="D668" s="11" t="n">
        <v>12</v>
      </c>
      <c r="E668" s="11" t="s">
        <v>132</v>
      </c>
      <c r="F668" s="11" t="s">
        <v>181</v>
      </c>
      <c r="G668" s="11" t="n">
        <v>12</v>
      </c>
      <c r="H668" s="12" t="s">
        <v>842</v>
      </c>
    </row>
    <row r="669" customFormat="false" ht="15" hidden="false" customHeight="false" outlineLevel="0" collapsed="false">
      <c r="A669" s="11" t="s">
        <v>807</v>
      </c>
      <c r="B669" s="11" t="s">
        <v>17</v>
      </c>
      <c r="C669" s="11" t="n">
        <v>2025</v>
      </c>
      <c r="D669" s="11" t="n">
        <v>1</v>
      </c>
      <c r="E669" s="11" t="s">
        <v>99</v>
      </c>
      <c r="F669" s="11" t="s">
        <v>183</v>
      </c>
      <c r="G669" s="11" t="n">
        <v>12</v>
      </c>
      <c r="H669" s="12" t="s">
        <v>843</v>
      </c>
    </row>
    <row r="670" customFormat="false" ht="15" hidden="false" customHeight="false" outlineLevel="0" collapsed="false">
      <c r="A670" s="11" t="s">
        <v>807</v>
      </c>
      <c r="B670" s="11" t="s">
        <v>17</v>
      </c>
      <c r="C670" s="11" t="n">
        <v>2025</v>
      </c>
      <c r="D670" s="11" t="n">
        <v>2</v>
      </c>
      <c r="E670" s="11" t="s">
        <v>102</v>
      </c>
      <c r="F670" s="11" t="s">
        <v>185</v>
      </c>
      <c r="G670" s="11" t="n">
        <v>12</v>
      </c>
      <c r="H670" s="12" t="s">
        <v>844</v>
      </c>
    </row>
    <row r="671" customFormat="false" ht="15" hidden="false" customHeight="false" outlineLevel="0" collapsed="false">
      <c r="A671" s="11" t="s">
        <v>807</v>
      </c>
      <c r="B671" s="11" t="s">
        <v>17</v>
      </c>
      <c r="C671" s="11" t="n">
        <v>2025</v>
      </c>
      <c r="D671" s="11" t="n">
        <v>3</v>
      </c>
      <c r="E671" s="11" t="s">
        <v>105</v>
      </c>
      <c r="F671" s="11" t="s">
        <v>187</v>
      </c>
      <c r="G671" s="11" t="n">
        <v>12</v>
      </c>
      <c r="H671" s="12" t="s">
        <v>845</v>
      </c>
    </row>
    <row r="672" customFormat="false" ht="15" hidden="false" customHeight="false" outlineLevel="0" collapsed="false">
      <c r="A672" s="11" t="s">
        <v>807</v>
      </c>
      <c r="B672" s="11" t="s">
        <v>17</v>
      </c>
      <c r="C672" s="11" t="n">
        <v>2025</v>
      </c>
      <c r="D672" s="11" t="n">
        <v>4</v>
      </c>
      <c r="E672" s="11" t="s">
        <v>108</v>
      </c>
      <c r="F672" s="11" t="s">
        <v>189</v>
      </c>
      <c r="G672" s="11" t="n">
        <v>16</v>
      </c>
      <c r="H672" s="12" t="s">
        <v>846</v>
      </c>
    </row>
    <row r="673" customFormat="false" ht="15" hidden="false" customHeight="false" outlineLevel="0" collapsed="false">
      <c r="A673" s="11" t="s">
        <v>807</v>
      </c>
      <c r="B673" s="11" t="s">
        <v>17</v>
      </c>
      <c r="C673" s="11" t="n">
        <v>2025</v>
      </c>
      <c r="D673" s="11" t="n">
        <v>5</v>
      </c>
      <c r="E673" s="11" t="s">
        <v>111</v>
      </c>
      <c r="F673" s="11" t="s">
        <v>191</v>
      </c>
      <c r="G673" s="11" t="n">
        <v>16</v>
      </c>
      <c r="H673" s="12" t="s">
        <v>847</v>
      </c>
    </row>
    <row r="674" customFormat="false" ht="15" hidden="false" customHeight="false" outlineLevel="0" collapsed="false">
      <c r="A674" s="11" t="s">
        <v>807</v>
      </c>
      <c r="B674" s="11" t="s">
        <v>17</v>
      </c>
      <c r="C674" s="11" t="n">
        <v>2025</v>
      </c>
      <c r="D674" s="11" t="n">
        <v>6</v>
      </c>
      <c r="E674" s="11" t="s">
        <v>114</v>
      </c>
      <c r="F674" s="11" t="s">
        <v>193</v>
      </c>
      <c r="G674" s="11" t="n">
        <v>12</v>
      </c>
      <c r="H674" s="12" t="s">
        <v>848</v>
      </c>
    </row>
    <row r="675" customFormat="false" ht="15" hidden="false" customHeight="false" outlineLevel="0" collapsed="false">
      <c r="A675" s="11" t="s">
        <v>807</v>
      </c>
      <c r="B675" s="11" t="s">
        <v>17</v>
      </c>
      <c r="C675" s="11" t="n">
        <v>2025</v>
      </c>
      <c r="D675" s="11" t="n">
        <v>7</v>
      </c>
      <c r="E675" s="11" t="s">
        <v>117</v>
      </c>
      <c r="F675" s="11" t="s">
        <v>195</v>
      </c>
      <c r="G675" s="11" t="n">
        <v>16</v>
      </c>
      <c r="H675" s="12" t="s">
        <v>849</v>
      </c>
    </row>
    <row r="676" customFormat="false" ht="15" hidden="false" customHeight="false" outlineLevel="0" collapsed="false">
      <c r="A676" s="11" t="s">
        <v>807</v>
      </c>
      <c r="B676" s="11" t="s">
        <v>17</v>
      </c>
      <c r="C676" s="11" t="n">
        <v>2025</v>
      </c>
      <c r="D676" s="11" t="n">
        <v>8</v>
      </c>
      <c r="E676" s="11" t="s">
        <v>120</v>
      </c>
      <c r="F676" s="11" t="s">
        <v>197</v>
      </c>
      <c r="G676" s="11" t="n">
        <v>16</v>
      </c>
      <c r="H676" s="12" t="s">
        <v>850</v>
      </c>
    </row>
    <row r="677" customFormat="false" ht="15" hidden="false" customHeight="false" outlineLevel="0" collapsed="false">
      <c r="A677" s="11" t="s">
        <v>807</v>
      </c>
      <c r="B677" s="11" t="s">
        <v>17</v>
      </c>
      <c r="C677" s="11" t="n">
        <v>2025</v>
      </c>
      <c r="D677" s="11" t="n">
        <v>9</v>
      </c>
      <c r="E677" s="11" t="s">
        <v>123</v>
      </c>
      <c r="F677" s="11" t="s">
        <v>199</v>
      </c>
      <c r="G677" s="11" t="n">
        <v>12</v>
      </c>
      <c r="H677" s="12" t="s">
        <v>851</v>
      </c>
    </row>
    <row r="678" customFormat="false" ht="15" hidden="false" customHeight="false" outlineLevel="0" collapsed="false">
      <c r="A678" s="11" t="s">
        <v>807</v>
      </c>
      <c r="B678" s="11" t="s">
        <v>17</v>
      </c>
      <c r="C678" s="11" t="n">
        <v>2025</v>
      </c>
      <c r="D678" s="11" t="n">
        <v>10</v>
      </c>
      <c r="E678" s="11" t="s">
        <v>126</v>
      </c>
      <c r="F678" s="11" t="s">
        <v>201</v>
      </c>
      <c r="G678" s="11" t="n">
        <v>12</v>
      </c>
      <c r="H678" s="12" t="s">
        <v>852</v>
      </c>
    </row>
    <row r="679" customFormat="false" ht="15" hidden="false" customHeight="false" outlineLevel="0" collapsed="false">
      <c r="A679" s="11" t="s">
        <v>807</v>
      </c>
      <c r="B679" s="11" t="s">
        <v>17</v>
      </c>
      <c r="C679" s="11" t="n">
        <v>2025</v>
      </c>
      <c r="D679" s="11" t="n">
        <v>11</v>
      </c>
      <c r="E679" s="11" t="s">
        <v>129</v>
      </c>
      <c r="F679" s="11" t="s">
        <v>203</v>
      </c>
      <c r="G679" s="11" t="n">
        <v>12</v>
      </c>
      <c r="H679" s="12" t="s">
        <v>853</v>
      </c>
    </row>
    <row r="680" customFormat="false" ht="15" hidden="false" customHeight="false" outlineLevel="0" collapsed="false">
      <c r="A680" s="11" t="s">
        <v>807</v>
      </c>
      <c r="B680" s="11" t="s">
        <v>17</v>
      </c>
      <c r="C680" s="11" t="n">
        <v>2025</v>
      </c>
      <c r="D680" s="11" t="n">
        <v>12</v>
      </c>
      <c r="E680" s="11" t="s">
        <v>132</v>
      </c>
      <c r="F680" s="11" t="s">
        <v>205</v>
      </c>
      <c r="G680" s="11" t="n">
        <v>12</v>
      </c>
      <c r="H680" s="12" t="s">
        <v>854</v>
      </c>
    </row>
    <row r="681" customFormat="false" ht="15" hidden="false" customHeight="false" outlineLevel="0" collapsed="false">
      <c r="A681" s="11" t="s">
        <v>807</v>
      </c>
      <c r="B681" s="11" t="s">
        <v>17</v>
      </c>
      <c r="C681" s="11" t="n">
        <v>2026</v>
      </c>
      <c r="D681" s="11" t="n">
        <v>1</v>
      </c>
      <c r="E681" s="11" t="s">
        <v>99</v>
      </c>
      <c r="F681" s="11" t="s">
        <v>207</v>
      </c>
      <c r="G681" s="11" t="n">
        <v>12</v>
      </c>
      <c r="H681" s="12" t="s">
        <v>855</v>
      </c>
    </row>
    <row r="682" customFormat="false" ht="15" hidden="false" customHeight="false" outlineLevel="0" collapsed="false">
      <c r="A682" s="11" t="s">
        <v>807</v>
      </c>
      <c r="B682" s="11" t="s">
        <v>17</v>
      </c>
      <c r="C682" s="11" t="n">
        <v>2026</v>
      </c>
      <c r="D682" s="11" t="n">
        <v>2</v>
      </c>
      <c r="E682" s="11" t="s">
        <v>102</v>
      </c>
      <c r="F682" s="11" t="s">
        <v>209</v>
      </c>
      <c r="G682" s="11" t="n">
        <v>8</v>
      </c>
      <c r="H682" s="12" t="s">
        <v>856</v>
      </c>
    </row>
    <row r="683" customFormat="false" ht="15" hidden="false" customHeight="false" outlineLevel="0" collapsed="false">
      <c r="A683" s="11" t="s">
        <v>807</v>
      </c>
      <c r="B683" s="11" t="s">
        <v>17</v>
      </c>
      <c r="C683" s="11" t="n">
        <v>2026</v>
      </c>
      <c r="D683" s="11" t="n">
        <v>3</v>
      </c>
      <c r="E683" s="11" t="s">
        <v>105</v>
      </c>
      <c r="F683" s="11" t="s">
        <v>211</v>
      </c>
      <c r="G683" s="11" t="n">
        <v>1</v>
      </c>
      <c r="H683" s="12" t="s">
        <v>857</v>
      </c>
    </row>
    <row r="684" customFormat="false" ht="15" hidden="false" customHeight="false" outlineLevel="0" collapsed="false">
      <c r="A684" s="11" t="s">
        <v>807</v>
      </c>
      <c r="B684" s="11" t="s">
        <v>17</v>
      </c>
      <c r="C684" s="11" t="n">
        <v>2026</v>
      </c>
      <c r="D684" s="11" t="n">
        <v>4</v>
      </c>
      <c r="E684" s="11" t="s">
        <v>108</v>
      </c>
      <c r="F684" s="11" t="s">
        <v>213</v>
      </c>
      <c r="G684" s="11" t="n">
        <v>12</v>
      </c>
      <c r="H684" s="12" t="s">
        <v>858</v>
      </c>
    </row>
    <row r="685" customFormat="false" ht="15" hidden="false" customHeight="false" outlineLevel="0" collapsed="false">
      <c r="A685" s="11" t="s">
        <v>807</v>
      </c>
      <c r="B685" s="11" t="s">
        <v>17</v>
      </c>
      <c r="C685" s="11" t="n">
        <v>2026</v>
      </c>
      <c r="D685" s="11" t="n">
        <v>5</v>
      </c>
      <c r="E685" s="11" t="s">
        <v>111</v>
      </c>
      <c r="F685" s="11" t="s">
        <v>215</v>
      </c>
      <c r="G685" s="11" t="n">
        <v>12</v>
      </c>
      <c r="H685" s="12" t="s">
        <v>859</v>
      </c>
    </row>
    <row r="686" customFormat="false" ht="15" hidden="false" customHeight="false" outlineLevel="0" collapsed="false">
      <c r="A686" s="11" t="s">
        <v>860</v>
      </c>
      <c r="B686" s="11" t="s">
        <v>18</v>
      </c>
      <c r="C686" s="11" t="n">
        <v>2022</v>
      </c>
      <c r="D686" s="11" t="n">
        <v>1</v>
      </c>
      <c r="E686" s="11" t="s">
        <v>99</v>
      </c>
      <c r="F686" s="11" t="s">
        <v>100</v>
      </c>
      <c r="G686" s="11" t="n">
        <v>8</v>
      </c>
      <c r="H686" s="12" t="s">
        <v>861</v>
      </c>
    </row>
    <row r="687" customFormat="false" ht="15" hidden="false" customHeight="false" outlineLevel="0" collapsed="false">
      <c r="A687" s="11" t="s">
        <v>860</v>
      </c>
      <c r="B687" s="11" t="s">
        <v>18</v>
      </c>
      <c r="C687" s="11" t="n">
        <v>2022</v>
      </c>
      <c r="D687" s="11" t="n">
        <v>2</v>
      </c>
      <c r="E687" s="11" t="s">
        <v>102</v>
      </c>
      <c r="F687" s="11" t="s">
        <v>103</v>
      </c>
      <c r="G687" s="11" t="n">
        <v>12</v>
      </c>
      <c r="H687" s="12" t="s">
        <v>862</v>
      </c>
    </row>
    <row r="688" customFormat="false" ht="15" hidden="false" customHeight="false" outlineLevel="0" collapsed="false">
      <c r="A688" s="11" t="s">
        <v>860</v>
      </c>
      <c r="B688" s="11" t="s">
        <v>18</v>
      </c>
      <c r="C688" s="11" t="n">
        <v>2022</v>
      </c>
      <c r="D688" s="11" t="n">
        <v>3</v>
      </c>
      <c r="E688" s="11" t="s">
        <v>105</v>
      </c>
      <c r="F688" s="11" t="s">
        <v>106</v>
      </c>
      <c r="G688" s="11" t="n">
        <v>12</v>
      </c>
      <c r="H688" s="12" t="s">
        <v>863</v>
      </c>
    </row>
    <row r="689" customFormat="false" ht="15" hidden="false" customHeight="false" outlineLevel="0" collapsed="false">
      <c r="A689" s="11" t="s">
        <v>860</v>
      </c>
      <c r="B689" s="11" t="s">
        <v>18</v>
      </c>
      <c r="C689" s="11" t="n">
        <v>2022</v>
      </c>
      <c r="D689" s="11" t="n">
        <v>4</v>
      </c>
      <c r="E689" s="11" t="s">
        <v>108</v>
      </c>
      <c r="F689" s="11" t="s">
        <v>109</v>
      </c>
      <c r="G689" s="11" t="n">
        <v>16</v>
      </c>
      <c r="H689" s="12" t="s">
        <v>864</v>
      </c>
    </row>
    <row r="690" customFormat="false" ht="15" hidden="false" customHeight="false" outlineLevel="0" collapsed="false">
      <c r="A690" s="11" t="s">
        <v>860</v>
      </c>
      <c r="B690" s="11" t="s">
        <v>18</v>
      </c>
      <c r="C690" s="11" t="n">
        <v>2022</v>
      </c>
      <c r="D690" s="11" t="n">
        <v>5</v>
      </c>
      <c r="E690" s="11" t="s">
        <v>111</v>
      </c>
      <c r="F690" s="11" t="s">
        <v>112</v>
      </c>
      <c r="G690" s="11" t="n">
        <v>12</v>
      </c>
      <c r="H690" s="12" t="s">
        <v>865</v>
      </c>
    </row>
    <row r="691" customFormat="false" ht="15" hidden="false" customHeight="false" outlineLevel="0" collapsed="false">
      <c r="A691" s="11" t="s">
        <v>860</v>
      </c>
      <c r="B691" s="11" t="s">
        <v>18</v>
      </c>
      <c r="C691" s="11" t="n">
        <v>2022</v>
      </c>
      <c r="D691" s="11" t="n">
        <v>6</v>
      </c>
      <c r="E691" s="11" t="s">
        <v>114</v>
      </c>
      <c r="F691" s="11" t="s">
        <v>115</v>
      </c>
      <c r="G691" s="11" t="n">
        <v>16</v>
      </c>
      <c r="H691" s="12" t="s">
        <v>866</v>
      </c>
    </row>
    <row r="692" customFormat="false" ht="15" hidden="false" customHeight="false" outlineLevel="0" collapsed="false">
      <c r="A692" s="11" t="s">
        <v>860</v>
      </c>
      <c r="B692" s="11" t="s">
        <v>18</v>
      </c>
      <c r="C692" s="11" t="n">
        <v>2022</v>
      </c>
      <c r="D692" s="11" t="n">
        <v>7</v>
      </c>
      <c r="E692" s="11" t="s">
        <v>117</v>
      </c>
      <c r="F692" s="11" t="s">
        <v>118</v>
      </c>
      <c r="G692" s="11" t="n">
        <v>12</v>
      </c>
      <c r="H692" s="12" t="s">
        <v>867</v>
      </c>
    </row>
    <row r="693" customFormat="false" ht="15" hidden="false" customHeight="false" outlineLevel="0" collapsed="false">
      <c r="A693" s="11" t="s">
        <v>860</v>
      </c>
      <c r="B693" s="11" t="s">
        <v>18</v>
      </c>
      <c r="C693" s="11" t="n">
        <v>2022</v>
      </c>
      <c r="D693" s="11" t="n">
        <v>8</v>
      </c>
      <c r="E693" s="11" t="s">
        <v>120</v>
      </c>
      <c r="F693" s="11" t="s">
        <v>121</v>
      </c>
      <c r="G693" s="11" t="n">
        <v>12</v>
      </c>
      <c r="H693" s="12" t="s">
        <v>868</v>
      </c>
    </row>
    <row r="694" customFormat="false" ht="15" hidden="false" customHeight="false" outlineLevel="0" collapsed="false">
      <c r="A694" s="11" t="s">
        <v>860</v>
      </c>
      <c r="B694" s="11" t="s">
        <v>18</v>
      </c>
      <c r="C694" s="11" t="n">
        <v>2022</v>
      </c>
      <c r="D694" s="11" t="n">
        <v>9</v>
      </c>
      <c r="E694" s="11" t="s">
        <v>123</v>
      </c>
      <c r="F694" s="11" t="s">
        <v>124</v>
      </c>
      <c r="G694" s="11" t="n">
        <v>16</v>
      </c>
      <c r="H694" s="12" t="s">
        <v>869</v>
      </c>
    </row>
    <row r="695" customFormat="false" ht="15" hidden="false" customHeight="false" outlineLevel="0" collapsed="false">
      <c r="A695" s="11" t="s">
        <v>860</v>
      </c>
      <c r="B695" s="11" t="s">
        <v>18</v>
      </c>
      <c r="C695" s="11" t="n">
        <v>2022</v>
      </c>
      <c r="D695" s="11" t="n">
        <v>10</v>
      </c>
      <c r="E695" s="11" t="s">
        <v>126</v>
      </c>
      <c r="F695" s="11" t="s">
        <v>127</v>
      </c>
      <c r="G695" s="11" t="n">
        <v>16</v>
      </c>
      <c r="H695" s="12" t="s">
        <v>870</v>
      </c>
    </row>
    <row r="696" customFormat="false" ht="15" hidden="false" customHeight="false" outlineLevel="0" collapsed="false">
      <c r="A696" s="11" t="s">
        <v>860</v>
      </c>
      <c r="B696" s="11" t="s">
        <v>18</v>
      </c>
      <c r="C696" s="11" t="n">
        <v>2022</v>
      </c>
      <c r="D696" s="11" t="n">
        <v>11</v>
      </c>
      <c r="E696" s="11" t="s">
        <v>129</v>
      </c>
      <c r="F696" s="11" t="s">
        <v>130</v>
      </c>
      <c r="G696" s="11" t="n">
        <v>12</v>
      </c>
      <c r="H696" s="12" t="s">
        <v>871</v>
      </c>
    </row>
    <row r="697" customFormat="false" ht="15" hidden="false" customHeight="false" outlineLevel="0" collapsed="false">
      <c r="A697" s="11" t="s">
        <v>860</v>
      </c>
      <c r="B697" s="11" t="s">
        <v>18</v>
      </c>
      <c r="C697" s="11" t="n">
        <v>2022</v>
      </c>
      <c r="D697" s="11" t="n">
        <v>12</v>
      </c>
      <c r="E697" s="11" t="s">
        <v>132</v>
      </c>
      <c r="F697" s="11" t="s">
        <v>133</v>
      </c>
      <c r="G697" s="11" t="n">
        <v>16</v>
      </c>
      <c r="H697" s="12" t="s">
        <v>872</v>
      </c>
    </row>
    <row r="698" customFormat="false" ht="15" hidden="false" customHeight="false" outlineLevel="0" collapsed="false">
      <c r="A698" s="11" t="s">
        <v>860</v>
      </c>
      <c r="B698" s="11" t="s">
        <v>18</v>
      </c>
      <c r="C698" s="11" t="n">
        <v>2023</v>
      </c>
      <c r="D698" s="11" t="n">
        <v>1</v>
      </c>
      <c r="E698" s="11" t="s">
        <v>99</v>
      </c>
      <c r="F698" s="11" t="s">
        <v>135</v>
      </c>
      <c r="G698" s="11" t="n">
        <v>12</v>
      </c>
      <c r="H698" s="12" t="s">
        <v>873</v>
      </c>
    </row>
    <row r="699" customFormat="false" ht="15" hidden="false" customHeight="false" outlineLevel="0" collapsed="false">
      <c r="A699" s="11" t="s">
        <v>860</v>
      </c>
      <c r="B699" s="11" t="s">
        <v>18</v>
      </c>
      <c r="C699" s="11" t="n">
        <v>2023</v>
      </c>
      <c r="D699" s="11" t="n">
        <v>2</v>
      </c>
      <c r="E699" s="11" t="s">
        <v>102</v>
      </c>
      <c r="F699" s="11" t="s">
        <v>137</v>
      </c>
      <c r="G699" s="11" t="n">
        <v>12</v>
      </c>
      <c r="H699" s="12" t="s">
        <v>874</v>
      </c>
    </row>
    <row r="700" customFormat="false" ht="15" hidden="false" customHeight="false" outlineLevel="0" collapsed="false">
      <c r="A700" s="11" t="s">
        <v>860</v>
      </c>
      <c r="B700" s="11" t="s">
        <v>18</v>
      </c>
      <c r="C700" s="11" t="n">
        <v>2023</v>
      </c>
      <c r="D700" s="11" t="n">
        <v>3</v>
      </c>
      <c r="E700" s="11" t="s">
        <v>105</v>
      </c>
      <c r="F700" s="11" t="s">
        <v>139</v>
      </c>
      <c r="G700" s="11" t="n">
        <v>12</v>
      </c>
      <c r="H700" s="12" t="s">
        <v>875</v>
      </c>
    </row>
    <row r="701" customFormat="false" ht="15" hidden="false" customHeight="false" outlineLevel="0" collapsed="false">
      <c r="A701" s="11" t="s">
        <v>860</v>
      </c>
      <c r="B701" s="11" t="s">
        <v>18</v>
      </c>
      <c r="C701" s="11" t="n">
        <v>2023</v>
      </c>
      <c r="D701" s="11" t="n">
        <v>4</v>
      </c>
      <c r="E701" s="11" t="s">
        <v>108</v>
      </c>
      <c r="F701" s="11" t="s">
        <v>141</v>
      </c>
      <c r="G701" s="11" t="n">
        <v>12</v>
      </c>
      <c r="H701" s="12" t="s">
        <v>876</v>
      </c>
    </row>
    <row r="702" customFormat="false" ht="15" hidden="false" customHeight="false" outlineLevel="0" collapsed="false">
      <c r="A702" s="11" t="s">
        <v>860</v>
      </c>
      <c r="B702" s="11" t="s">
        <v>18</v>
      </c>
      <c r="C702" s="11" t="n">
        <v>2023</v>
      </c>
      <c r="D702" s="11" t="n">
        <v>5</v>
      </c>
      <c r="E702" s="11" t="s">
        <v>111</v>
      </c>
      <c r="F702" s="11" t="s">
        <v>143</v>
      </c>
      <c r="G702" s="11" t="n">
        <v>20</v>
      </c>
      <c r="H702" s="12" t="s">
        <v>877</v>
      </c>
    </row>
    <row r="703" customFormat="false" ht="15" hidden="false" customHeight="false" outlineLevel="0" collapsed="false">
      <c r="A703" s="11" t="s">
        <v>860</v>
      </c>
      <c r="B703" s="11" t="s">
        <v>18</v>
      </c>
      <c r="C703" s="11" t="n">
        <v>2023</v>
      </c>
      <c r="D703" s="11" t="n">
        <v>6</v>
      </c>
      <c r="E703" s="11" t="s">
        <v>114</v>
      </c>
      <c r="F703" s="11" t="s">
        <v>145</v>
      </c>
      <c r="G703" s="11" t="n">
        <v>20</v>
      </c>
      <c r="H703" s="12" t="s">
        <v>878</v>
      </c>
    </row>
    <row r="704" customFormat="false" ht="15" hidden="false" customHeight="false" outlineLevel="0" collapsed="false">
      <c r="A704" s="11" t="s">
        <v>860</v>
      </c>
      <c r="B704" s="11" t="s">
        <v>18</v>
      </c>
      <c r="C704" s="11" t="n">
        <v>2023</v>
      </c>
      <c r="D704" s="11" t="n">
        <v>7</v>
      </c>
      <c r="E704" s="11" t="s">
        <v>117</v>
      </c>
      <c r="F704" s="11" t="s">
        <v>147</v>
      </c>
      <c r="G704" s="11" t="n">
        <v>16</v>
      </c>
      <c r="H704" s="12" t="s">
        <v>879</v>
      </c>
    </row>
    <row r="705" customFormat="false" ht="15" hidden="false" customHeight="false" outlineLevel="0" collapsed="false">
      <c r="A705" s="11" t="s">
        <v>860</v>
      </c>
      <c r="B705" s="11" t="s">
        <v>18</v>
      </c>
      <c r="C705" s="11" t="n">
        <v>2023</v>
      </c>
      <c r="D705" s="11" t="n">
        <v>8</v>
      </c>
      <c r="E705" s="11" t="s">
        <v>120</v>
      </c>
      <c r="F705" s="11" t="s">
        <v>149</v>
      </c>
      <c r="G705" s="11" t="n">
        <v>12</v>
      </c>
      <c r="H705" s="12" t="s">
        <v>880</v>
      </c>
    </row>
    <row r="706" customFormat="false" ht="15" hidden="false" customHeight="false" outlineLevel="0" collapsed="false">
      <c r="A706" s="11" t="s">
        <v>860</v>
      </c>
      <c r="B706" s="11" t="s">
        <v>18</v>
      </c>
      <c r="C706" s="11" t="n">
        <v>2023</v>
      </c>
      <c r="D706" s="11" t="n">
        <v>9</v>
      </c>
      <c r="E706" s="11" t="s">
        <v>123</v>
      </c>
      <c r="F706" s="11" t="s">
        <v>151</v>
      </c>
      <c r="G706" s="11" t="n">
        <v>16</v>
      </c>
      <c r="H706" s="12" t="s">
        <v>881</v>
      </c>
    </row>
    <row r="707" customFormat="false" ht="15" hidden="false" customHeight="false" outlineLevel="0" collapsed="false">
      <c r="A707" s="11" t="s">
        <v>860</v>
      </c>
      <c r="B707" s="11" t="s">
        <v>18</v>
      </c>
      <c r="C707" s="11" t="n">
        <v>2023</v>
      </c>
      <c r="D707" s="11" t="n">
        <v>10</v>
      </c>
      <c r="E707" s="11" t="s">
        <v>126</v>
      </c>
      <c r="F707" s="11" t="s">
        <v>153</v>
      </c>
      <c r="G707" s="11" t="n">
        <v>16</v>
      </c>
      <c r="H707" s="12" t="s">
        <v>882</v>
      </c>
    </row>
    <row r="708" customFormat="false" ht="15" hidden="false" customHeight="false" outlineLevel="0" collapsed="false">
      <c r="A708" s="11" t="s">
        <v>860</v>
      </c>
      <c r="B708" s="11" t="s">
        <v>18</v>
      </c>
      <c r="C708" s="11" t="n">
        <v>2023</v>
      </c>
      <c r="D708" s="11" t="n">
        <v>11</v>
      </c>
      <c r="E708" s="11" t="s">
        <v>129</v>
      </c>
      <c r="F708" s="11" t="s">
        <v>155</v>
      </c>
      <c r="G708" s="11" t="n">
        <v>16</v>
      </c>
      <c r="H708" s="12" t="s">
        <v>883</v>
      </c>
    </row>
    <row r="709" customFormat="false" ht="15" hidden="false" customHeight="false" outlineLevel="0" collapsed="false">
      <c r="A709" s="11" t="s">
        <v>860</v>
      </c>
      <c r="B709" s="11" t="s">
        <v>18</v>
      </c>
      <c r="C709" s="11" t="n">
        <v>2023</v>
      </c>
      <c r="D709" s="11" t="n">
        <v>12</v>
      </c>
      <c r="E709" s="11" t="s">
        <v>132</v>
      </c>
      <c r="F709" s="11" t="s">
        <v>157</v>
      </c>
      <c r="G709" s="11" t="n">
        <v>16</v>
      </c>
      <c r="H709" s="12" t="s">
        <v>884</v>
      </c>
    </row>
    <row r="710" customFormat="false" ht="15" hidden="false" customHeight="false" outlineLevel="0" collapsed="false">
      <c r="A710" s="11" t="s">
        <v>860</v>
      </c>
      <c r="B710" s="11" t="s">
        <v>18</v>
      </c>
      <c r="C710" s="11" t="n">
        <v>2024</v>
      </c>
      <c r="D710" s="11" t="n">
        <v>1</v>
      </c>
      <c r="E710" s="11" t="s">
        <v>99</v>
      </c>
      <c r="F710" s="11" t="s">
        <v>159</v>
      </c>
      <c r="G710" s="11" t="n">
        <v>12</v>
      </c>
      <c r="H710" s="12" t="s">
        <v>885</v>
      </c>
    </row>
    <row r="711" customFormat="false" ht="15" hidden="false" customHeight="false" outlineLevel="0" collapsed="false">
      <c r="A711" s="11" t="s">
        <v>860</v>
      </c>
      <c r="B711" s="11" t="s">
        <v>18</v>
      </c>
      <c r="C711" s="11" t="n">
        <v>2024</v>
      </c>
      <c r="D711" s="11" t="n">
        <v>2</v>
      </c>
      <c r="E711" s="11" t="s">
        <v>102</v>
      </c>
      <c r="F711" s="11" t="s">
        <v>161</v>
      </c>
      <c r="G711" s="11" t="n">
        <v>16</v>
      </c>
      <c r="H711" s="12" t="s">
        <v>886</v>
      </c>
    </row>
    <row r="712" customFormat="false" ht="15" hidden="false" customHeight="false" outlineLevel="0" collapsed="false">
      <c r="A712" s="11" t="s">
        <v>860</v>
      </c>
      <c r="B712" s="11" t="s">
        <v>18</v>
      </c>
      <c r="C712" s="11" t="n">
        <v>2024</v>
      </c>
      <c r="D712" s="11" t="n">
        <v>3</v>
      </c>
      <c r="E712" s="11" t="s">
        <v>105</v>
      </c>
      <c r="F712" s="11" t="s">
        <v>163</v>
      </c>
      <c r="G712" s="11" t="n">
        <v>16</v>
      </c>
      <c r="H712" s="12" t="s">
        <v>887</v>
      </c>
    </row>
    <row r="713" customFormat="false" ht="15" hidden="false" customHeight="false" outlineLevel="0" collapsed="false">
      <c r="A713" s="11" t="s">
        <v>860</v>
      </c>
      <c r="B713" s="11" t="s">
        <v>18</v>
      </c>
      <c r="C713" s="11" t="n">
        <v>2024</v>
      </c>
      <c r="D713" s="11" t="n">
        <v>4</v>
      </c>
      <c r="E713" s="11" t="s">
        <v>108</v>
      </c>
      <c r="F713" s="11" t="s">
        <v>165</v>
      </c>
      <c r="G713" s="11" t="n">
        <v>16</v>
      </c>
      <c r="H713" s="12" t="s">
        <v>888</v>
      </c>
    </row>
    <row r="714" customFormat="false" ht="15" hidden="false" customHeight="false" outlineLevel="0" collapsed="false">
      <c r="A714" s="11" t="s">
        <v>860</v>
      </c>
      <c r="B714" s="11" t="s">
        <v>18</v>
      </c>
      <c r="C714" s="11" t="n">
        <v>2024</v>
      </c>
      <c r="D714" s="11" t="n">
        <v>5</v>
      </c>
      <c r="E714" s="11" t="s">
        <v>111</v>
      </c>
      <c r="F714" s="11" t="s">
        <v>167</v>
      </c>
      <c r="G714" s="11" t="n">
        <v>20</v>
      </c>
      <c r="H714" s="12" t="s">
        <v>889</v>
      </c>
    </row>
    <row r="715" customFormat="false" ht="15" hidden="false" customHeight="false" outlineLevel="0" collapsed="false">
      <c r="A715" s="11" t="s">
        <v>860</v>
      </c>
      <c r="B715" s="11" t="s">
        <v>18</v>
      </c>
      <c r="C715" s="11" t="n">
        <v>2024</v>
      </c>
      <c r="D715" s="11" t="n">
        <v>6</v>
      </c>
      <c r="E715" s="11" t="s">
        <v>114</v>
      </c>
      <c r="F715" s="11" t="s">
        <v>169</v>
      </c>
      <c r="G715" s="11" t="n">
        <v>16</v>
      </c>
      <c r="H715" s="12" t="s">
        <v>890</v>
      </c>
    </row>
    <row r="716" customFormat="false" ht="15" hidden="false" customHeight="false" outlineLevel="0" collapsed="false">
      <c r="A716" s="11" t="s">
        <v>860</v>
      </c>
      <c r="B716" s="11" t="s">
        <v>18</v>
      </c>
      <c r="C716" s="11" t="n">
        <v>2024</v>
      </c>
      <c r="D716" s="11" t="n">
        <v>7</v>
      </c>
      <c r="E716" s="11" t="s">
        <v>117</v>
      </c>
      <c r="F716" s="11" t="s">
        <v>171</v>
      </c>
      <c r="G716" s="11" t="n">
        <v>12</v>
      </c>
      <c r="H716" s="12" t="s">
        <v>891</v>
      </c>
    </row>
    <row r="717" customFormat="false" ht="15" hidden="false" customHeight="false" outlineLevel="0" collapsed="false">
      <c r="A717" s="11" t="s">
        <v>860</v>
      </c>
      <c r="B717" s="11" t="s">
        <v>18</v>
      </c>
      <c r="C717" s="11" t="n">
        <v>2024</v>
      </c>
      <c r="D717" s="11" t="n">
        <v>8</v>
      </c>
      <c r="E717" s="11" t="s">
        <v>120</v>
      </c>
      <c r="F717" s="11" t="s">
        <v>173</v>
      </c>
      <c r="G717" s="11" t="n">
        <v>12</v>
      </c>
      <c r="H717" s="12" t="s">
        <v>892</v>
      </c>
    </row>
    <row r="718" customFormat="false" ht="15" hidden="false" customHeight="false" outlineLevel="0" collapsed="false">
      <c r="A718" s="11" t="s">
        <v>860</v>
      </c>
      <c r="B718" s="11" t="s">
        <v>18</v>
      </c>
      <c r="C718" s="11" t="n">
        <v>2024</v>
      </c>
      <c r="D718" s="11" t="n">
        <v>9</v>
      </c>
      <c r="E718" s="11" t="s">
        <v>123</v>
      </c>
      <c r="F718" s="11" t="s">
        <v>175</v>
      </c>
      <c r="G718" s="11" t="n">
        <v>16</v>
      </c>
      <c r="H718" s="12" t="s">
        <v>893</v>
      </c>
    </row>
    <row r="719" customFormat="false" ht="15" hidden="false" customHeight="false" outlineLevel="0" collapsed="false">
      <c r="A719" s="11" t="s">
        <v>860</v>
      </c>
      <c r="B719" s="11" t="s">
        <v>18</v>
      </c>
      <c r="C719" s="11" t="n">
        <v>2024</v>
      </c>
      <c r="D719" s="11" t="n">
        <v>10</v>
      </c>
      <c r="E719" s="11" t="s">
        <v>126</v>
      </c>
      <c r="F719" s="11" t="s">
        <v>177</v>
      </c>
      <c r="G719" s="11" t="n">
        <v>16</v>
      </c>
      <c r="H719" s="12" t="s">
        <v>894</v>
      </c>
    </row>
    <row r="720" customFormat="false" ht="15" hidden="false" customHeight="false" outlineLevel="0" collapsed="false">
      <c r="A720" s="11" t="s">
        <v>860</v>
      </c>
      <c r="B720" s="11" t="s">
        <v>18</v>
      </c>
      <c r="C720" s="11" t="n">
        <v>2024</v>
      </c>
      <c r="D720" s="11" t="n">
        <v>11</v>
      </c>
      <c r="E720" s="11" t="s">
        <v>129</v>
      </c>
      <c r="F720" s="11" t="s">
        <v>179</v>
      </c>
      <c r="G720" s="11" t="n">
        <v>12</v>
      </c>
      <c r="H720" s="12" t="s">
        <v>895</v>
      </c>
    </row>
    <row r="721" customFormat="false" ht="15" hidden="false" customHeight="false" outlineLevel="0" collapsed="false">
      <c r="A721" s="11" t="s">
        <v>860</v>
      </c>
      <c r="B721" s="11" t="s">
        <v>18</v>
      </c>
      <c r="C721" s="11" t="n">
        <v>2024</v>
      </c>
      <c r="D721" s="11" t="n">
        <v>12</v>
      </c>
      <c r="E721" s="11" t="s">
        <v>132</v>
      </c>
      <c r="F721" s="11" t="s">
        <v>181</v>
      </c>
      <c r="G721" s="11" t="n">
        <v>20</v>
      </c>
      <c r="H721" s="12" t="s">
        <v>896</v>
      </c>
    </row>
    <row r="722" customFormat="false" ht="15" hidden="false" customHeight="false" outlineLevel="0" collapsed="false">
      <c r="A722" s="11" t="s">
        <v>860</v>
      </c>
      <c r="B722" s="11" t="s">
        <v>18</v>
      </c>
      <c r="C722" s="11" t="n">
        <v>2025</v>
      </c>
      <c r="D722" s="11" t="n">
        <v>1</v>
      </c>
      <c r="E722" s="11" t="s">
        <v>99</v>
      </c>
      <c r="F722" s="11" t="s">
        <v>183</v>
      </c>
      <c r="G722" s="11" t="n">
        <v>12</v>
      </c>
      <c r="H722" s="12" t="s">
        <v>897</v>
      </c>
    </row>
    <row r="723" customFormat="false" ht="15" hidden="false" customHeight="false" outlineLevel="0" collapsed="false">
      <c r="A723" s="11" t="s">
        <v>860</v>
      </c>
      <c r="B723" s="11" t="s">
        <v>18</v>
      </c>
      <c r="C723" s="11" t="n">
        <v>2025</v>
      </c>
      <c r="D723" s="11" t="n">
        <v>2</v>
      </c>
      <c r="E723" s="11" t="s">
        <v>102</v>
      </c>
      <c r="F723" s="11" t="s">
        <v>185</v>
      </c>
      <c r="G723" s="11" t="n">
        <v>12</v>
      </c>
      <c r="H723" s="12" t="s">
        <v>898</v>
      </c>
    </row>
    <row r="724" customFormat="false" ht="15" hidden="false" customHeight="false" outlineLevel="0" collapsed="false">
      <c r="A724" s="11" t="s">
        <v>860</v>
      </c>
      <c r="B724" s="11" t="s">
        <v>18</v>
      </c>
      <c r="C724" s="11" t="n">
        <v>2025</v>
      </c>
      <c r="D724" s="11" t="n">
        <v>3</v>
      </c>
      <c r="E724" s="11" t="s">
        <v>105</v>
      </c>
      <c r="F724" s="11" t="s">
        <v>187</v>
      </c>
      <c r="G724" s="11" t="n">
        <v>16</v>
      </c>
      <c r="H724" s="12" t="s">
        <v>899</v>
      </c>
    </row>
    <row r="725" customFormat="false" ht="15" hidden="false" customHeight="false" outlineLevel="0" collapsed="false">
      <c r="A725" s="11" t="s">
        <v>860</v>
      </c>
      <c r="B725" s="11" t="s">
        <v>18</v>
      </c>
      <c r="C725" s="11" t="n">
        <v>2025</v>
      </c>
      <c r="D725" s="11" t="n">
        <v>4</v>
      </c>
      <c r="E725" s="11" t="s">
        <v>108</v>
      </c>
      <c r="F725" s="11" t="s">
        <v>189</v>
      </c>
      <c r="G725" s="11" t="n">
        <v>20</v>
      </c>
      <c r="H725" s="12" t="s">
        <v>900</v>
      </c>
    </row>
    <row r="726" customFormat="false" ht="15" hidden="false" customHeight="false" outlineLevel="0" collapsed="false">
      <c r="A726" s="11" t="s">
        <v>860</v>
      </c>
      <c r="B726" s="11" t="s">
        <v>18</v>
      </c>
      <c r="C726" s="11" t="n">
        <v>2025</v>
      </c>
      <c r="D726" s="11" t="n">
        <v>5</v>
      </c>
      <c r="E726" s="11" t="s">
        <v>111</v>
      </c>
      <c r="F726" s="11" t="s">
        <v>191</v>
      </c>
      <c r="G726" s="11" t="n">
        <v>20</v>
      </c>
      <c r="H726" s="12" t="s">
        <v>901</v>
      </c>
    </row>
    <row r="727" customFormat="false" ht="15" hidden="false" customHeight="false" outlineLevel="0" collapsed="false">
      <c r="A727" s="11" t="s">
        <v>860</v>
      </c>
      <c r="B727" s="11" t="s">
        <v>18</v>
      </c>
      <c r="C727" s="11" t="n">
        <v>2025</v>
      </c>
      <c r="D727" s="11" t="n">
        <v>6</v>
      </c>
      <c r="E727" s="11" t="s">
        <v>114</v>
      </c>
      <c r="F727" s="11" t="s">
        <v>193</v>
      </c>
      <c r="G727" s="11" t="n">
        <v>16</v>
      </c>
      <c r="H727" s="12" t="s">
        <v>902</v>
      </c>
    </row>
    <row r="728" customFormat="false" ht="15" hidden="false" customHeight="false" outlineLevel="0" collapsed="false">
      <c r="A728" s="11" t="s">
        <v>860</v>
      </c>
      <c r="B728" s="11" t="s">
        <v>18</v>
      </c>
      <c r="C728" s="11" t="n">
        <v>2025</v>
      </c>
      <c r="D728" s="11" t="n">
        <v>7</v>
      </c>
      <c r="E728" s="11" t="s">
        <v>117</v>
      </c>
      <c r="F728" s="11" t="s">
        <v>195</v>
      </c>
      <c r="G728" s="11" t="n">
        <v>16</v>
      </c>
      <c r="H728" s="12" t="s">
        <v>903</v>
      </c>
    </row>
    <row r="729" customFormat="false" ht="15" hidden="false" customHeight="false" outlineLevel="0" collapsed="false">
      <c r="A729" s="11" t="s">
        <v>860</v>
      </c>
      <c r="B729" s="11" t="s">
        <v>18</v>
      </c>
      <c r="C729" s="11" t="n">
        <v>2025</v>
      </c>
      <c r="D729" s="11" t="n">
        <v>8</v>
      </c>
      <c r="E729" s="11" t="s">
        <v>120</v>
      </c>
      <c r="F729" s="11" t="s">
        <v>197</v>
      </c>
      <c r="G729" s="11" t="n">
        <v>16</v>
      </c>
      <c r="H729" s="12" t="s">
        <v>904</v>
      </c>
    </row>
    <row r="730" customFormat="false" ht="15" hidden="false" customHeight="false" outlineLevel="0" collapsed="false">
      <c r="A730" s="11" t="s">
        <v>860</v>
      </c>
      <c r="B730" s="11" t="s">
        <v>18</v>
      </c>
      <c r="C730" s="11" t="n">
        <v>2025</v>
      </c>
      <c r="D730" s="11" t="n">
        <v>9</v>
      </c>
      <c r="E730" s="11" t="s">
        <v>123</v>
      </c>
      <c r="F730" s="11" t="s">
        <v>199</v>
      </c>
      <c r="G730" s="11" t="n">
        <v>20</v>
      </c>
      <c r="H730" s="12" t="s">
        <v>905</v>
      </c>
    </row>
    <row r="731" customFormat="false" ht="15" hidden="false" customHeight="false" outlineLevel="0" collapsed="false">
      <c r="A731" s="11" t="s">
        <v>860</v>
      </c>
      <c r="B731" s="11" t="s">
        <v>18</v>
      </c>
      <c r="C731" s="11" t="n">
        <v>2025</v>
      </c>
      <c r="D731" s="11" t="n">
        <v>10</v>
      </c>
      <c r="E731" s="11" t="s">
        <v>126</v>
      </c>
      <c r="F731" s="11" t="s">
        <v>201</v>
      </c>
      <c r="G731" s="11" t="n">
        <v>15</v>
      </c>
      <c r="H731" s="12" t="s">
        <v>906</v>
      </c>
    </row>
    <row r="732" customFormat="false" ht="15" hidden="false" customHeight="false" outlineLevel="0" collapsed="false">
      <c r="A732" s="11" t="s">
        <v>860</v>
      </c>
      <c r="B732" s="11" t="s">
        <v>18</v>
      </c>
      <c r="C732" s="11" t="n">
        <v>2025</v>
      </c>
      <c r="D732" s="11" t="n">
        <v>11</v>
      </c>
      <c r="E732" s="11" t="s">
        <v>129</v>
      </c>
      <c r="F732" s="11" t="s">
        <v>203</v>
      </c>
      <c r="G732" s="11" t="n">
        <v>16</v>
      </c>
      <c r="H732" s="12" t="s">
        <v>907</v>
      </c>
    </row>
    <row r="733" customFormat="false" ht="15" hidden="false" customHeight="false" outlineLevel="0" collapsed="false">
      <c r="A733" s="11" t="s">
        <v>860</v>
      </c>
      <c r="B733" s="11" t="s">
        <v>18</v>
      </c>
      <c r="C733" s="11" t="n">
        <v>2025</v>
      </c>
      <c r="D733" s="11" t="n">
        <v>12</v>
      </c>
      <c r="E733" s="11" t="s">
        <v>132</v>
      </c>
      <c r="F733" s="11" t="s">
        <v>205</v>
      </c>
      <c r="G733" s="11" t="n">
        <v>12</v>
      </c>
      <c r="H733" s="12" t="s">
        <v>908</v>
      </c>
    </row>
    <row r="734" customFormat="false" ht="15" hidden="false" customHeight="false" outlineLevel="0" collapsed="false">
      <c r="A734" s="11" t="s">
        <v>860</v>
      </c>
      <c r="B734" s="11" t="s">
        <v>18</v>
      </c>
      <c r="C734" s="11" t="n">
        <v>2026</v>
      </c>
      <c r="D734" s="11" t="n">
        <v>1</v>
      </c>
      <c r="E734" s="11" t="s">
        <v>99</v>
      </c>
      <c r="F734" s="11" t="s">
        <v>207</v>
      </c>
      <c r="G734" s="11" t="n">
        <v>12</v>
      </c>
      <c r="H734" s="12" t="s">
        <v>909</v>
      </c>
    </row>
    <row r="735" customFormat="false" ht="15" hidden="false" customHeight="false" outlineLevel="0" collapsed="false">
      <c r="A735" s="11" t="s">
        <v>860</v>
      </c>
      <c r="B735" s="11" t="s">
        <v>18</v>
      </c>
      <c r="C735" s="11" t="n">
        <v>2026</v>
      </c>
      <c r="D735" s="11" t="n">
        <v>2</v>
      </c>
      <c r="E735" s="11" t="s">
        <v>102</v>
      </c>
      <c r="F735" s="11" t="s">
        <v>209</v>
      </c>
      <c r="G735" s="11" t="n">
        <v>12</v>
      </c>
      <c r="H735" s="12" t="s">
        <v>910</v>
      </c>
    </row>
    <row r="736" customFormat="false" ht="15" hidden="false" customHeight="false" outlineLevel="0" collapsed="false">
      <c r="A736" s="11" t="s">
        <v>860</v>
      </c>
      <c r="B736" s="11" t="s">
        <v>18</v>
      </c>
      <c r="C736" s="11" t="n">
        <v>2026</v>
      </c>
      <c r="D736" s="11" t="n">
        <v>3</v>
      </c>
      <c r="E736" s="11" t="s">
        <v>105</v>
      </c>
      <c r="F736" s="11" t="s">
        <v>211</v>
      </c>
      <c r="G736" s="11" t="n">
        <v>16</v>
      </c>
      <c r="H736" s="12" t="s">
        <v>911</v>
      </c>
    </row>
    <row r="737" customFormat="false" ht="15" hidden="false" customHeight="false" outlineLevel="0" collapsed="false">
      <c r="A737" s="11" t="s">
        <v>860</v>
      </c>
      <c r="B737" s="11" t="s">
        <v>18</v>
      </c>
      <c r="C737" s="11" t="n">
        <v>2026</v>
      </c>
      <c r="D737" s="11" t="n">
        <v>4</v>
      </c>
      <c r="E737" s="11" t="s">
        <v>108</v>
      </c>
      <c r="F737" s="11" t="s">
        <v>213</v>
      </c>
      <c r="G737" s="11" t="n">
        <v>16</v>
      </c>
      <c r="H737" s="12" t="s">
        <v>912</v>
      </c>
    </row>
    <row r="738" customFormat="false" ht="15" hidden="false" customHeight="false" outlineLevel="0" collapsed="false">
      <c r="A738" s="11" t="s">
        <v>860</v>
      </c>
      <c r="B738" s="11" t="s">
        <v>18</v>
      </c>
      <c r="C738" s="11" t="n">
        <v>2026</v>
      </c>
      <c r="D738" s="11" t="n">
        <v>5</v>
      </c>
      <c r="E738" s="11" t="s">
        <v>111</v>
      </c>
      <c r="F738" s="11" t="s">
        <v>215</v>
      </c>
      <c r="G738" s="11" t="n">
        <v>16</v>
      </c>
      <c r="H738" s="12" t="s">
        <v>913</v>
      </c>
    </row>
    <row r="739" customFormat="false" ht="15" hidden="false" customHeight="false" outlineLevel="0" collapsed="false">
      <c r="A739" s="11" t="s">
        <v>914</v>
      </c>
      <c r="B739" s="11" t="s">
        <v>19</v>
      </c>
      <c r="C739" s="11" t="n">
        <v>2022</v>
      </c>
      <c r="D739" s="11" t="n">
        <v>3</v>
      </c>
      <c r="E739" s="11" t="s">
        <v>105</v>
      </c>
      <c r="F739" s="11" t="s">
        <v>106</v>
      </c>
      <c r="G739" s="11" t="n">
        <v>16</v>
      </c>
      <c r="H739" s="12" t="s">
        <v>915</v>
      </c>
    </row>
    <row r="740" customFormat="false" ht="15" hidden="false" customHeight="false" outlineLevel="0" collapsed="false">
      <c r="A740" s="11" t="s">
        <v>914</v>
      </c>
      <c r="B740" s="11" t="s">
        <v>19</v>
      </c>
      <c r="C740" s="11" t="n">
        <v>2022</v>
      </c>
      <c r="D740" s="11" t="n">
        <v>4</v>
      </c>
      <c r="E740" s="11" t="s">
        <v>108</v>
      </c>
      <c r="F740" s="11" t="s">
        <v>109</v>
      </c>
      <c r="G740" s="11" t="n">
        <v>20</v>
      </c>
      <c r="H740" s="12" t="s">
        <v>916</v>
      </c>
    </row>
    <row r="741" customFormat="false" ht="15" hidden="false" customHeight="false" outlineLevel="0" collapsed="false">
      <c r="A741" s="11" t="s">
        <v>914</v>
      </c>
      <c r="B741" s="11" t="s">
        <v>19</v>
      </c>
      <c r="C741" s="11" t="n">
        <v>2022</v>
      </c>
      <c r="D741" s="11" t="n">
        <v>5</v>
      </c>
      <c r="E741" s="11" t="s">
        <v>111</v>
      </c>
      <c r="F741" s="11" t="s">
        <v>112</v>
      </c>
      <c r="G741" s="11" t="n">
        <v>20</v>
      </c>
      <c r="H741" s="12" t="s">
        <v>917</v>
      </c>
    </row>
    <row r="742" customFormat="false" ht="15" hidden="false" customHeight="false" outlineLevel="0" collapsed="false">
      <c r="A742" s="11" t="s">
        <v>914</v>
      </c>
      <c r="B742" s="11" t="s">
        <v>19</v>
      </c>
      <c r="C742" s="11" t="n">
        <v>2022</v>
      </c>
      <c r="D742" s="11" t="n">
        <v>6</v>
      </c>
      <c r="E742" s="11" t="s">
        <v>114</v>
      </c>
      <c r="F742" s="11" t="s">
        <v>115</v>
      </c>
      <c r="G742" s="11" t="n">
        <v>24</v>
      </c>
      <c r="H742" s="12" t="s">
        <v>918</v>
      </c>
    </row>
    <row r="743" customFormat="false" ht="15" hidden="false" customHeight="false" outlineLevel="0" collapsed="false">
      <c r="A743" s="11" t="s">
        <v>914</v>
      </c>
      <c r="B743" s="11" t="s">
        <v>19</v>
      </c>
      <c r="C743" s="11" t="n">
        <v>2022</v>
      </c>
      <c r="D743" s="11" t="n">
        <v>7</v>
      </c>
      <c r="E743" s="11" t="s">
        <v>117</v>
      </c>
      <c r="F743" s="11" t="s">
        <v>118</v>
      </c>
      <c r="G743" s="11" t="n">
        <v>16</v>
      </c>
      <c r="H743" s="12" t="s">
        <v>919</v>
      </c>
    </row>
    <row r="744" customFormat="false" ht="15" hidden="false" customHeight="false" outlineLevel="0" collapsed="false">
      <c r="A744" s="11" t="s">
        <v>914</v>
      </c>
      <c r="B744" s="11" t="s">
        <v>19</v>
      </c>
      <c r="C744" s="11" t="n">
        <v>2022</v>
      </c>
      <c r="D744" s="11" t="n">
        <v>8</v>
      </c>
      <c r="E744" s="11" t="s">
        <v>120</v>
      </c>
      <c r="F744" s="11" t="s">
        <v>121</v>
      </c>
      <c r="G744" s="11" t="n">
        <v>20</v>
      </c>
      <c r="H744" s="12" t="s">
        <v>920</v>
      </c>
    </row>
    <row r="745" customFormat="false" ht="15" hidden="false" customHeight="false" outlineLevel="0" collapsed="false">
      <c r="A745" s="11" t="s">
        <v>914</v>
      </c>
      <c r="B745" s="11" t="s">
        <v>19</v>
      </c>
      <c r="C745" s="11" t="n">
        <v>2022</v>
      </c>
      <c r="D745" s="11" t="n">
        <v>9</v>
      </c>
      <c r="E745" s="11" t="s">
        <v>123</v>
      </c>
      <c r="F745" s="11" t="s">
        <v>124</v>
      </c>
      <c r="G745" s="11" t="n">
        <v>20</v>
      </c>
      <c r="H745" s="12" t="s">
        <v>921</v>
      </c>
    </row>
    <row r="746" customFormat="false" ht="15" hidden="false" customHeight="false" outlineLevel="0" collapsed="false">
      <c r="A746" s="11" t="s">
        <v>914</v>
      </c>
      <c r="B746" s="11" t="s">
        <v>19</v>
      </c>
      <c r="C746" s="11" t="n">
        <v>2022</v>
      </c>
      <c r="D746" s="11" t="n">
        <v>10</v>
      </c>
      <c r="E746" s="11" t="s">
        <v>126</v>
      </c>
      <c r="F746" s="11" t="s">
        <v>127</v>
      </c>
      <c r="G746" s="11" t="n">
        <v>20</v>
      </c>
      <c r="H746" s="12" t="s">
        <v>922</v>
      </c>
    </row>
    <row r="747" customFormat="false" ht="15" hidden="false" customHeight="false" outlineLevel="0" collapsed="false">
      <c r="A747" s="11" t="s">
        <v>914</v>
      </c>
      <c r="B747" s="11" t="s">
        <v>19</v>
      </c>
      <c r="C747" s="11" t="n">
        <v>2022</v>
      </c>
      <c r="D747" s="11" t="n">
        <v>11</v>
      </c>
      <c r="E747" s="11" t="s">
        <v>129</v>
      </c>
      <c r="F747" s="11" t="s">
        <v>130</v>
      </c>
      <c r="G747" s="11" t="n">
        <v>16</v>
      </c>
      <c r="H747" s="12" t="s">
        <v>923</v>
      </c>
    </row>
    <row r="748" customFormat="false" ht="15" hidden="false" customHeight="false" outlineLevel="0" collapsed="false">
      <c r="A748" s="11" t="s">
        <v>914</v>
      </c>
      <c r="B748" s="11" t="s">
        <v>19</v>
      </c>
      <c r="C748" s="11" t="n">
        <v>2022</v>
      </c>
      <c r="D748" s="11" t="n">
        <v>12</v>
      </c>
      <c r="E748" s="11" t="s">
        <v>132</v>
      </c>
      <c r="F748" s="11" t="s">
        <v>133</v>
      </c>
      <c r="G748" s="11" t="n">
        <v>24</v>
      </c>
      <c r="H748" s="12" t="s">
        <v>924</v>
      </c>
    </row>
    <row r="749" customFormat="false" ht="15" hidden="false" customHeight="false" outlineLevel="0" collapsed="false">
      <c r="A749" s="11" t="s">
        <v>914</v>
      </c>
      <c r="B749" s="11" t="s">
        <v>19</v>
      </c>
      <c r="C749" s="11" t="n">
        <v>2023</v>
      </c>
      <c r="D749" s="11" t="n">
        <v>1</v>
      </c>
      <c r="E749" s="11" t="s">
        <v>99</v>
      </c>
      <c r="F749" s="11" t="s">
        <v>135</v>
      </c>
      <c r="G749" s="11" t="n">
        <v>16</v>
      </c>
      <c r="H749" s="12" t="s">
        <v>925</v>
      </c>
    </row>
    <row r="750" customFormat="false" ht="15" hidden="false" customHeight="false" outlineLevel="0" collapsed="false">
      <c r="A750" s="11" t="s">
        <v>914</v>
      </c>
      <c r="B750" s="11" t="s">
        <v>19</v>
      </c>
      <c r="C750" s="11" t="n">
        <v>2023</v>
      </c>
      <c r="D750" s="11" t="n">
        <v>2</v>
      </c>
      <c r="E750" s="11" t="s">
        <v>102</v>
      </c>
      <c r="F750" s="11" t="s">
        <v>137</v>
      </c>
      <c r="G750" s="11" t="n">
        <v>16</v>
      </c>
      <c r="H750" s="12" t="s">
        <v>926</v>
      </c>
    </row>
    <row r="751" customFormat="false" ht="15" hidden="false" customHeight="false" outlineLevel="0" collapsed="false">
      <c r="A751" s="11" t="s">
        <v>914</v>
      </c>
      <c r="B751" s="11" t="s">
        <v>19</v>
      </c>
      <c r="C751" s="11" t="n">
        <v>2023</v>
      </c>
      <c r="D751" s="11" t="n">
        <v>3</v>
      </c>
      <c r="E751" s="11" t="s">
        <v>105</v>
      </c>
      <c r="F751" s="11" t="s">
        <v>139</v>
      </c>
      <c r="G751" s="11" t="n">
        <v>20</v>
      </c>
      <c r="H751" s="12" t="s">
        <v>927</v>
      </c>
    </row>
    <row r="752" customFormat="false" ht="15" hidden="false" customHeight="false" outlineLevel="0" collapsed="false">
      <c r="A752" s="11" t="s">
        <v>914</v>
      </c>
      <c r="B752" s="11" t="s">
        <v>19</v>
      </c>
      <c r="C752" s="11" t="n">
        <v>2023</v>
      </c>
      <c r="D752" s="11" t="n">
        <v>4</v>
      </c>
      <c r="E752" s="11" t="s">
        <v>108</v>
      </c>
      <c r="F752" s="11" t="s">
        <v>141</v>
      </c>
      <c r="G752" s="11" t="n">
        <v>24</v>
      </c>
      <c r="H752" s="12" t="s">
        <v>928</v>
      </c>
    </row>
    <row r="753" customFormat="false" ht="15" hidden="false" customHeight="false" outlineLevel="0" collapsed="false">
      <c r="A753" s="11" t="s">
        <v>914</v>
      </c>
      <c r="B753" s="11" t="s">
        <v>19</v>
      </c>
      <c r="C753" s="11" t="n">
        <v>2023</v>
      </c>
      <c r="D753" s="11" t="n">
        <v>5</v>
      </c>
      <c r="E753" s="11" t="s">
        <v>111</v>
      </c>
      <c r="F753" s="11" t="s">
        <v>143</v>
      </c>
      <c r="G753" s="11" t="n">
        <v>20</v>
      </c>
      <c r="H753" s="12" t="s">
        <v>929</v>
      </c>
    </row>
    <row r="754" customFormat="false" ht="15" hidden="false" customHeight="false" outlineLevel="0" collapsed="false">
      <c r="A754" s="11" t="s">
        <v>914</v>
      </c>
      <c r="B754" s="11" t="s">
        <v>19</v>
      </c>
      <c r="C754" s="11" t="n">
        <v>2023</v>
      </c>
      <c r="D754" s="11" t="n">
        <v>6</v>
      </c>
      <c r="E754" s="11" t="s">
        <v>114</v>
      </c>
      <c r="F754" s="11" t="s">
        <v>145</v>
      </c>
      <c r="G754" s="11" t="n">
        <v>24</v>
      </c>
      <c r="H754" s="12" t="s">
        <v>930</v>
      </c>
    </row>
    <row r="755" customFormat="false" ht="15" hidden="false" customHeight="false" outlineLevel="0" collapsed="false">
      <c r="A755" s="11" t="s">
        <v>914</v>
      </c>
      <c r="B755" s="11" t="s">
        <v>19</v>
      </c>
      <c r="C755" s="11" t="n">
        <v>2023</v>
      </c>
      <c r="D755" s="11" t="n">
        <v>7</v>
      </c>
      <c r="E755" s="11" t="s">
        <v>117</v>
      </c>
      <c r="F755" s="11" t="s">
        <v>147</v>
      </c>
      <c r="G755" s="11" t="n">
        <v>24</v>
      </c>
      <c r="H755" s="12" t="s">
        <v>931</v>
      </c>
    </row>
    <row r="756" customFormat="false" ht="15" hidden="false" customHeight="false" outlineLevel="0" collapsed="false">
      <c r="A756" s="11" t="s">
        <v>914</v>
      </c>
      <c r="B756" s="11" t="s">
        <v>19</v>
      </c>
      <c r="C756" s="11" t="n">
        <v>2023</v>
      </c>
      <c r="D756" s="11" t="n">
        <v>8</v>
      </c>
      <c r="E756" s="11" t="s">
        <v>120</v>
      </c>
      <c r="F756" s="11" t="s">
        <v>149</v>
      </c>
      <c r="G756" s="11" t="n">
        <v>20</v>
      </c>
      <c r="H756" s="12" t="s">
        <v>932</v>
      </c>
    </row>
    <row r="757" customFormat="false" ht="15" hidden="false" customHeight="false" outlineLevel="0" collapsed="false">
      <c r="A757" s="11" t="s">
        <v>914</v>
      </c>
      <c r="B757" s="11" t="s">
        <v>19</v>
      </c>
      <c r="C757" s="11" t="n">
        <v>2023</v>
      </c>
      <c r="D757" s="11" t="n">
        <v>9</v>
      </c>
      <c r="E757" s="11" t="s">
        <v>123</v>
      </c>
      <c r="F757" s="11" t="s">
        <v>151</v>
      </c>
      <c r="G757" s="11" t="n">
        <v>24</v>
      </c>
      <c r="H757" s="12" t="s">
        <v>933</v>
      </c>
    </row>
    <row r="758" customFormat="false" ht="15" hidden="false" customHeight="false" outlineLevel="0" collapsed="false">
      <c r="A758" s="11" t="s">
        <v>914</v>
      </c>
      <c r="B758" s="11" t="s">
        <v>19</v>
      </c>
      <c r="C758" s="11" t="n">
        <v>2023</v>
      </c>
      <c r="D758" s="11" t="n">
        <v>10</v>
      </c>
      <c r="E758" s="11" t="s">
        <v>126</v>
      </c>
      <c r="F758" s="11" t="s">
        <v>153</v>
      </c>
      <c r="G758" s="11" t="n">
        <v>16</v>
      </c>
      <c r="H758" s="12" t="s">
        <v>934</v>
      </c>
    </row>
    <row r="759" customFormat="false" ht="15" hidden="false" customHeight="false" outlineLevel="0" collapsed="false">
      <c r="A759" s="11" t="s">
        <v>914</v>
      </c>
      <c r="B759" s="11" t="s">
        <v>19</v>
      </c>
      <c r="C759" s="11" t="n">
        <v>2023</v>
      </c>
      <c r="D759" s="11" t="n">
        <v>11</v>
      </c>
      <c r="E759" s="11" t="s">
        <v>129</v>
      </c>
      <c r="F759" s="11" t="s">
        <v>155</v>
      </c>
      <c r="G759" s="11" t="n">
        <v>20</v>
      </c>
      <c r="H759" s="12" t="s">
        <v>935</v>
      </c>
    </row>
    <row r="760" customFormat="false" ht="15" hidden="false" customHeight="false" outlineLevel="0" collapsed="false">
      <c r="A760" s="11" t="s">
        <v>914</v>
      </c>
      <c r="B760" s="11" t="s">
        <v>19</v>
      </c>
      <c r="C760" s="11" t="n">
        <v>2023</v>
      </c>
      <c r="D760" s="11" t="n">
        <v>12</v>
      </c>
      <c r="E760" s="11" t="s">
        <v>132</v>
      </c>
      <c r="F760" s="11" t="s">
        <v>157</v>
      </c>
      <c r="G760" s="11" t="n">
        <v>20</v>
      </c>
      <c r="H760" s="12" t="s">
        <v>936</v>
      </c>
    </row>
    <row r="761" customFormat="false" ht="15" hidden="false" customHeight="false" outlineLevel="0" collapsed="false">
      <c r="A761" s="11" t="s">
        <v>914</v>
      </c>
      <c r="B761" s="11" t="s">
        <v>19</v>
      </c>
      <c r="C761" s="11" t="n">
        <v>2024</v>
      </c>
      <c r="D761" s="11" t="n">
        <v>1</v>
      </c>
      <c r="E761" s="11" t="s">
        <v>99</v>
      </c>
      <c r="F761" s="11" t="s">
        <v>159</v>
      </c>
      <c r="G761" s="11" t="n">
        <v>20</v>
      </c>
      <c r="H761" s="12" t="s">
        <v>937</v>
      </c>
    </row>
    <row r="762" customFormat="false" ht="15" hidden="false" customHeight="false" outlineLevel="0" collapsed="false">
      <c r="A762" s="11" t="s">
        <v>914</v>
      </c>
      <c r="B762" s="11" t="s">
        <v>19</v>
      </c>
      <c r="C762" s="11" t="n">
        <v>2024</v>
      </c>
      <c r="D762" s="11" t="n">
        <v>2</v>
      </c>
      <c r="E762" s="11" t="s">
        <v>102</v>
      </c>
      <c r="F762" s="11" t="s">
        <v>161</v>
      </c>
      <c r="G762" s="11" t="n">
        <v>20</v>
      </c>
      <c r="H762" s="12" t="s">
        <v>938</v>
      </c>
    </row>
    <row r="763" customFormat="false" ht="15" hidden="false" customHeight="false" outlineLevel="0" collapsed="false">
      <c r="A763" s="11" t="s">
        <v>914</v>
      </c>
      <c r="B763" s="11" t="s">
        <v>19</v>
      </c>
      <c r="C763" s="11" t="n">
        <v>2024</v>
      </c>
      <c r="D763" s="11" t="n">
        <v>3</v>
      </c>
      <c r="E763" s="11" t="s">
        <v>105</v>
      </c>
      <c r="F763" s="11" t="s">
        <v>163</v>
      </c>
      <c r="G763" s="11" t="n">
        <v>20</v>
      </c>
      <c r="H763" s="12" t="s">
        <v>939</v>
      </c>
    </row>
    <row r="764" customFormat="false" ht="15" hidden="false" customHeight="false" outlineLevel="0" collapsed="false">
      <c r="A764" s="11" t="s">
        <v>914</v>
      </c>
      <c r="B764" s="11" t="s">
        <v>19</v>
      </c>
      <c r="C764" s="11" t="n">
        <v>2024</v>
      </c>
      <c r="D764" s="11" t="n">
        <v>4</v>
      </c>
      <c r="E764" s="11" t="s">
        <v>108</v>
      </c>
      <c r="F764" s="11" t="s">
        <v>165</v>
      </c>
      <c r="G764" s="11" t="n">
        <v>20</v>
      </c>
      <c r="H764" s="12" t="s">
        <v>940</v>
      </c>
    </row>
    <row r="765" customFormat="false" ht="15" hidden="false" customHeight="false" outlineLevel="0" collapsed="false">
      <c r="A765" s="11" t="s">
        <v>914</v>
      </c>
      <c r="B765" s="11" t="s">
        <v>19</v>
      </c>
      <c r="C765" s="11" t="n">
        <v>2024</v>
      </c>
      <c r="D765" s="11" t="n">
        <v>5</v>
      </c>
      <c r="E765" s="11" t="s">
        <v>111</v>
      </c>
      <c r="F765" s="11" t="s">
        <v>167</v>
      </c>
      <c r="G765" s="11" t="n">
        <v>28</v>
      </c>
      <c r="H765" s="12" t="s">
        <v>941</v>
      </c>
    </row>
    <row r="766" customFormat="false" ht="15" hidden="false" customHeight="false" outlineLevel="0" collapsed="false">
      <c r="A766" s="11" t="s">
        <v>914</v>
      </c>
      <c r="B766" s="11" t="s">
        <v>19</v>
      </c>
      <c r="C766" s="11" t="n">
        <v>2024</v>
      </c>
      <c r="D766" s="11" t="n">
        <v>6</v>
      </c>
      <c r="E766" s="11" t="s">
        <v>114</v>
      </c>
      <c r="F766" s="11" t="s">
        <v>169</v>
      </c>
      <c r="G766" s="11" t="n">
        <v>24</v>
      </c>
      <c r="H766" s="12" t="s">
        <v>942</v>
      </c>
    </row>
    <row r="767" customFormat="false" ht="15" hidden="false" customHeight="false" outlineLevel="0" collapsed="false">
      <c r="A767" s="11" t="s">
        <v>914</v>
      </c>
      <c r="B767" s="11" t="s">
        <v>19</v>
      </c>
      <c r="C767" s="11" t="n">
        <v>2024</v>
      </c>
      <c r="D767" s="11" t="n">
        <v>7</v>
      </c>
      <c r="E767" s="11" t="s">
        <v>117</v>
      </c>
      <c r="F767" s="11" t="s">
        <v>171</v>
      </c>
      <c r="G767" s="11" t="n">
        <v>16</v>
      </c>
      <c r="H767" s="12" t="s">
        <v>943</v>
      </c>
    </row>
    <row r="768" customFormat="false" ht="15" hidden="false" customHeight="false" outlineLevel="0" collapsed="false">
      <c r="A768" s="11" t="s">
        <v>914</v>
      </c>
      <c r="B768" s="11" t="s">
        <v>19</v>
      </c>
      <c r="C768" s="11" t="n">
        <v>2024</v>
      </c>
      <c r="D768" s="11" t="n">
        <v>8</v>
      </c>
      <c r="E768" s="11" t="s">
        <v>120</v>
      </c>
      <c r="F768" s="11" t="s">
        <v>173</v>
      </c>
      <c r="G768" s="11" t="n">
        <v>12</v>
      </c>
      <c r="H768" s="12" t="s">
        <v>944</v>
      </c>
    </row>
    <row r="769" customFormat="false" ht="15" hidden="false" customHeight="false" outlineLevel="0" collapsed="false">
      <c r="A769" s="11" t="s">
        <v>914</v>
      </c>
      <c r="B769" s="11" t="s">
        <v>19</v>
      </c>
      <c r="C769" s="11" t="n">
        <v>2024</v>
      </c>
      <c r="D769" s="11" t="n">
        <v>9</v>
      </c>
      <c r="E769" s="11" t="s">
        <v>123</v>
      </c>
      <c r="F769" s="11" t="s">
        <v>175</v>
      </c>
      <c r="G769" s="11" t="n">
        <v>20</v>
      </c>
      <c r="H769" s="12" t="s">
        <v>945</v>
      </c>
    </row>
    <row r="770" customFormat="false" ht="15" hidden="false" customHeight="false" outlineLevel="0" collapsed="false">
      <c r="A770" s="11" t="s">
        <v>914</v>
      </c>
      <c r="B770" s="11" t="s">
        <v>19</v>
      </c>
      <c r="C770" s="11" t="n">
        <v>2024</v>
      </c>
      <c r="D770" s="11" t="n">
        <v>10</v>
      </c>
      <c r="E770" s="11" t="s">
        <v>126</v>
      </c>
      <c r="F770" s="11" t="s">
        <v>177</v>
      </c>
      <c r="G770" s="11" t="n">
        <v>20</v>
      </c>
      <c r="H770" s="12" t="s">
        <v>946</v>
      </c>
    </row>
    <row r="771" customFormat="false" ht="15" hidden="false" customHeight="false" outlineLevel="0" collapsed="false">
      <c r="A771" s="11" t="s">
        <v>914</v>
      </c>
      <c r="B771" s="11" t="s">
        <v>19</v>
      </c>
      <c r="C771" s="11" t="n">
        <v>2024</v>
      </c>
      <c r="D771" s="11" t="n">
        <v>11</v>
      </c>
      <c r="E771" s="11" t="s">
        <v>129</v>
      </c>
      <c r="F771" s="11" t="s">
        <v>179</v>
      </c>
      <c r="G771" s="11" t="n">
        <v>20</v>
      </c>
      <c r="H771" s="12" t="s">
        <v>947</v>
      </c>
    </row>
    <row r="772" customFormat="false" ht="15" hidden="false" customHeight="false" outlineLevel="0" collapsed="false">
      <c r="A772" s="11" t="s">
        <v>914</v>
      </c>
      <c r="B772" s="11" t="s">
        <v>19</v>
      </c>
      <c r="C772" s="11" t="n">
        <v>2024</v>
      </c>
      <c r="D772" s="11" t="n">
        <v>12</v>
      </c>
      <c r="E772" s="11" t="s">
        <v>132</v>
      </c>
      <c r="F772" s="11" t="s">
        <v>181</v>
      </c>
      <c r="G772" s="11" t="n">
        <v>24</v>
      </c>
      <c r="H772" s="12" t="s">
        <v>948</v>
      </c>
    </row>
    <row r="773" customFormat="false" ht="15" hidden="false" customHeight="false" outlineLevel="0" collapsed="false">
      <c r="A773" s="11" t="s">
        <v>914</v>
      </c>
      <c r="B773" s="11" t="s">
        <v>19</v>
      </c>
      <c r="C773" s="11" t="n">
        <v>2025</v>
      </c>
      <c r="D773" s="11" t="n">
        <v>1</v>
      </c>
      <c r="E773" s="11" t="s">
        <v>99</v>
      </c>
      <c r="F773" s="11" t="s">
        <v>183</v>
      </c>
      <c r="G773" s="11" t="n">
        <v>20</v>
      </c>
      <c r="H773" s="12" t="s">
        <v>949</v>
      </c>
    </row>
    <row r="774" customFormat="false" ht="15" hidden="false" customHeight="false" outlineLevel="0" collapsed="false">
      <c r="A774" s="11" t="s">
        <v>914</v>
      </c>
      <c r="B774" s="11" t="s">
        <v>19</v>
      </c>
      <c r="C774" s="11" t="n">
        <v>2025</v>
      </c>
      <c r="D774" s="11" t="n">
        <v>2</v>
      </c>
      <c r="E774" s="11" t="s">
        <v>102</v>
      </c>
      <c r="F774" s="11" t="s">
        <v>185</v>
      </c>
      <c r="G774" s="11" t="n">
        <v>16</v>
      </c>
      <c r="H774" s="12" t="s">
        <v>950</v>
      </c>
    </row>
    <row r="775" customFormat="false" ht="15" hidden="false" customHeight="false" outlineLevel="0" collapsed="false">
      <c r="A775" s="11" t="s">
        <v>914</v>
      </c>
      <c r="B775" s="11" t="s">
        <v>19</v>
      </c>
      <c r="C775" s="11" t="n">
        <v>2025</v>
      </c>
      <c r="D775" s="11" t="n">
        <v>3</v>
      </c>
      <c r="E775" s="11" t="s">
        <v>105</v>
      </c>
      <c r="F775" s="11" t="s">
        <v>187</v>
      </c>
      <c r="G775" s="11" t="n">
        <v>16</v>
      </c>
      <c r="H775" s="12" t="s">
        <v>951</v>
      </c>
    </row>
    <row r="776" customFormat="false" ht="15" hidden="false" customHeight="false" outlineLevel="0" collapsed="false">
      <c r="A776" s="11" t="s">
        <v>914</v>
      </c>
      <c r="B776" s="11" t="s">
        <v>19</v>
      </c>
      <c r="C776" s="11" t="n">
        <v>2025</v>
      </c>
      <c r="D776" s="11" t="n">
        <v>4</v>
      </c>
      <c r="E776" s="11" t="s">
        <v>108</v>
      </c>
      <c r="F776" s="11" t="s">
        <v>189</v>
      </c>
      <c r="G776" s="11" t="n">
        <v>28</v>
      </c>
      <c r="H776" s="12" t="s">
        <v>952</v>
      </c>
    </row>
    <row r="777" customFormat="false" ht="15" hidden="false" customHeight="false" outlineLevel="0" collapsed="false">
      <c r="A777" s="11" t="s">
        <v>914</v>
      </c>
      <c r="B777" s="11" t="s">
        <v>19</v>
      </c>
      <c r="C777" s="11" t="n">
        <v>2025</v>
      </c>
      <c r="D777" s="11" t="n">
        <v>5</v>
      </c>
      <c r="E777" s="11" t="s">
        <v>111</v>
      </c>
      <c r="F777" s="11" t="s">
        <v>191</v>
      </c>
      <c r="G777" s="11" t="n">
        <v>28</v>
      </c>
      <c r="H777" s="12" t="s">
        <v>953</v>
      </c>
    </row>
    <row r="778" customFormat="false" ht="15" hidden="false" customHeight="false" outlineLevel="0" collapsed="false">
      <c r="A778" s="11" t="s">
        <v>914</v>
      </c>
      <c r="B778" s="11" t="s">
        <v>19</v>
      </c>
      <c r="C778" s="11" t="n">
        <v>2025</v>
      </c>
      <c r="D778" s="11" t="n">
        <v>6</v>
      </c>
      <c r="E778" s="11" t="s">
        <v>114</v>
      </c>
      <c r="F778" s="11" t="s">
        <v>193</v>
      </c>
      <c r="G778" s="11" t="n">
        <v>20</v>
      </c>
      <c r="H778" s="12" t="s">
        <v>954</v>
      </c>
    </row>
    <row r="779" customFormat="false" ht="15" hidden="false" customHeight="false" outlineLevel="0" collapsed="false">
      <c r="A779" s="11" t="s">
        <v>914</v>
      </c>
      <c r="B779" s="11" t="s">
        <v>19</v>
      </c>
      <c r="C779" s="11" t="n">
        <v>2025</v>
      </c>
      <c r="D779" s="11" t="n">
        <v>7</v>
      </c>
      <c r="E779" s="11" t="s">
        <v>117</v>
      </c>
      <c r="F779" s="11" t="s">
        <v>195</v>
      </c>
      <c r="G779" s="11" t="n">
        <v>20</v>
      </c>
      <c r="H779" s="12" t="s">
        <v>955</v>
      </c>
    </row>
    <row r="780" customFormat="false" ht="15" hidden="false" customHeight="false" outlineLevel="0" collapsed="false">
      <c r="A780" s="11" t="s">
        <v>914</v>
      </c>
      <c r="B780" s="11" t="s">
        <v>19</v>
      </c>
      <c r="C780" s="11" t="n">
        <v>2025</v>
      </c>
      <c r="D780" s="11" t="n">
        <v>8</v>
      </c>
      <c r="E780" s="11" t="s">
        <v>120</v>
      </c>
      <c r="F780" s="11" t="s">
        <v>197</v>
      </c>
      <c r="G780" s="11" t="n">
        <v>20</v>
      </c>
      <c r="H780" s="12" t="s">
        <v>956</v>
      </c>
    </row>
    <row r="781" customFormat="false" ht="15" hidden="false" customHeight="false" outlineLevel="0" collapsed="false">
      <c r="A781" s="11" t="s">
        <v>914</v>
      </c>
      <c r="B781" s="11" t="s">
        <v>19</v>
      </c>
      <c r="C781" s="11" t="n">
        <v>2025</v>
      </c>
      <c r="D781" s="11" t="n">
        <v>9</v>
      </c>
      <c r="E781" s="11" t="s">
        <v>123</v>
      </c>
      <c r="F781" s="11" t="s">
        <v>199</v>
      </c>
      <c r="G781" s="11" t="n">
        <v>20</v>
      </c>
      <c r="H781" s="12" t="s">
        <v>957</v>
      </c>
    </row>
    <row r="782" customFormat="false" ht="15" hidden="false" customHeight="false" outlineLevel="0" collapsed="false">
      <c r="A782" s="11" t="s">
        <v>914</v>
      </c>
      <c r="B782" s="11" t="s">
        <v>19</v>
      </c>
      <c r="C782" s="11" t="n">
        <v>2025</v>
      </c>
      <c r="D782" s="11" t="n">
        <v>10</v>
      </c>
      <c r="E782" s="11" t="s">
        <v>126</v>
      </c>
      <c r="F782" s="11" t="s">
        <v>201</v>
      </c>
      <c r="G782" s="11" t="n">
        <v>20</v>
      </c>
      <c r="H782" s="12" t="s">
        <v>958</v>
      </c>
    </row>
    <row r="783" customFormat="false" ht="15" hidden="false" customHeight="false" outlineLevel="0" collapsed="false">
      <c r="A783" s="11" t="s">
        <v>914</v>
      </c>
      <c r="B783" s="11" t="s">
        <v>19</v>
      </c>
      <c r="C783" s="11" t="n">
        <v>2025</v>
      </c>
      <c r="D783" s="11" t="n">
        <v>11</v>
      </c>
      <c r="E783" s="11" t="s">
        <v>129</v>
      </c>
      <c r="F783" s="11" t="s">
        <v>203</v>
      </c>
      <c r="G783" s="11" t="n">
        <v>16</v>
      </c>
      <c r="H783" s="12" t="s">
        <v>959</v>
      </c>
    </row>
    <row r="784" customFormat="false" ht="15" hidden="false" customHeight="false" outlineLevel="0" collapsed="false">
      <c r="A784" s="11" t="s">
        <v>914</v>
      </c>
      <c r="B784" s="11" t="s">
        <v>19</v>
      </c>
      <c r="C784" s="11" t="n">
        <v>2025</v>
      </c>
      <c r="D784" s="11" t="n">
        <v>12</v>
      </c>
      <c r="E784" s="11" t="s">
        <v>132</v>
      </c>
      <c r="F784" s="11" t="s">
        <v>205</v>
      </c>
      <c r="G784" s="11" t="n">
        <v>16</v>
      </c>
      <c r="H784" s="12" t="s">
        <v>960</v>
      </c>
    </row>
    <row r="785" customFormat="false" ht="15" hidden="false" customHeight="false" outlineLevel="0" collapsed="false">
      <c r="A785" s="11" t="s">
        <v>914</v>
      </c>
      <c r="B785" s="11" t="s">
        <v>19</v>
      </c>
      <c r="C785" s="11" t="n">
        <v>2026</v>
      </c>
      <c r="D785" s="11" t="n">
        <v>1</v>
      </c>
      <c r="E785" s="11" t="s">
        <v>99</v>
      </c>
      <c r="F785" s="11" t="s">
        <v>207</v>
      </c>
      <c r="G785" s="11" t="n">
        <v>16</v>
      </c>
      <c r="H785" s="12" t="s">
        <v>961</v>
      </c>
    </row>
    <row r="786" customFormat="false" ht="15" hidden="false" customHeight="false" outlineLevel="0" collapsed="false">
      <c r="A786" s="11" t="s">
        <v>914</v>
      </c>
      <c r="B786" s="11" t="s">
        <v>19</v>
      </c>
      <c r="C786" s="11" t="n">
        <v>2026</v>
      </c>
      <c r="D786" s="11" t="n">
        <v>2</v>
      </c>
      <c r="E786" s="11" t="s">
        <v>102</v>
      </c>
      <c r="F786" s="11" t="s">
        <v>209</v>
      </c>
      <c r="G786" s="11" t="n">
        <v>16</v>
      </c>
      <c r="H786" s="12" t="s">
        <v>962</v>
      </c>
    </row>
    <row r="787" customFormat="false" ht="15" hidden="false" customHeight="false" outlineLevel="0" collapsed="false">
      <c r="A787" s="11" t="s">
        <v>914</v>
      </c>
      <c r="B787" s="11" t="s">
        <v>19</v>
      </c>
      <c r="C787" s="11" t="n">
        <v>2026</v>
      </c>
      <c r="D787" s="11" t="n">
        <v>3</v>
      </c>
      <c r="E787" s="11" t="s">
        <v>105</v>
      </c>
      <c r="F787" s="11" t="s">
        <v>211</v>
      </c>
      <c r="G787" s="11" t="n">
        <v>20</v>
      </c>
      <c r="H787" s="12" t="s">
        <v>963</v>
      </c>
    </row>
    <row r="788" customFormat="false" ht="15" hidden="false" customHeight="false" outlineLevel="0" collapsed="false">
      <c r="A788" s="11" t="s">
        <v>914</v>
      </c>
      <c r="B788" s="11" t="s">
        <v>19</v>
      </c>
      <c r="C788" s="11" t="n">
        <v>2026</v>
      </c>
      <c r="D788" s="11" t="n">
        <v>4</v>
      </c>
      <c r="E788" s="11" t="s">
        <v>108</v>
      </c>
      <c r="F788" s="11" t="s">
        <v>213</v>
      </c>
      <c r="G788" s="11" t="n">
        <v>20</v>
      </c>
      <c r="H788" s="12" t="s">
        <v>964</v>
      </c>
    </row>
    <row r="789" customFormat="false" ht="15" hidden="false" customHeight="false" outlineLevel="0" collapsed="false">
      <c r="A789" s="11" t="s">
        <v>914</v>
      </c>
      <c r="B789" s="11" t="s">
        <v>19</v>
      </c>
      <c r="C789" s="11" t="n">
        <v>2026</v>
      </c>
      <c r="D789" s="11" t="n">
        <v>5</v>
      </c>
      <c r="E789" s="11" t="s">
        <v>111</v>
      </c>
      <c r="F789" s="11" t="s">
        <v>215</v>
      </c>
      <c r="G789" s="11" t="n">
        <v>24</v>
      </c>
      <c r="H789" s="12" t="s">
        <v>965</v>
      </c>
    </row>
    <row r="790" customFormat="false" ht="15" hidden="false" customHeight="false" outlineLevel="0" collapsed="false">
      <c r="A790" s="11" t="s">
        <v>966</v>
      </c>
      <c r="B790" s="11" t="s">
        <v>20</v>
      </c>
      <c r="C790" s="11" t="n">
        <v>2022</v>
      </c>
      <c r="D790" s="11" t="n">
        <v>1</v>
      </c>
      <c r="E790" s="11" t="s">
        <v>99</v>
      </c>
      <c r="F790" s="11" t="s">
        <v>100</v>
      </c>
      <c r="G790" s="11" t="n">
        <v>8</v>
      </c>
      <c r="H790" s="12" t="s">
        <v>967</v>
      </c>
    </row>
    <row r="791" customFormat="false" ht="15" hidden="false" customHeight="false" outlineLevel="0" collapsed="false">
      <c r="A791" s="11" t="s">
        <v>966</v>
      </c>
      <c r="B791" s="11" t="s">
        <v>20</v>
      </c>
      <c r="C791" s="11" t="n">
        <v>2022</v>
      </c>
      <c r="D791" s="11" t="n">
        <v>2</v>
      </c>
      <c r="E791" s="11" t="s">
        <v>102</v>
      </c>
      <c r="F791" s="11" t="s">
        <v>103</v>
      </c>
      <c r="G791" s="11" t="n">
        <v>12</v>
      </c>
      <c r="H791" s="12" t="s">
        <v>968</v>
      </c>
    </row>
    <row r="792" customFormat="false" ht="15" hidden="false" customHeight="false" outlineLevel="0" collapsed="false">
      <c r="A792" s="11" t="s">
        <v>966</v>
      </c>
      <c r="B792" s="11" t="s">
        <v>20</v>
      </c>
      <c r="C792" s="11" t="n">
        <v>2022</v>
      </c>
      <c r="D792" s="11" t="n">
        <v>3</v>
      </c>
      <c r="E792" s="11" t="s">
        <v>105</v>
      </c>
      <c r="F792" s="11" t="s">
        <v>106</v>
      </c>
      <c r="G792" s="11" t="n">
        <v>16</v>
      </c>
      <c r="H792" s="12" t="s">
        <v>969</v>
      </c>
    </row>
    <row r="793" customFormat="false" ht="15" hidden="false" customHeight="false" outlineLevel="0" collapsed="false">
      <c r="A793" s="11" t="s">
        <v>966</v>
      </c>
      <c r="B793" s="11" t="s">
        <v>20</v>
      </c>
      <c r="C793" s="11" t="n">
        <v>2022</v>
      </c>
      <c r="D793" s="11" t="n">
        <v>4</v>
      </c>
      <c r="E793" s="11" t="s">
        <v>108</v>
      </c>
      <c r="F793" s="11" t="s">
        <v>109</v>
      </c>
      <c r="G793" s="11" t="n">
        <v>20</v>
      </c>
      <c r="H793" s="12" t="s">
        <v>970</v>
      </c>
    </row>
    <row r="794" customFormat="false" ht="15" hidden="false" customHeight="false" outlineLevel="0" collapsed="false">
      <c r="A794" s="11" t="s">
        <v>966</v>
      </c>
      <c r="B794" s="11" t="s">
        <v>20</v>
      </c>
      <c r="C794" s="11" t="n">
        <v>2022</v>
      </c>
      <c r="D794" s="11" t="n">
        <v>5</v>
      </c>
      <c r="E794" s="11" t="s">
        <v>111</v>
      </c>
      <c r="F794" s="11" t="s">
        <v>112</v>
      </c>
      <c r="G794" s="11" t="n">
        <v>20</v>
      </c>
      <c r="H794" s="12" t="s">
        <v>971</v>
      </c>
    </row>
    <row r="795" customFormat="false" ht="15" hidden="false" customHeight="false" outlineLevel="0" collapsed="false">
      <c r="A795" s="11" t="s">
        <v>966</v>
      </c>
      <c r="B795" s="11" t="s">
        <v>20</v>
      </c>
      <c r="C795" s="11" t="n">
        <v>2022</v>
      </c>
      <c r="D795" s="11" t="n">
        <v>6</v>
      </c>
      <c r="E795" s="11" t="s">
        <v>114</v>
      </c>
      <c r="F795" s="11" t="s">
        <v>115</v>
      </c>
      <c r="G795" s="11" t="n">
        <v>20</v>
      </c>
      <c r="H795" s="12" t="s">
        <v>972</v>
      </c>
    </row>
    <row r="796" customFormat="false" ht="15" hidden="false" customHeight="false" outlineLevel="0" collapsed="false">
      <c r="A796" s="11" t="s">
        <v>966</v>
      </c>
      <c r="B796" s="11" t="s">
        <v>20</v>
      </c>
      <c r="C796" s="11" t="n">
        <v>2022</v>
      </c>
      <c r="D796" s="11" t="n">
        <v>7</v>
      </c>
      <c r="E796" s="11" t="s">
        <v>117</v>
      </c>
      <c r="F796" s="11" t="s">
        <v>118</v>
      </c>
      <c r="G796" s="11" t="n">
        <v>16</v>
      </c>
      <c r="H796" s="12" t="s">
        <v>973</v>
      </c>
    </row>
    <row r="797" customFormat="false" ht="15" hidden="false" customHeight="false" outlineLevel="0" collapsed="false">
      <c r="A797" s="11" t="s">
        <v>966</v>
      </c>
      <c r="B797" s="11" t="s">
        <v>20</v>
      </c>
      <c r="C797" s="11" t="n">
        <v>2022</v>
      </c>
      <c r="D797" s="11" t="n">
        <v>8</v>
      </c>
      <c r="E797" s="11" t="s">
        <v>120</v>
      </c>
      <c r="F797" s="11" t="s">
        <v>121</v>
      </c>
      <c r="G797" s="11" t="n">
        <v>16</v>
      </c>
      <c r="H797" s="12" t="s">
        <v>974</v>
      </c>
    </row>
    <row r="798" customFormat="false" ht="15" hidden="false" customHeight="false" outlineLevel="0" collapsed="false">
      <c r="A798" s="11" t="s">
        <v>966</v>
      </c>
      <c r="B798" s="11" t="s">
        <v>20</v>
      </c>
      <c r="C798" s="11" t="n">
        <v>2022</v>
      </c>
      <c r="D798" s="11" t="n">
        <v>9</v>
      </c>
      <c r="E798" s="11" t="s">
        <v>123</v>
      </c>
      <c r="F798" s="11" t="s">
        <v>124</v>
      </c>
      <c r="G798" s="11" t="n">
        <v>16</v>
      </c>
      <c r="H798" s="12" t="s">
        <v>975</v>
      </c>
    </row>
    <row r="799" customFormat="false" ht="15" hidden="false" customHeight="false" outlineLevel="0" collapsed="false">
      <c r="A799" s="11" t="s">
        <v>966</v>
      </c>
      <c r="B799" s="11" t="s">
        <v>20</v>
      </c>
      <c r="C799" s="11" t="n">
        <v>2022</v>
      </c>
      <c r="D799" s="11" t="n">
        <v>10</v>
      </c>
      <c r="E799" s="11" t="s">
        <v>126</v>
      </c>
      <c r="F799" s="11" t="s">
        <v>127</v>
      </c>
      <c r="G799" s="11" t="n">
        <v>20</v>
      </c>
      <c r="H799" s="12" t="s">
        <v>976</v>
      </c>
    </row>
    <row r="800" customFormat="false" ht="15" hidden="false" customHeight="false" outlineLevel="0" collapsed="false">
      <c r="A800" s="11" t="s">
        <v>966</v>
      </c>
      <c r="B800" s="11" t="s">
        <v>20</v>
      </c>
      <c r="C800" s="11" t="n">
        <v>2022</v>
      </c>
      <c r="D800" s="11" t="n">
        <v>11</v>
      </c>
      <c r="E800" s="11" t="s">
        <v>129</v>
      </c>
      <c r="F800" s="11" t="s">
        <v>130</v>
      </c>
      <c r="G800" s="11" t="n">
        <v>16</v>
      </c>
      <c r="H800" s="12" t="s">
        <v>977</v>
      </c>
    </row>
    <row r="801" customFormat="false" ht="15" hidden="false" customHeight="false" outlineLevel="0" collapsed="false">
      <c r="A801" s="11" t="s">
        <v>966</v>
      </c>
      <c r="B801" s="11" t="s">
        <v>20</v>
      </c>
      <c r="C801" s="11" t="n">
        <v>2022</v>
      </c>
      <c r="D801" s="11" t="n">
        <v>12</v>
      </c>
      <c r="E801" s="11" t="s">
        <v>132</v>
      </c>
      <c r="F801" s="11" t="s">
        <v>133</v>
      </c>
      <c r="G801" s="11" t="n">
        <v>20</v>
      </c>
      <c r="H801" s="12" t="s">
        <v>978</v>
      </c>
    </row>
    <row r="802" customFormat="false" ht="15" hidden="false" customHeight="false" outlineLevel="0" collapsed="false">
      <c r="A802" s="11" t="s">
        <v>966</v>
      </c>
      <c r="B802" s="11" t="s">
        <v>20</v>
      </c>
      <c r="C802" s="11" t="n">
        <v>2023</v>
      </c>
      <c r="D802" s="11" t="n">
        <v>1</v>
      </c>
      <c r="E802" s="11" t="s">
        <v>99</v>
      </c>
      <c r="F802" s="11" t="s">
        <v>135</v>
      </c>
      <c r="G802" s="11" t="n">
        <v>16</v>
      </c>
      <c r="H802" s="12" t="s">
        <v>979</v>
      </c>
    </row>
    <row r="803" customFormat="false" ht="15" hidden="false" customHeight="false" outlineLevel="0" collapsed="false">
      <c r="A803" s="11" t="s">
        <v>966</v>
      </c>
      <c r="B803" s="11" t="s">
        <v>20</v>
      </c>
      <c r="C803" s="11" t="n">
        <v>2023</v>
      </c>
      <c r="D803" s="11" t="n">
        <v>2</v>
      </c>
      <c r="E803" s="11" t="s">
        <v>102</v>
      </c>
      <c r="F803" s="11" t="s">
        <v>137</v>
      </c>
      <c r="G803" s="11" t="n">
        <v>12</v>
      </c>
      <c r="H803" s="12" t="s">
        <v>980</v>
      </c>
    </row>
    <row r="804" customFormat="false" ht="15" hidden="false" customHeight="false" outlineLevel="0" collapsed="false">
      <c r="A804" s="11" t="s">
        <v>966</v>
      </c>
      <c r="B804" s="11" t="s">
        <v>20</v>
      </c>
      <c r="C804" s="11" t="n">
        <v>2023</v>
      </c>
      <c r="D804" s="11" t="n">
        <v>3</v>
      </c>
      <c r="E804" s="11" t="s">
        <v>105</v>
      </c>
      <c r="F804" s="11" t="s">
        <v>139</v>
      </c>
      <c r="G804" s="11" t="n">
        <v>16</v>
      </c>
      <c r="H804" s="12" t="s">
        <v>981</v>
      </c>
    </row>
    <row r="805" customFormat="false" ht="15" hidden="false" customHeight="false" outlineLevel="0" collapsed="false">
      <c r="A805" s="11" t="s">
        <v>966</v>
      </c>
      <c r="B805" s="11" t="s">
        <v>20</v>
      </c>
      <c r="C805" s="11" t="n">
        <v>2023</v>
      </c>
      <c r="D805" s="11" t="n">
        <v>4</v>
      </c>
      <c r="E805" s="11" t="s">
        <v>108</v>
      </c>
      <c r="F805" s="11" t="s">
        <v>141</v>
      </c>
      <c r="G805" s="11" t="n">
        <v>20</v>
      </c>
      <c r="H805" s="12" t="s">
        <v>982</v>
      </c>
    </row>
    <row r="806" customFormat="false" ht="15" hidden="false" customHeight="false" outlineLevel="0" collapsed="false">
      <c r="A806" s="11" t="s">
        <v>966</v>
      </c>
      <c r="B806" s="11" t="s">
        <v>20</v>
      </c>
      <c r="C806" s="11" t="n">
        <v>2023</v>
      </c>
      <c r="D806" s="11" t="n">
        <v>5</v>
      </c>
      <c r="E806" s="11" t="s">
        <v>111</v>
      </c>
      <c r="F806" s="11" t="s">
        <v>143</v>
      </c>
      <c r="G806" s="11" t="n">
        <v>20</v>
      </c>
      <c r="H806" s="12" t="s">
        <v>983</v>
      </c>
    </row>
    <row r="807" customFormat="false" ht="15" hidden="false" customHeight="false" outlineLevel="0" collapsed="false">
      <c r="A807" s="11" t="s">
        <v>966</v>
      </c>
      <c r="B807" s="11" t="s">
        <v>20</v>
      </c>
      <c r="C807" s="11" t="n">
        <v>2023</v>
      </c>
      <c r="D807" s="11" t="n">
        <v>6</v>
      </c>
      <c r="E807" s="11" t="s">
        <v>114</v>
      </c>
      <c r="F807" s="11" t="s">
        <v>145</v>
      </c>
      <c r="G807" s="11" t="n">
        <v>24</v>
      </c>
      <c r="H807" s="12" t="s">
        <v>984</v>
      </c>
    </row>
    <row r="808" customFormat="false" ht="15" hidden="false" customHeight="false" outlineLevel="0" collapsed="false">
      <c r="A808" s="11" t="s">
        <v>966</v>
      </c>
      <c r="B808" s="11" t="s">
        <v>20</v>
      </c>
      <c r="C808" s="11" t="n">
        <v>2023</v>
      </c>
      <c r="D808" s="11" t="n">
        <v>7</v>
      </c>
      <c r="E808" s="11" t="s">
        <v>117</v>
      </c>
      <c r="F808" s="11" t="s">
        <v>147</v>
      </c>
      <c r="G808" s="11" t="n">
        <v>24</v>
      </c>
      <c r="H808" s="12" t="s">
        <v>985</v>
      </c>
    </row>
    <row r="809" customFormat="false" ht="15" hidden="false" customHeight="false" outlineLevel="0" collapsed="false">
      <c r="A809" s="11" t="s">
        <v>966</v>
      </c>
      <c r="B809" s="11" t="s">
        <v>20</v>
      </c>
      <c r="C809" s="11" t="n">
        <v>2023</v>
      </c>
      <c r="D809" s="11" t="n">
        <v>8</v>
      </c>
      <c r="E809" s="11" t="s">
        <v>120</v>
      </c>
      <c r="F809" s="11" t="s">
        <v>149</v>
      </c>
      <c r="G809" s="11" t="n">
        <v>16</v>
      </c>
      <c r="H809" s="12" t="s">
        <v>986</v>
      </c>
    </row>
    <row r="810" customFormat="false" ht="15" hidden="false" customHeight="false" outlineLevel="0" collapsed="false">
      <c r="A810" s="11" t="s">
        <v>966</v>
      </c>
      <c r="B810" s="11" t="s">
        <v>20</v>
      </c>
      <c r="C810" s="11" t="n">
        <v>2023</v>
      </c>
      <c r="D810" s="11" t="n">
        <v>9</v>
      </c>
      <c r="E810" s="11" t="s">
        <v>123</v>
      </c>
      <c r="F810" s="11" t="s">
        <v>151</v>
      </c>
      <c r="G810" s="11" t="n">
        <v>20</v>
      </c>
      <c r="H810" s="12" t="s">
        <v>987</v>
      </c>
    </row>
    <row r="811" customFormat="false" ht="15" hidden="false" customHeight="false" outlineLevel="0" collapsed="false">
      <c r="A811" s="11" t="s">
        <v>966</v>
      </c>
      <c r="B811" s="11" t="s">
        <v>20</v>
      </c>
      <c r="C811" s="11" t="n">
        <v>2023</v>
      </c>
      <c r="D811" s="11" t="n">
        <v>10</v>
      </c>
      <c r="E811" s="11" t="s">
        <v>126</v>
      </c>
      <c r="F811" s="11" t="s">
        <v>153</v>
      </c>
      <c r="G811" s="11" t="n">
        <v>20</v>
      </c>
      <c r="H811" s="12" t="s">
        <v>988</v>
      </c>
    </row>
    <row r="812" customFormat="false" ht="15" hidden="false" customHeight="false" outlineLevel="0" collapsed="false">
      <c r="A812" s="11" t="s">
        <v>966</v>
      </c>
      <c r="B812" s="11" t="s">
        <v>20</v>
      </c>
      <c r="C812" s="11" t="n">
        <v>2023</v>
      </c>
      <c r="D812" s="11" t="n">
        <v>11</v>
      </c>
      <c r="E812" s="11" t="s">
        <v>129</v>
      </c>
      <c r="F812" s="11" t="s">
        <v>155</v>
      </c>
      <c r="G812" s="11" t="n">
        <v>16</v>
      </c>
      <c r="H812" s="12" t="s">
        <v>989</v>
      </c>
    </row>
    <row r="813" customFormat="false" ht="15" hidden="false" customHeight="false" outlineLevel="0" collapsed="false">
      <c r="A813" s="11" t="s">
        <v>966</v>
      </c>
      <c r="B813" s="11" t="s">
        <v>20</v>
      </c>
      <c r="C813" s="11" t="n">
        <v>2023</v>
      </c>
      <c r="D813" s="11" t="n">
        <v>12</v>
      </c>
      <c r="E813" s="11" t="s">
        <v>132</v>
      </c>
      <c r="F813" s="11" t="s">
        <v>157</v>
      </c>
      <c r="G813" s="11" t="n">
        <v>20</v>
      </c>
      <c r="H813" s="12" t="s">
        <v>990</v>
      </c>
    </row>
    <row r="814" customFormat="false" ht="15" hidden="false" customHeight="false" outlineLevel="0" collapsed="false">
      <c r="A814" s="11" t="s">
        <v>966</v>
      </c>
      <c r="B814" s="11" t="s">
        <v>20</v>
      </c>
      <c r="C814" s="11" t="n">
        <v>2024</v>
      </c>
      <c r="D814" s="11" t="n">
        <v>1</v>
      </c>
      <c r="E814" s="11" t="s">
        <v>99</v>
      </c>
      <c r="F814" s="11" t="s">
        <v>159</v>
      </c>
      <c r="G814" s="11" t="n">
        <v>12</v>
      </c>
      <c r="H814" s="12" t="s">
        <v>991</v>
      </c>
    </row>
    <row r="815" customFormat="false" ht="15" hidden="false" customHeight="false" outlineLevel="0" collapsed="false">
      <c r="A815" s="11" t="s">
        <v>966</v>
      </c>
      <c r="B815" s="11" t="s">
        <v>20</v>
      </c>
      <c r="C815" s="11" t="n">
        <v>2024</v>
      </c>
      <c r="D815" s="11" t="n">
        <v>2</v>
      </c>
      <c r="E815" s="11" t="s">
        <v>102</v>
      </c>
      <c r="F815" s="11" t="s">
        <v>161</v>
      </c>
      <c r="G815" s="11" t="n">
        <v>12</v>
      </c>
      <c r="H815" s="12" t="s">
        <v>992</v>
      </c>
    </row>
    <row r="816" customFormat="false" ht="15" hidden="false" customHeight="false" outlineLevel="0" collapsed="false">
      <c r="A816" s="11" t="s">
        <v>966</v>
      </c>
      <c r="B816" s="11" t="s">
        <v>20</v>
      </c>
      <c r="C816" s="11" t="n">
        <v>2024</v>
      </c>
      <c r="D816" s="11" t="n">
        <v>3</v>
      </c>
      <c r="E816" s="11" t="s">
        <v>105</v>
      </c>
      <c r="F816" s="11" t="s">
        <v>163</v>
      </c>
      <c r="G816" s="11" t="n">
        <v>12</v>
      </c>
      <c r="H816" s="12" t="s">
        <v>993</v>
      </c>
    </row>
    <row r="817" customFormat="false" ht="15" hidden="false" customHeight="false" outlineLevel="0" collapsed="false">
      <c r="A817" s="11" t="s">
        <v>966</v>
      </c>
      <c r="B817" s="11" t="s">
        <v>20</v>
      </c>
      <c r="C817" s="11" t="n">
        <v>2024</v>
      </c>
      <c r="D817" s="11" t="n">
        <v>4</v>
      </c>
      <c r="E817" s="11" t="s">
        <v>108</v>
      </c>
      <c r="F817" s="11" t="s">
        <v>165</v>
      </c>
      <c r="G817" s="11" t="n">
        <v>20</v>
      </c>
      <c r="H817" s="12" t="s">
        <v>994</v>
      </c>
    </row>
    <row r="818" customFormat="false" ht="15" hidden="false" customHeight="false" outlineLevel="0" collapsed="false">
      <c r="A818" s="11" t="s">
        <v>966</v>
      </c>
      <c r="B818" s="11" t="s">
        <v>20</v>
      </c>
      <c r="C818" s="11" t="n">
        <v>2024</v>
      </c>
      <c r="D818" s="11" t="n">
        <v>5</v>
      </c>
      <c r="E818" s="11" t="s">
        <v>111</v>
      </c>
      <c r="F818" s="11" t="s">
        <v>167</v>
      </c>
      <c r="G818" s="11" t="n">
        <v>20</v>
      </c>
      <c r="H818" s="12" t="s">
        <v>995</v>
      </c>
    </row>
    <row r="819" customFormat="false" ht="15" hidden="false" customHeight="false" outlineLevel="0" collapsed="false">
      <c r="A819" s="11" t="s">
        <v>966</v>
      </c>
      <c r="B819" s="11" t="s">
        <v>20</v>
      </c>
      <c r="C819" s="11" t="n">
        <v>2024</v>
      </c>
      <c r="D819" s="11" t="n">
        <v>6</v>
      </c>
      <c r="E819" s="11" t="s">
        <v>114</v>
      </c>
      <c r="F819" s="11" t="s">
        <v>169</v>
      </c>
      <c r="G819" s="11" t="n">
        <v>20</v>
      </c>
      <c r="H819" s="12" t="s">
        <v>996</v>
      </c>
    </row>
    <row r="820" customFormat="false" ht="15" hidden="false" customHeight="false" outlineLevel="0" collapsed="false">
      <c r="A820" s="11" t="s">
        <v>966</v>
      </c>
      <c r="B820" s="11" t="s">
        <v>20</v>
      </c>
      <c r="C820" s="11" t="n">
        <v>2024</v>
      </c>
      <c r="D820" s="11" t="n">
        <v>7</v>
      </c>
      <c r="E820" s="11" t="s">
        <v>117</v>
      </c>
      <c r="F820" s="11" t="s">
        <v>171</v>
      </c>
      <c r="G820" s="11" t="n">
        <v>12</v>
      </c>
      <c r="H820" s="12" t="s">
        <v>997</v>
      </c>
    </row>
    <row r="821" customFormat="false" ht="15" hidden="false" customHeight="false" outlineLevel="0" collapsed="false">
      <c r="A821" s="11" t="s">
        <v>966</v>
      </c>
      <c r="B821" s="11" t="s">
        <v>20</v>
      </c>
      <c r="C821" s="11" t="n">
        <v>2024</v>
      </c>
      <c r="D821" s="11" t="n">
        <v>8</v>
      </c>
      <c r="E821" s="11" t="s">
        <v>120</v>
      </c>
      <c r="F821" s="11" t="s">
        <v>173</v>
      </c>
      <c r="G821" s="11" t="n">
        <v>12</v>
      </c>
      <c r="H821" s="12" t="s">
        <v>998</v>
      </c>
    </row>
    <row r="822" customFormat="false" ht="15" hidden="false" customHeight="false" outlineLevel="0" collapsed="false">
      <c r="A822" s="11" t="s">
        <v>966</v>
      </c>
      <c r="B822" s="11" t="s">
        <v>20</v>
      </c>
      <c r="C822" s="11" t="n">
        <v>2024</v>
      </c>
      <c r="D822" s="11" t="n">
        <v>9</v>
      </c>
      <c r="E822" s="11" t="s">
        <v>123</v>
      </c>
      <c r="F822" s="11" t="s">
        <v>175</v>
      </c>
      <c r="G822" s="11" t="n">
        <v>16</v>
      </c>
      <c r="H822" s="12" t="s">
        <v>999</v>
      </c>
    </row>
    <row r="823" customFormat="false" ht="15" hidden="false" customHeight="false" outlineLevel="0" collapsed="false">
      <c r="A823" s="11" t="s">
        <v>966</v>
      </c>
      <c r="B823" s="11" t="s">
        <v>20</v>
      </c>
      <c r="C823" s="11" t="n">
        <v>2024</v>
      </c>
      <c r="D823" s="11" t="n">
        <v>10</v>
      </c>
      <c r="E823" s="11" t="s">
        <v>126</v>
      </c>
      <c r="F823" s="11" t="s">
        <v>177</v>
      </c>
      <c r="G823" s="11" t="n">
        <v>20</v>
      </c>
      <c r="H823" s="12" t="s">
        <v>1000</v>
      </c>
    </row>
    <row r="824" customFormat="false" ht="15" hidden="false" customHeight="false" outlineLevel="0" collapsed="false">
      <c r="A824" s="11" t="s">
        <v>966</v>
      </c>
      <c r="B824" s="11" t="s">
        <v>20</v>
      </c>
      <c r="C824" s="11" t="n">
        <v>2024</v>
      </c>
      <c r="D824" s="11" t="n">
        <v>11</v>
      </c>
      <c r="E824" s="11" t="s">
        <v>129</v>
      </c>
      <c r="F824" s="11" t="s">
        <v>179</v>
      </c>
      <c r="G824" s="11" t="n">
        <v>16</v>
      </c>
      <c r="H824" s="12" t="s">
        <v>1001</v>
      </c>
    </row>
    <row r="825" customFormat="false" ht="15" hidden="false" customHeight="false" outlineLevel="0" collapsed="false">
      <c r="A825" s="11" t="s">
        <v>966</v>
      </c>
      <c r="B825" s="11" t="s">
        <v>20</v>
      </c>
      <c r="C825" s="11" t="n">
        <v>2024</v>
      </c>
      <c r="D825" s="11" t="n">
        <v>12</v>
      </c>
      <c r="E825" s="11" t="s">
        <v>132</v>
      </c>
      <c r="F825" s="11" t="s">
        <v>181</v>
      </c>
      <c r="G825" s="11" t="n">
        <v>16</v>
      </c>
      <c r="H825" s="12" t="s">
        <v>1002</v>
      </c>
    </row>
    <row r="826" customFormat="false" ht="15" hidden="false" customHeight="false" outlineLevel="0" collapsed="false">
      <c r="A826" s="11" t="s">
        <v>966</v>
      </c>
      <c r="B826" s="11" t="s">
        <v>20</v>
      </c>
      <c r="C826" s="11" t="n">
        <v>2025</v>
      </c>
      <c r="D826" s="11" t="n">
        <v>1</v>
      </c>
      <c r="E826" s="11" t="s">
        <v>99</v>
      </c>
      <c r="F826" s="11" t="s">
        <v>183</v>
      </c>
      <c r="G826" s="11" t="n">
        <v>12</v>
      </c>
      <c r="H826" s="12" t="s">
        <v>1003</v>
      </c>
    </row>
    <row r="827" customFormat="false" ht="15" hidden="false" customHeight="false" outlineLevel="0" collapsed="false">
      <c r="A827" s="11" t="s">
        <v>966</v>
      </c>
      <c r="B827" s="11" t="s">
        <v>20</v>
      </c>
      <c r="C827" s="11" t="n">
        <v>2025</v>
      </c>
      <c r="D827" s="11" t="n">
        <v>2</v>
      </c>
      <c r="E827" s="11" t="s">
        <v>102</v>
      </c>
      <c r="F827" s="11" t="s">
        <v>185</v>
      </c>
      <c r="G827" s="11" t="n">
        <v>16</v>
      </c>
      <c r="H827" s="12" t="s">
        <v>1004</v>
      </c>
    </row>
    <row r="828" customFormat="false" ht="15" hidden="false" customHeight="false" outlineLevel="0" collapsed="false">
      <c r="A828" s="11" t="s">
        <v>966</v>
      </c>
      <c r="B828" s="11" t="s">
        <v>20</v>
      </c>
      <c r="C828" s="11" t="n">
        <v>2025</v>
      </c>
      <c r="D828" s="11" t="n">
        <v>3</v>
      </c>
      <c r="E828" s="11" t="s">
        <v>105</v>
      </c>
      <c r="F828" s="11" t="s">
        <v>187</v>
      </c>
      <c r="G828" s="11" t="n">
        <v>16</v>
      </c>
      <c r="H828" s="12" t="s">
        <v>1005</v>
      </c>
    </row>
    <row r="829" customFormat="false" ht="15" hidden="false" customHeight="false" outlineLevel="0" collapsed="false">
      <c r="A829" s="11" t="s">
        <v>966</v>
      </c>
      <c r="B829" s="11" t="s">
        <v>20</v>
      </c>
      <c r="C829" s="11" t="n">
        <v>2025</v>
      </c>
      <c r="D829" s="11" t="n">
        <v>4</v>
      </c>
      <c r="E829" s="11" t="s">
        <v>108</v>
      </c>
      <c r="F829" s="11" t="s">
        <v>189</v>
      </c>
      <c r="G829" s="11" t="n">
        <v>20</v>
      </c>
      <c r="H829" s="12" t="s">
        <v>1006</v>
      </c>
    </row>
    <row r="830" customFormat="false" ht="15" hidden="false" customHeight="false" outlineLevel="0" collapsed="false">
      <c r="A830" s="11" t="s">
        <v>966</v>
      </c>
      <c r="B830" s="11" t="s">
        <v>20</v>
      </c>
      <c r="C830" s="11" t="n">
        <v>2025</v>
      </c>
      <c r="D830" s="11" t="n">
        <v>5</v>
      </c>
      <c r="E830" s="11" t="s">
        <v>111</v>
      </c>
      <c r="F830" s="11" t="s">
        <v>191</v>
      </c>
      <c r="G830" s="11" t="n">
        <v>20</v>
      </c>
      <c r="H830" s="12" t="s">
        <v>1007</v>
      </c>
    </row>
    <row r="831" customFormat="false" ht="15" hidden="false" customHeight="false" outlineLevel="0" collapsed="false">
      <c r="A831" s="11" t="s">
        <v>966</v>
      </c>
      <c r="B831" s="11" t="s">
        <v>20</v>
      </c>
      <c r="C831" s="11" t="n">
        <v>2025</v>
      </c>
      <c r="D831" s="11" t="n">
        <v>6</v>
      </c>
      <c r="E831" s="11" t="s">
        <v>114</v>
      </c>
      <c r="F831" s="11" t="s">
        <v>193</v>
      </c>
      <c r="G831" s="11" t="n">
        <v>16</v>
      </c>
      <c r="H831" s="12" t="s">
        <v>1008</v>
      </c>
    </row>
    <row r="832" customFormat="false" ht="15" hidden="false" customHeight="false" outlineLevel="0" collapsed="false">
      <c r="A832" s="11" t="s">
        <v>966</v>
      </c>
      <c r="B832" s="11" t="s">
        <v>20</v>
      </c>
      <c r="C832" s="11" t="n">
        <v>2025</v>
      </c>
      <c r="D832" s="11" t="n">
        <v>7</v>
      </c>
      <c r="E832" s="11" t="s">
        <v>117</v>
      </c>
      <c r="F832" s="11" t="s">
        <v>195</v>
      </c>
      <c r="G832" s="11" t="n">
        <v>16</v>
      </c>
      <c r="H832" s="12" t="s">
        <v>1009</v>
      </c>
    </row>
    <row r="833" customFormat="false" ht="15" hidden="false" customHeight="false" outlineLevel="0" collapsed="false">
      <c r="A833" s="11" t="s">
        <v>966</v>
      </c>
      <c r="B833" s="11" t="s">
        <v>20</v>
      </c>
      <c r="C833" s="11" t="n">
        <v>2025</v>
      </c>
      <c r="D833" s="11" t="n">
        <v>8</v>
      </c>
      <c r="E833" s="11" t="s">
        <v>120</v>
      </c>
      <c r="F833" s="11" t="s">
        <v>197</v>
      </c>
      <c r="G833" s="11" t="n">
        <v>20</v>
      </c>
      <c r="H833" s="12" t="s">
        <v>1010</v>
      </c>
    </row>
    <row r="834" customFormat="false" ht="15" hidden="false" customHeight="false" outlineLevel="0" collapsed="false">
      <c r="A834" s="11" t="s">
        <v>966</v>
      </c>
      <c r="B834" s="11" t="s">
        <v>20</v>
      </c>
      <c r="C834" s="11" t="n">
        <v>2025</v>
      </c>
      <c r="D834" s="11" t="n">
        <v>9</v>
      </c>
      <c r="E834" s="11" t="s">
        <v>123</v>
      </c>
      <c r="F834" s="11" t="s">
        <v>199</v>
      </c>
      <c r="G834" s="11" t="n">
        <v>16</v>
      </c>
      <c r="H834" s="12" t="s">
        <v>1011</v>
      </c>
    </row>
    <row r="835" customFormat="false" ht="15" hidden="false" customHeight="false" outlineLevel="0" collapsed="false">
      <c r="A835" s="11" t="s">
        <v>966</v>
      </c>
      <c r="B835" s="11" t="s">
        <v>20</v>
      </c>
      <c r="C835" s="11" t="n">
        <v>2025</v>
      </c>
      <c r="D835" s="11" t="n">
        <v>10</v>
      </c>
      <c r="E835" s="11" t="s">
        <v>126</v>
      </c>
      <c r="F835" s="11" t="s">
        <v>201</v>
      </c>
      <c r="G835" s="11" t="n">
        <v>20</v>
      </c>
      <c r="H835" s="12" t="s">
        <v>1012</v>
      </c>
    </row>
    <row r="836" customFormat="false" ht="15" hidden="false" customHeight="false" outlineLevel="0" collapsed="false">
      <c r="A836" s="11" t="s">
        <v>966</v>
      </c>
      <c r="B836" s="11" t="s">
        <v>20</v>
      </c>
      <c r="C836" s="11" t="n">
        <v>2025</v>
      </c>
      <c r="D836" s="11" t="n">
        <v>11</v>
      </c>
      <c r="E836" s="11" t="s">
        <v>129</v>
      </c>
      <c r="F836" s="11" t="s">
        <v>203</v>
      </c>
      <c r="G836" s="11" t="n">
        <v>12</v>
      </c>
      <c r="H836" s="12" t="s">
        <v>1013</v>
      </c>
    </row>
    <row r="837" customFormat="false" ht="15" hidden="false" customHeight="false" outlineLevel="0" collapsed="false">
      <c r="A837" s="11" t="s">
        <v>966</v>
      </c>
      <c r="B837" s="11" t="s">
        <v>20</v>
      </c>
      <c r="C837" s="11" t="n">
        <v>2025</v>
      </c>
      <c r="D837" s="11" t="n">
        <v>12</v>
      </c>
      <c r="E837" s="11" t="s">
        <v>132</v>
      </c>
      <c r="F837" s="11" t="s">
        <v>205</v>
      </c>
      <c r="G837" s="11" t="n">
        <v>12</v>
      </c>
      <c r="H837" s="12" t="s">
        <v>1014</v>
      </c>
    </row>
    <row r="838" customFormat="false" ht="15" hidden="false" customHeight="false" outlineLevel="0" collapsed="false">
      <c r="A838" s="11" t="s">
        <v>966</v>
      </c>
      <c r="B838" s="11" t="s">
        <v>20</v>
      </c>
      <c r="C838" s="11" t="n">
        <v>2026</v>
      </c>
      <c r="D838" s="11" t="n">
        <v>1</v>
      </c>
      <c r="E838" s="11" t="s">
        <v>99</v>
      </c>
      <c r="F838" s="11" t="s">
        <v>207</v>
      </c>
      <c r="G838" s="11" t="n">
        <v>16</v>
      </c>
      <c r="H838" s="12" t="s">
        <v>1015</v>
      </c>
    </row>
    <row r="839" customFormat="false" ht="15" hidden="false" customHeight="false" outlineLevel="0" collapsed="false">
      <c r="A839" s="11" t="s">
        <v>966</v>
      </c>
      <c r="B839" s="11" t="s">
        <v>20</v>
      </c>
      <c r="C839" s="11" t="n">
        <v>2026</v>
      </c>
      <c r="D839" s="11" t="n">
        <v>2</v>
      </c>
      <c r="E839" s="11" t="s">
        <v>102</v>
      </c>
      <c r="F839" s="11" t="s">
        <v>209</v>
      </c>
      <c r="G839" s="11" t="n">
        <v>12</v>
      </c>
      <c r="H839" s="12" t="s">
        <v>1016</v>
      </c>
    </row>
    <row r="840" customFormat="false" ht="15" hidden="false" customHeight="false" outlineLevel="0" collapsed="false">
      <c r="A840" s="11" t="s">
        <v>966</v>
      </c>
      <c r="B840" s="11" t="s">
        <v>20</v>
      </c>
      <c r="C840" s="11" t="n">
        <v>2026</v>
      </c>
      <c r="D840" s="11" t="n">
        <v>3</v>
      </c>
      <c r="E840" s="11" t="s">
        <v>105</v>
      </c>
      <c r="F840" s="11" t="s">
        <v>211</v>
      </c>
      <c r="G840" s="11" t="n">
        <v>12</v>
      </c>
      <c r="H840" s="12" t="s">
        <v>1017</v>
      </c>
    </row>
    <row r="841" customFormat="false" ht="15" hidden="false" customHeight="false" outlineLevel="0" collapsed="false">
      <c r="A841" s="11" t="s">
        <v>966</v>
      </c>
      <c r="B841" s="11" t="s">
        <v>20</v>
      </c>
      <c r="C841" s="11" t="n">
        <v>2026</v>
      </c>
      <c r="D841" s="11" t="n">
        <v>4</v>
      </c>
      <c r="E841" s="11" t="s">
        <v>108</v>
      </c>
      <c r="F841" s="11" t="s">
        <v>213</v>
      </c>
      <c r="G841" s="11" t="n">
        <v>20</v>
      </c>
      <c r="H841" s="12" t="s">
        <v>1018</v>
      </c>
    </row>
    <row r="842" customFormat="false" ht="15" hidden="false" customHeight="false" outlineLevel="0" collapsed="false">
      <c r="A842" s="11" t="s">
        <v>966</v>
      </c>
      <c r="B842" s="11" t="s">
        <v>20</v>
      </c>
      <c r="C842" s="11" t="n">
        <v>2026</v>
      </c>
      <c r="D842" s="11" t="n">
        <v>5</v>
      </c>
      <c r="E842" s="11" t="s">
        <v>111</v>
      </c>
      <c r="F842" s="11" t="s">
        <v>215</v>
      </c>
      <c r="G842" s="11" t="n">
        <v>16</v>
      </c>
      <c r="H842" s="12" t="s">
        <v>1019</v>
      </c>
    </row>
    <row r="843" customFormat="false" ht="15" hidden="false" customHeight="false" outlineLevel="0" collapsed="false">
      <c r="A843" s="11" t="s">
        <v>1020</v>
      </c>
      <c r="B843" s="11" t="s">
        <v>21</v>
      </c>
      <c r="C843" s="11" t="n">
        <v>2024</v>
      </c>
      <c r="D843" s="11" t="n">
        <v>12</v>
      </c>
      <c r="E843" s="11" t="s">
        <v>132</v>
      </c>
      <c r="F843" s="11" t="s">
        <v>181</v>
      </c>
      <c r="G843" s="11" t="n">
        <v>20</v>
      </c>
      <c r="H843" s="12" t="s">
        <v>1021</v>
      </c>
    </row>
    <row r="844" customFormat="false" ht="15" hidden="false" customHeight="false" outlineLevel="0" collapsed="false">
      <c r="A844" s="11" t="s">
        <v>1020</v>
      </c>
      <c r="B844" s="11" t="s">
        <v>21</v>
      </c>
      <c r="C844" s="11" t="n">
        <v>2025</v>
      </c>
      <c r="D844" s="11" t="n">
        <v>1</v>
      </c>
      <c r="E844" s="11" t="s">
        <v>99</v>
      </c>
      <c r="F844" s="11" t="s">
        <v>183</v>
      </c>
      <c r="G844" s="11" t="n">
        <v>12</v>
      </c>
      <c r="H844" s="12" t="s">
        <v>1022</v>
      </c>
    </row>
    <row r="845" customFormat="false" ht="15" hidden="false" customHeight="false" outlineLevel="0" collapsed="false">
      <c r="A845" s="11" t="s">
        <v>1020</v>
      </c>
      <c r="B845" s="11" t="s">
        <v>21</v>
      </c>
      <c r="C845" s="11" t="n">
        <v>2025</v>
      </c>
      <c r="D845" s="11" t="n">
        <v>2</v>
      </c>
      <c r="E845" s="11" t="s">
        <v>102</v>
      </c>
      <c r="F845" s="11" t="s">
        <v>185</v>
      </c>
      <c r="G845" s="11" t="n">
        <v>12</v>
      </c>
      <c r="H845" s="12" t="s">
        <v>1023</v>
      </c>
    </row>
    <row r="846" customFormat="false" ht="15" hidden="false" customHeight="false" outlineLevel="0" collapsed="false">
      <c r="A846" s="11" t="s">
        <v>1020</v>
      </c>
      <c r="B846" s="11" t="s">
        <v>21</v>
      </c>
      <c r="C846" s="11" t="n">
        <v>2025</v>
      </c>
      <c r="D846" s="11" t="n">
        <v>3</v>
      </c>
      <c r="E846" s="11" t="s">
        <v>105</v>
      </c>
      <c r="F846" s="11" t="s">
        <v>187</v>
      </c>
      <c r="G846" s="11" t="n">
        <v>12</v>
      </c>
      <c r="H846" s="12" t="s">
        <v>1024</v>
      </c>
    </row>
    <row r="847" customFormat="false" ht="15" hidden="false" customHeight="false" outlineLevel="0" collapsed="false">
      <c r="A847" s="11" t="s">
        <v>1020</v>
      </c>
      <c r="B847" s="11" t="s">
        <v>21</v>
      </c>
      <c r="C847" s="11" t="n">
        <v>2025</v>
      </c>
      <c r="D847" s="11" t="n">
        <v>4</v>
      </c>
      <c r="E847" s="11" t="s">
        <v>108</v>
      </c>
      <c r="F847" s="11" t="s">
        <v>189</v>
      </c>
      <c r="G847" s="11" t="n">
        <v>16</v>
      </c>
      <c r="H847" s="12" t="s">
        <v>1025</v>
      </c>
    </row>
    <row r="848" customFormat="false" ht="15" hidden="false" customHeight="false" outlineLevel="0" collapsed="false">
      <c r="A848" s="11" t="s">
        <v>1020</v>
      </c>
      <c r="B848" s="11" t="s">
        <v>21</v>
      </c>
      <c r="C848" s="11" t="n">
        <v>2025</v>
      </c>
      <c r="D848" s="11" t="n">
        <v>5</v>
      </c>
      <c r="E848" s="11" t="s">
        <v>111</v>
      </c>
      <c r="F848" s="11" t="s">
        <v>191</v>
      </c>
      <c r="G848" s="11" t="n">
        <v>16</v>
      </c>
      <c r="H848" s="12" t="s">
        <v>1026</v>
      </c>
    </row>
    <row r="849" customFormat="false" ht="15" hidden="false" customHeight="false" outlineLevel="0" collapsed="false">
      <c r="A849" s="11" t="s">
        <v>1020</v>
      </c>
      <c r="B849" s="11" t="s">
        <v>21</v>
      </c>
      <c r="C849" s="11" t="n">
        <v>2025</v>
      </c>
      <c r="D849" s="11" t="n">
        <v>6</v>
      </c>
      <c r="E849" s="11" t="s">
        <v>114</v>
      </c>
      <c r="F849" s="11" t="s">
        <v>193</v>
      </c>
      <c r="G849" s="11" t="n">
        <v>16</v>
      </c>
      <c r="H849" s="12" t="s">
        <v>1027</v>
      </c>
    </row>
    <row r="850" customFormat="false" ht="15" hidden="false" customHeight="false" outlineLevel="0" collapsed="false">
      <c r="A850" s="11" t="s">
        <v>1020</v>
      </c>
      <c r="B850" s="11" t="s">
        <v>21</v>
      </c>
      <c r="C850" s="11" t="n">
        <v>2025</v>
      </c>
      <c r="D850" s="11" t="n">
        <v>7</v>
      </c>
      <c r="E850" s="11" t="s">
        <v>117</v>
      </c>
      <c r="F850" s="11" t="s">
        <v>195</v>
      </c>
      <c r="G850" s="11" t="n">
        <v>13</v>
      </c>
      <c r="H850" s="12" t="s">
        <v>1028</v>
      </c>
    </row>
    <row r="851" customFormat="false" ht="15" hidden="false" customHeight="false" outlineLevel="0" collapsed="false">
      <c r="A851" s="11" t="s">
        <v>1020</v>
      </c>
      <c r="B851" s="11" t="s">
        <v>21</v>
      </c>
      <c r="C851" s="11" t="n">
        <v>2025</v>
      </c>
      <c r="D851" s="11" t="n">
        <v>8</v>
      </c>
      <c r="E851" s="11" t="s">
        <v>120</v>
      </c>
      <c r="F851" s="11" t="s">
        <v>197</v>
      </c>
      <c r="G851" s="11" t="n">
        <v>16</v>
      </c>
      <c r="H851" s="12" t="s">
        <v>1029</v>
      </c>
    </row>
    <row r="852" customFormat="false" ht="15" hidden="false" customHeight="false" outlineLevel="0" collapsed="false">
      <c r="A852" s="11" t="s">
        <v>1020</v>
      </c>
      <c r="B852" s="11" t="s">
        <v>21</v>
      </c>
      <c r="C852" s="11" t="n">
        <v>2025</v>
      </c>
      <c r="D852" s="11" t="n">
        <v>9</v>
      </c>
      <c r="E852" s="11" t="s">
        <v>123</v>
      </c>
      <c r="F852" s="11" t="s">
        <v>199</v>
      </c>
      <c r="G852" s="11" t="n">
        <v>12</v>
      </c>
      <c r="H852" s="12" t="s">
        <v>1030</v>
      </c>
    </row>
    <row r="853" customFormat="false" ht="15" hidden="false" customHeight="false" outlineLevel="0" collapsed="false">
      <c r="A853" s="11" t="s">
        <v>1020</v>
      </c>
      <c r="B853" s="11" t="s">
        <v>21</v>
      </c>
      <c r="C853" s="11" t="n">
        <v>2025</v>
      </c>
      <c r="D853" s="11" t="n">
        <v>10</v>
      </c>
      <c r="E853" s="11" t="s">
        <v>126</v>
      </c>
      <c r="F853" s="11" t="s">
        <v>201</v>
      </c>
      <c r="G853" s="11" t="n">
        <v>16</v>
      </c>
      <c r="H853" s="12" t="s">
        <v>1031</v>
      </c>
    </row>
    <row r="854" customFormat="false" ht="15" hidden="false" customHeight="false" outlineLevel="0" collapsed="false">
      <c r="A854" s="11" t="s">
        <v>1020</v>
      </c>
      <c r="B854" s="11" t="s">
        <v>21</v>
      </c>
      <c r="C854" s="11" t="n">
        <v>2025</v>
      </c>
      <c r="D854" s="11" t="n">
        <v>11</v>
      </c>
      <c r="E854" s="11" t="s">
        <v>129</v>
      </c>
      <c r="F854" s="11" t="s">
        <v>203</v>
      </c>
      <c r="G854" s="11" t="n">
        <v>16</v>
      </c>
      <c r="H854" s="12" t="s">
        <v>1032</v>
      </c>
    </row>
    <row r="855" customFormat="false" ht="15" hidden="false" customHeight="false" outlineLevel="0" collapsed="false">
      <c r="A855" s="11" t="s">
        <v>1020</v>
      </c>
      <c r="B855" s="11" t="s">
        <v>21</v>
      </c>
      <c r="C855" s="11" t="n">
        <v>2025</v>
      </c>
      <c r="D855" s="11" t="n">
        <v>12</v>
      </c>
      <c r="E855" s="11" t="s">
        <v>132</v>
      </c>
      <c r="F855" s="11" t="s">
        <v>205</v>
      </c>
      <c r="G855" s="11" t="n">
        <v>12</v>
      </c>
      <c r="H855" s="12" t="s">
        <v>1033</v>
      </c>
    </row>
    <row r="856" customFormat="false" ht="15" hidden="false" customHeight="false" outlineLevel="0" collapsed="false">
      <c r="A856" s="11" t="s">
        <v>1020</v>
      </c>
      <c r="B856" s="11" t="s">
        <v>21</v>
      </c>
      <c r="C856" s="11" t="n">
        <v>2026</v>
      </c>
      <c r="D856" s="11" t="n">
        <v>1</v>
      </c>
      <c r="E856" s="11" t="s">
        <v>99</v>
      </c>
      <c r="F856" s="11" t="s">
        <v>207</v>
      </c>
      <c r="G856" s="11" t="n">
        <v>12</v>
      </c>
      <c r="H856" s="12" t="s">
        <v>1034</v>
      </c>
    </row>
    <row r="857" customFormat="false" ht="15" hidden="false" customHeight="false" outlineLevel="0" collapsed="false">
      <c r="A857" s="11" t="s">
        <v>1020</v>
      </c>
      <c r="B857" s="11" t="s">
        <v>21</v>
      </c>
      <c r="C857" s="11" t="n">
        <v>2026</v>
      </c>
      <c r="D857" s="11" t="n">
        <v>2</v>
      </c>
      <c r="E857" s="11" t="s">
        <v>102</v>
      </c>
      <c r="F857" s="11" t="s">
        <v>209</v>
      </c>
      <c r="G857" s="11" t="n">
        <v>12</v>
      </c>
      <c r="H857" s="12" t="s">
        <v>1035</v>
      </c>
    </row>
    <row r="858" customFormat="false" ht="15" hidden="false" customHeight="false" outlineLevel="0" collapsed="false">
      <c r="A858" s="11" t="s">
        <v>1020</v>
      </c>
      <c r="B858" s="11" t="s">
        <v>21</v>
      </c>
      <c r="C858" s="11" t="n">
        <v>2026</v>
      </c>
      <c r="D858" s="11" t="n">
        <v>3</v>
      </c>
      <c r="E858" s="11" t="s">
        <v>105</v>
      </c>
      <c r="F858" s="11" t="s">
        <v>211</v>
      </c>
      <c r="G858" s="11" t="n">
        <v>12</v>
      </c>
      <c r="H858" s="12" t="s">
        <v>1036</v>
      </c>
    </row>
    <row r="859" customFormat="false" ht="15" hidden="false" customHeight="false" outlineLevel="0" collapsed="false">
      <c r="A859" s="11" t="s">
        <v>1020</v>
      </c>
      <c r="B859" s="11" t="s">
        <v>21</v>
      </c>
      <c r="C859" s="11" t="n">
        <v>2026</v>
      </c>
      <c r="D859" s="11" t="n">
        <v>4</v>
      </c>
      <c r="E859" s="11" t="s">
        <v>108</v>
      </c>
      <c r="F859" s="11" t="s">
        <v>213</v>
      </c>
      <c r="G859" s="11" t="n">
        <v>16</v>
      </c>
      <c r="H859" s="12" t="s">
        <v>1037</v>
      </c>
    </row>
    <row r="860" customFormat="false" ht="15" hidden="false" customHeight="false" outlineLevel="0" collapsed="false">
      <c r="A860" s="11" t="s">
        <v>1020</v>
      </c>
      <c r="B860" s="11" t="s">
        <v>21</v>
      </c>
      <c r="C860" s="11" t="n">
        <v>2026</v>
      </c>
      <c r="D860" s="11" t="n">
        <v>5</v>
      </c>
      <c r="E860" s="11" t="s">
        <v>111</v>
      </c>
      <c r="F860" s="11" t="s">
        <v>215</v>
      </c>
      <c r="G860" s="11" t="n">
        <v>12</v>
      </c>
      <c r="H860" s="12" t="s">
        <v>1038</v>
      </c>
    </row>
    <row r="861" customFormat="false" ht="15" hidden="false" customHeight="false" outlineLevel="0" collapsed="false">
      <c r="A861" s="11" t="s">
        <v>1039</v>
      </c>
      <c r="B861" s="11" t="s">
        <v>22</v>
      </c>
      <c r="C861" s="11" t="n">
        <v>2024</v>
      </c>
      <c r="D861" s="11" t="n">
        <v>12</v>
      </c>
      <c r="E861" s="11" t="s">
        <v>132</v>
      </c>
      <c r="F861" s="11" t="s">
        <v>181</v>
      </c>
      <c r="G861" s="11" t="n">
        <v>20</v>
      </c>
      <c r="H861" s="12" t="s">
        <v>1040</v>
      </c>
    </row>
    <row r="862" customFormat="false" ht="15" hidden="false" customHeight="false" outlineLevel="0" collapsed="false">
      <c r="A862" s="11" t="s">
        <v>1039</v>
      </c>
      <c r="B862" s="11" t="s">
        <v>22</v>
      </c>
      <c r="C862" s="11" t="n">
        <v>2025</v>
      </c>
      <c r="D862" s="11" t="n">
        <v>1</v>
      </c>
      <c r="E862" s="11" t="s">
        <v>99</v>
      </c>
      <c r="F862" s="11" t="s">
        <v>183</v>
      </c>
      <c r="G862" s="11" t="n">
        <v>12</v>
      </c>
      <c r="H862" s="12" t="s">
        <v>1041</v>
      </c>
    </row>
    <row r="863" customFormat="false" ht="15" hidden="false" customHeight="false" outlineLevel="0" collapsed="false">
      <c r="A863" s="11" t="s">
        <v>1039</v>
      </c>
      <c r="B863" s="11" t="s">
        <v>22</v>
      </c>
      <c r="C863" s="11" t="n">
        <v>2025</v>
      </c>
      <c r="D863" s="11" t="n">
        <v>2</v>
      </c>
      <c r="E863" s="11" t="s">
        <v>102</v>
      </c>
      <c r="F863" s="11" t="s">
        <v>185</v>
      </c>
      <c r="G863" s="11" t="n">
        <v>12</v>
      </c>
      <c r="H863" s="12" t="s">
        <v>1042</v>
      </c>
    </row>
    <row r="864" customFormat="false" ht="15" hidden="false" customHeight="false" outlineLevel="0" collapsed="false">
      <c r="A864" s="11" t="s">
        <v>1039</v>
      </c>
      <c r="B864" s="11" t="s">
        <v>22</v>
      </c>
      <c r="C864" s="11" t="n">
        <v>2025</v>
      </c>
      <c r="D864" s="11" t="n">
        <v>3</v>
      </c>
      <c r="E864" s="11" t="s">
        <v>105</v>
      </c>
      <c r="F864" s="11" t="s">
        <v>187</v>
      </c>
      <c r="G864" s="11" t="n">
        <v>12</v>
      </c>
      <c r="H864" s="12" t="s">
        <v>1043</v>
      </c>
    </row>
    <row r="865" customFormat="false" ht="15" hidden="false" customHeight="false" outlineLevel="0" collapsed="false">
      <c r="A865" s="11" t="s">
        <v>1039</v>
      </c>
      <c r="B865" s="11" t="s">
        <v>22</v>
      </c>
      <c r="C865" s="11" t="n">
        <v>2025</v>
      </c>
      <c r="D865" s="11" t="n">
        <v>4</v>
      </c>
      <c r="E865" s="11" t="s">
        <v>108</v>
      </c>
      <c r="F865" s="11" t="s">
        <v>189</v>
      </c>
      <c r="G865" s="11" t="n">
        <v>20</v>
      </c>
      <c r="H865" s="12" t="s">
        <v>1044</v>
      </c>
    </row>
    <row r="866" customFormat="false" ht="15" hidden="false" customHeight="false" outlineLevel="0" collapsed="false">
      <c r="A866" s="11" t="s">
        <v>1039</v>
      </c>
      <c r="B866" s="11" t="s">
        <v>22</v>
      </c>
      <c r="C866" s="11" t="n">
        <v>2025</v>
      </c>
      <c r="D866" s="11" t="n">
        <v>5</v>
      </c>
      <c r="E866" s="11" t="s">
        <v>111</v>
      </c>
      <c r="F866" s="11" t="s">
        <v>191</v>
      </c>
      <c r="G866" s="11" t="n">
        <v>16</v>
      </c>
      <c r="H866" s="12" t="s">
        <v>1045</v>
      </c>
    </row>
    <row r="867" customFormat="false" ht="15" hidden="false" customHeight="false" outlineLevel="0" collapsed="false">
      <c r="A867" s="11" t="s">
        <v>1039</v>
      </c>
      <c r="B867" s="11" t="s">
        <v>22</v>
      </c>
      <c r="C867" s="11" t="n">
        <v>2025</v>
      </c>
      <c r="D867" s="11" t="n">
        <v>6</v>
      </c>
      <c r="E867" s="11" t="s">
        <v>114</v>
      </c>
      <c r="F867" s="11" t="s">
        <v>193</v>
      </c>
      <c r="G867" s="11" t="n">
        <v>16</v>
      </c>
      <c r="H867" s="12" t="s">
        <v>1046</v>
      </c>
    </row>
    <row r="868" customFormat="false" ht="15" hidden="false" customHeight="false" outlineLevel="0" collapsed="false">
      <c r="A868" s="11" t="s">
        <v>1039</v>
      </c>
      <c r="B868" s="11" t="s">
        <v>22</v>
      </c>
      <c r="C868" s="11" t="n">
        <v>2025</v>
      </c>
      <c r="D868" s="11" t="n">
        <v>7</v>
      </c>
      <c r="E868" s="11" t="s">
        <v>117</v>
      </c>
      <c r="F868" s="11" t="s">
        <v>195</v>
      </c>
      <c r="G868" s="11" t="n">
        <v>17</v>
      </c>
      <c r="H868" s="12" t="s">
        <v>1047</v>
      </c>
    </row>
    <row r="869" customFormat="false" ht="15" hidden="false" customHeight="false" outlineLevel="0" collapsed="false">
      <c r="A869" s="11" t="s">
        <v>1039</v>
      </c>
      <c r="B869" s="11" t="s">
        <v>22</v>
      </c>
      <c r="C869" s="11" t="n">
        <v>2025</v>
      </c>
      <c r="D869" s="11" t="n">
        <v>8</v>
      </c>
      <c r="E869" s="11" t="s">
        <v>120</v>
      </c>
      <c r="F869" s="11" t="s">
        <v>197</v>
      </c>
      <c r="G869" s="11" t="n">
        <v>16</v>
      </c>
      <c r="H869" s="12" t="s">
        <v>1048</v>
      </c>
    </row>
    <row r="870" customFormat="false" ht="15" hidden="false" customHeight="false" outlineLevel="0" collapsed="false">
      <c r="A870" s="11" t="s">
        <v>1039</v>
      </c>
      <c r="B870" s="11" t="s">
        <v>22</v>
      </c>
      <c r="C870" s="11" t="n">
        <v>2025</v>
      </c>
      <c r="D870" s="11" t="n">
        <v>9</v>
      </c>
      <c r="E870" s="11" t="s">
        <v>123</v>
      </c>
      <c r="F870" s="11" t="s">
        <v>199</v>
      </c>
      <c r="G870" s="11" t="n">
        <v>16</v>
      </c>
      <c r="H870" s="12" t="s">
        <v>1049</v>
      </c>
    </row>
    <row r="871" customFormat="false" ht="15" hidden="false" customHeight="false" outlineLevel="0" collapsed="false">
      <c r="A871" s="11" t="s">
        <v>1039</v>
      </c>
      <c r="B871" s="11" t="s">
        <v>22</v>
      </c>
      <c r="C871" s="11" t="n">
        <v>2025</v>
      </c>
      <c r="D871" s="11" t="n">
        <v>10</v>
      </c>
      <c r="E871" s="11" t="s">
        <v>126</v>
      </c>
      <c r="F871" s="11" t="s">
        <v>201</v>
      </c>
      <c r="G871" s="11" t="n">
        <v>12</v>
      </c>
      <c r="H871" s="12" t="s">
        <v>1050</v>
      </c>
    </row>
    <row r="872" customFormat="false" ht="15" hidden="false" customHeight="false" outlineLevel="0" collapsed="false">
      <c r="A872" s="11" t="s">
        <v>1039</v>
      </c>
      <c r="B872" s="11" t="s">
        <v>22</v>
      </c>
      <c r="C872" s="11" t="n">
        <v>2025</v>
      </c>
      <c r="D872" s="11" t="n">
        <v>11</v>
      </c>
      <c r="E872" s="11" t="s">
        <v>129</v>
      </c>
      <c r="F872" s="11" t="s">
        <v>203</v>
      </c>
      <c r="G872" s="11" t="n">
        <v>16</v>
      </c>
      <c r="H872" s="12" t="s">
        <v>1051</v>
      </c>
    </row>
    <row r="873" customFormat="false" ht="15" hidden="false" customHeight="false" outlineLevel="0" collapsed="false">
      <c r="A873" s="11" t="s">
        <v>1039</v>
      </c>
      <c r="B873" s="11" t="s">
        <v>22</v>
      </c>
      <c r="C873" s="11" t="n">
        <v>2025</v>
      </c>
      <c r="D873" s="11" t="n">
        <v>12</v>
      </c>
      <c r="E873" s="11" t="s">
        <v>132</v>
      </c>
      <c r="F873" s="11" t="s">
        <v>205</v>
      </c>
      <c r="G873" s="11" t="n">
        <v>12</v>
      </c>
      <c r="H873" s="12" t="s">
        <v>1052</v>
      </c>
    </row>
    <row r="874" customFormat="false" ht="15" hidden="false" customHeight="false" outlineLevel="0" collapsed="false">
      <c r="A874" s="11" t="s">
        <v>1039</v>
      </c>
      <c r="B874" s="11" t="s">
        <v>22</v>
      </c>
      <c r="C874" s="11" t="n">
        <v>2026</v>
      </c>
      <c r="D874" s="11" t="n">
        <v>1</v>
      </c>
      <c r="E874" s="11" t="s">
        <v>99</v>
      </c>
      <c r="F874" s="11" t="s">
        <v>207</v>
      </c>
      <c r="G874" s="11" t="n">
        <v>12</v>
      </c>
      <c r="H874" s="12" t="s">
        <v>1053</v>
      </c>
    </row>
    <row r="875" customFormat="false" ht="15" hidden="false" customHeight="false" outlineLevel="0" collapsed="false">
      <c r="A875" s="11" t="s">
        <v>1039</v>
      </c>
      <c r="B875" s="11" t="s">
        <v>22</v>
      </c>
      <c r="C875" s="11" t="n">
        <v>2026</v>
      </c>
      <c r="D875" s="11" t="n">
        <v>2</v>
      </c>
      <c r="E875" s="11" t="s">
        <v>102</v>
      </c>
      <c r="F875" s="11" t="s">
        <v>209</v>
      </c>
      <c r="G875" s="11" t="n">
        <v>12</v>
      </c>
      <c r="H875" s="12" t="s">
        <v>1054</v>
      </c>
    </row>
    <row r="876" customFormat="false" ht="15" hidden="false" customHeight="false" outlineLevel="0" collapsed="false">
      <c r="A876" s="11" t="s">
        <v>1039</v>
      </c>
      <c r="B876" s="11" t="s">
        <v>22</v>
      </c>
      <c r="C876" s="11" t="n">
        <v>2026</v>
      </c>
      <c r="D876" s="11" t="n">
        <v>3</v>
      </c>
      <c r="E876" s="11" t="s">
        <v>105</v>
      </c>
      <c r="F876" s="11" t="s">
        <v>211</v>
      </c>
      <c r="G876" s="11" t="n">
        <v>16</v>
      </c>
      <c r="H876" s="12" t="s">
        <v>1055</v>
      </c>
    </row>
    <row r="877" customFormat="false" ht="15" hidden="false" customHeight="false" outlineLevel="0" collapsed="false">
      <c r="A877" s="11" t="s">
        <v>1039</v>
      </c>
      <c r="B877" s="11" t="s">
        <v>22</v>
      </c>
      <c r="C877" s="11" t="n">
        <v>2026</v>
      </c>
      <c r="D877" s="11" t="n">
        <v>4</v>
      </c>
      <c r="E877" s="11" t="s">
        <v>108</v>
      </c>
      <c r="F877" s="11" t="s">
        <v>213</v>
      </c>
      <c r="G877" s="11" t="n">
        <v>16</v>
      </c>
      <c r="H877" s="12" t="s">
        <v>1056</v>
      </c>
    </row>
    <row r="878" customFormat="false" ht="15" hidden="false" customHeight="false" outlineLevel="0" collapsed="false">
      <c r="A878" s="11" t="s">
        <v>1039</v>
      </c>
      <c r="B878" s="11" t="s">
        <v>22</v>
      </c>
      <c r="C878" s="11" t="n">
        <v>2026</v>
      </c>
      <c r="D878" s="11" t="n">
        <v>5</v>
      </c>
      <c r="E878" s="11" t="s">
        <v>111</v>
      </c>
      <c r="F878" s="11" t="s">
        <v>215</v>
      </c>
      <c r="G878" s="11" t="n">
        <v>16</v>
      </c>
      <c r="H878" s="12" t="s">
        <v>1057</v>
      </c>
    </row>
    <row r="879" customFormat="false" ht="15" hidden="false" customHeight="false" outlineLevel="0" collapsed="false">
      <c r="A879" s="11" t="s">
        <v>1058</v>
      </c>
      <c r="B879" s="11" t="s">
        <v>23</v>
      </c>
      <c r="C879" s="11" t="n">
        <v>2022</v>
      </c>
      <c r="D879" s="11" t="n">
        <v>1</v>
      </c>
      <c r="E879" s="11" t="s">
        <v>99</v>
      </c>
      <c r="F879" s="11" t="s">
        <v>100</v>
      </c>
      <c r="G879" s="11" t="n">
        <v>16</v>
      </c>
      <c r="H879" s="12" t="s">
        <v>1059</v>
      </c>
    </row>
    <row r="880" customFormat="false" ht="15" hidden="false" customHeight="false" outlineLevel="0" collapsed="false">
      <c r="A880" s="11" t="s">
        <v>1058</v>
      </c>
      <c r="B880" s="11" t="s">
        <v>23</v>
      </c>
      <c r="C880" s="11" t="n">
        <v>2022</v>
      </c>
      <c r="D880" s="11" t="n">
        <v>2</v>
      </c>
      <c r="E880" s="11" t="s">
        <v>102</v>
      </c>
      <c r="F880" s="11" t="s">
        <v>103</v>
      </c>
      <c r="G880" s="11" t="n">
        <v>20</v>
      </c>
      <c r="H880" s="12" t="s">
        <v>1060</v>
      </c>
    </row>
    <row r="881" customFormat="false" ht="15" hidden="false" customHeight="false" outlineLevel="0" collapsed="false">
      <c r="A881" s="11" t="s">
        <v>1058</v>
      </c>
      <c r="B881" s="11" t="s">
        <v>23</v>
      </c>
      <c r="C881" s="11" t="n">
        <v>2022</v>
      </c>
      <c r="D881" s="11" t="n">
        <v>3</v>
      </c>
      <c r="E881" s="11" t="s">
        <v>105</v>
      </c>
      <c r="F881" s="11" t="s">
        <v>106</v>
      </c>
      <c r="G881" s="11" t="n">
        <v>20</v>
      </c>
      <c r="H881" s="12" t="s">
        <v>1061</v>
      </c>
    </row>
    <row r="882" customFormat="false" ht="15" hidden="false" customHeight="false" outlineLevel="0" collapsed="false">
      <c r="A882" s="11" t="s">
        <v>1058</v>
      </c>
      <c r="B882" s="11" t="s">
        <v>23</v>
      </c>
      <c r="C882" s="11" t="n">
        <v>2022</v>
      </c>
      <c r="D882" s="11" t="n">
        <v>4</v>
      </c>
      <c r="E882" s="11" t="s">
        <v>108</v>
      </c>
      <c r="F882" s="11" t="s">
        <v>109</v>
      </c>
      <c r="G882" s="11" t="n">
        <v>20</v>
      </c>
      <c r="H882" s="12" t="s">
        <v>1062</v>
      </c>
    </row>
    <row r="883" customFormat="false" ht="15" hidden="false" customHeight="false" outlineLevel="0" collapsed="false">
      <c r="A883" s="11" t="s">
        <v>1058</v>
      </c>
      <c r="B883" s="11" t="s">
        <v>23</v>
      </c>
      <c r="C883" s="11" t="n">
        <v>2022</v>
      </c>
      <c r="D883" s="11" t="n">
        <v>5</v>
      </c>
      <c r="E883" s="11" t="s">
        <v>111</v>
      </c>
      <c r="F883" s="11" t="s">
        <v>112</v>
      </c>
      <c r="G883" s="11" t="n">
        <v>24</v>
      </c>
      <c r="H883" s="12" t="s">
        <v>1063</v>
      </c>
    </row>
    <row r="884" customFormat="false" ht="15" hidden="false" customHeight="false" outlineLevel="0" collapsed="false">
      <c r="A884" s="11" t="s">
        <v>1058</v>
      </c>
      <c r="B884" s="11" t="s">
        <v>23</v>
      </c>
      <c r="C884" s="11" t="n">
        <v>2022</v>
      </c>
      <c r="D884" s="11" t="n">
        <v>6</v>
      </c>
      <c r="E884" s="11" t="s">
        <v>114</v>
      </c>
      <c r="F884" s="11" t="s">
        <v>115</v>
      </c>
      <c r="G884" s="11" t="n">
        <v>24</v>
      </c>
      <c r="H884" s="12" t="s">
        <v>1064</v>
      </c>
    </row>
    <row r="885" customFormat="false" ht="15" hidden="false" customHeight="false" outlineLevel="0" collapsed="false">
      <c r="A885" s="11" t="s">
        <v>1058</v>
      </c>
      <c r="B885" s="11" t="s">
        <v>23</v>
      </c>
      <c r="C885" s="11" t="n">
        <v>2022</v>
      </c>
      <c r="D885" s="11" t="n">
        <v>7</v>
      </c>
      <c r="E885" s="11" t="s">
        <v>117</v>
      </c>
      <c r="F885" s="11" t="s">
        <v>118</v>
      </c>
      <c r="G885" s="11" t="n">
        <v>16</v>
      </c>
      <c r="H885" s="12" t="s">
        <v>1065</v>
      </c>
    </row>
    <row r="886" customFormat="false" ht="15" hidden="false" customHeight="false" outlineLevel="0" collapsed="false">
      <c r="A886" s="11" t="s">
        <v>1058</v>
      </c>
      <c r="B886" s="11" t="s">
        <v>23</v>
      </c>
      <c r="C886" s="11" t="n">
        <v>2022</v>
      </c>
      <c r="D886" s="11" t="n">
        <v>8</v>
      </c>
      <c r="E886" s="11" t="s">
        <v>120</v>
      </c>
      <c r="F886" s="11" t="s">
        <v>121</v>
      </c>
      <c r="G886" s="11" t="n">
        <v>16</v>
      </c>
      <c r="H886" s="12" t="s">
        <v>1066</v>
      </c>
    </row>
    <row r="887" customFormat="false" ht="15" hidden="false" customHeight="false" outlineLevel="0" collapsed="false">
      <c r="A887" s="11" t="s">
        <v>1058</v>
      </c>
      <c r="B887" s="11" t="s">
        <v>23</v>
      </c>
      <c r="C887" s="11" t="n">
        <v>2022</v>
      </c>
      <c r="D887" s="11" t="n">
        <v>9</v>
      </c>
      <c r="E887" s="11" t="s">
        <v>123</v>
      </c>
      <c r="F887" s="11" t="s">
        <v>124</v>
      </c>
      <c r="G887" s="11" t="n">
        <v>24</v>
      </c>
      <c r="H887" s="12" t="s">
        <v>1067</v>
      </c>
    </row>
    <row r="888" customFormat="false" ht="15" hidden="false" customHeight="false" outlineLevel="0" collapsed="false">
      <c r="A888" s="11" t="s">
        <v>1058</v>
      </c>
      <c r="B888" s="11" t="s">
        <v>23</v>
      </c>
      <c r="C888" s="11" t="n">
        <v>2022</v>
      </c>
      <c r="D888" s="11" t="n">
        <v>10</v>
      </c>
      <c r="E888" s="11" t="s">
        <v>126</v>
      </c>
      <c r="F888" s="11" t="s">
        <v>127</v>
      </c>
      <c r="G888" s="11" t="n">
        <v>20</v>
      </c>
      <c r="H888" s="12" t="s">
        <v>1068</v>
      </c>
    </row>
    <row r="889" customFormat="false" ht="15" hidden="false" customHeight="false" outlineLevel="0" collapsed="false">
      <c r="A889" s="11" t="s">
        <v>1058</v>
      </c>
      <c r="B889" s="11" t="s">
        <v>23</v>
      </c>
      <c r="C889" s="11" t="n">
        <v>2022</v>
      </c>
      <c r="D889" s="11" t="n">
        <v>11</v>
      </c>
      <c r="E889" s="11" t="s">
        <v>129</v>
      </c>
      <c r="F889" s="11" t="s">
        <v>130</v>
      </c>
      <c r="G889" s="11" t="n">
        <v>16</v>
      </c>
      <c r="H889" s="12" t="s">
        <v>1069</v>
      </c>
    </row>
    <row r="890" customFormat="false" ht="15" hidden="false" customHeight="false" outlineLevel="0" collapsed="false">
      <c r="A890" s="11" t="s">
        <v>1058</v>
      </c>
      <c r="B890" s="11" t="s">
        <v>23</v>
      </c>
      <c r="C890" s="11" t="n">
        <v>2022</v>
      </c>
      <c r="D890" s="11" t="n">
        <v>12</v>
      </c>
      <c r="E890" s="11" t="s">
        <v>132</v>
      </c>
      <c r="F890" s="11" t="s">
        <v>133</v>
      </c>
      <c r="G890" s="11" t="n">
        <v>28</v>
      </c>
      <c r="H890" s="12" t="s">
        <v>1070</v>
      </c>
    </row>
    <row r="891" customFormat="false" ht="15" hidden="false" customHeight="false" outlineLevel="0" collapsed="false">
      <c r="A891" s="11" t="s">
        <v>1058</v>
      </c>
      <c r="B891" s="11" t="s">
        <v>23</v>
      </c>
      <c r="C891" s="11" t="n">
        <v>2023</v>
      </c>
      <c r="D891" s="11" t="n">
        <v>1</v>
      </c>
      <c r="E891" s="11" t="s">
        <v>99</v>
      </c>
      <c r="F891" s="11" t="s">
        <v>135</v>
      </c>
      <c r="G891" s="11" t="n">
        <v>16</v>
      </c>
      <c r="H891" s="12" t="s">
        <v>1071</v>
      </c>
    </row>
    <row r="892" customFormat="false" ht="15" hidden="false" customHeight="false" outlineLevel="0" collapsed="false">
      <c r="A892" s="11" t="s">
        <v>1058</v>
      </c>
      <c r="B892" s="11" t="s">
        <v>23</v>
      </c>
      <c r="C892" s="11" t="n">
        <v>2023</v>
      </c>
      <c r="D892" s="11" t="n">
        <v>2</v>
      </c>
      <c r="E892" s="11" t="s">
        <v>102</v>
      </c>
      <c r="F892" s="11" t="s">
        <v>137</v>
      </c>
      <c r="G892" s="11" t="n">
        <v>16</v>
      </c>
      <c r="H892" s="12" t="s">
        <v>1072</v>
      </c>
    </row>
    <row r="893" customFormat="false" ht="15" hidden="false" customHeight="false" outlineLevel="0" collapsed="false">
      <c r="A893" s="11" t="s">
        <v>1058</v>
      </c>
      <c r="B893" s="11" t="s">
        <v>23</v>
      </c>
      <c r="C893" s="11" t="n">
        <v>2023</v>
      </c>
      <c r="D893" s="11" t="n">
        <v>3</v>
      </c>
      <c r="E893" s="11" t="s">
        <v>105</v>
      </c>
      <c r="F893" s="11" t="s">
        <v>139</v>
      </c>
      <c r="G893" s="11" t="n">
        <v>20</v>
      </c>
      <c r="H893" s="12" t="s">
        <v>1073</v>
      </c>
    </row>
    <row r="894" customFormat="false" ht="15" hidden="false" customHeight="false" outlineLevel="0" collapsed="false">
      <c r="A894" s="11" t="s">
        <v>1058</v>
      </c>
      <c r="B894" s="11" t="s">
        <v>23</v>
      </c>
      <c r="C894" s="11" t="n">
        <v>2023</v>
      </c>
      <c r="D894" s="11" t="n">
        <v>4</v>
      </c>
      <c r="E894" s="11" t="s">
        <v>108</v>
      </c>
      <c r="F894" s="11" t="s">
        <v>141</v>
      </c>
      <c r="G894" s="11" t="n">
        <v>24</v>
      </c>
      <c r="H894" s="12" t="s">
        <v>1074</v>
      </c>
    </row>
    <row r="895" customFormat="false" ht="15" hidden="false" customHeight="false" outlineLevel="0" collapsed="false">
      <c r="A895" s="11" t="s">
        <v>1058</v>
      </c>
      <c r="B895" s="11" t="s">
        <v>23</v>
      </c>
      <c r="C895" s="11" t="n">
        <v>2023</v>
      </c>
      <c r="D895" s="11" t="n">
        <v>5</v>
      </c>
      <c r="E895" s="11" t="s">
        <v>111</v>
      </c>
      <c r="F895" s="11" t="s">
        <v>143</v>
      </c>
      <c r="G895" s="11" t="n">
        <v>28</v>
      </c>
      <c r="H895" s="12" t="s">
        <v>1075</v>
      </c>
    </row>
    <row r="896" customFormat="false" ht="15" hidden="false" customHeight="false" outlineLevel="0" collapsed="false">
      <c r="A896" s="11" t="s">
        <v>1058</v>
      </c>
      <c r="B896" s="11" t="s">
        <v>23</v>
      </c>
      <c r="C896" s="11" t="n">
        <v>2023</v>
      </c>
      <c r="D896" s="11" t="n">
        <v>6</v>
      </c>
      <c r="E896" s="11" t="s">
        <v>114</v>
      </c>
      <c r="F896" s="11" t="s">
        <v>145</v>
      </c>
      <c r="G896" s="11" t="n">
        <v>24</v>
      </c>
      <c r="H896" s="12" t="s">
        <v>1076</v>
      </c>
    </row>
    <row r="897" customFormat="false" ht="15" hidden="false" customHeight="false" outlineLevel="0" collapsed="false">
      <c r="A897" s="11" t="s">
        <v>1058</v>
      </c>
      <c r="B897" s="11" t="s">
        <v>23</v>
      </c>
      <c r="C897" s="11" t="n">
        <v>2023</v>
      </c>
      <c r="D897" s="11" t="n">
        <v>7</v>
      </c>
      <c r="E897" s="11" t="s">
        <v>117</v>
      </c>
      <c r="F897" s="11" t="s">
        <v>147</v>
      </c>
      <c r="G897" s="11" t="n">
        <v>24</v>
      </c>
      <c r="H897" s="12" t="s">
        <v>1077</v>
      </c>
    </row>
    <row r="898" customFormat="false" ht="15" hidden="false" customHeight="false" outlineLevel="0" collapsed="false">
      <c r="A898" s="11" t="s">
        <v>1058</v>
      </c>
      <c r="B898" s="11" t="s">
        <v>23</v>
      </c>
      <c r="C898" s="11" t="n">
        <v>2023</v>
      </c>
      <c r="D898" s="11" t="n">
        <v>8</v>
      </c>
      <c r="E898" s="11" t="s">
        <v>120</v>
      </c>
      <c r="F898" s="11" t="s">
        <v>149</v>
      </c>
      <c r="G898" s="11" t="n">
        <v>16</v>
      </c>
      <c r="H898" s="12" t="s">
        <v>1078</v>
      </c>
    </row>
    <row r="899" customFormat="false" ht="15" hidden="false" customHeight="false" outlineLevel="0" collapsed="false">
      <c r="A899" s="11" t="s">
        <v>1058</v>
      </c>
      <c r="B899" s="11" t="s">
        <v>23</v>
      </c>
      <c r="C899" s="11" t="n">
        <v>2023</v>
      </c>
      <c r="D899" s="11" t="n">
        <v>9</v>
      </c>
      <c r="E899" s="11" t="s">
        <v>123</v>
      </c>
      <c r="F899" s="11" t="s">
        <v>151</v>
      </c>
      <c r="G899" s="11" t="n">
        <v>28</v>
      </c>
      <c r="H899" s="12" t="s">
        <v>1079</v>
      </c>
    </row>
    <row r="900" customFormat="false" ht="15" hidden="false" customHeight="false" outlineLevel="0" collapsed="false">
      <c r="A900" s="11" t="s">
        <v>1058</v>
      </c>
      <c r="B900" s="11" t="s">
        <v>23</v>
      </c>
      <c r="C900" s="11" t="n">
        <v>2023</v>
      </c>
      <c r="D900" s="11" t="n">
        <v>10</v>
      </c>
      <c r="E900" s="11" t="s">
        <v>126</v>
      </c>
      <c r="F900" s="11" t="s">
        <v>153</v>
      </c>
      <c r="G900" s="11" t="n">
        <v>20</v>
      </c>
      <c r="H900" s="12" t="s">
        <v>1080</v>
      </c>
    </row>
    <row r="901" customFormat="false" ht="15" hidden="false" customHeight="false" outlineLevel="0" collapsed="false">
      <c r="A901" s="11" t="s">
        <v>1058</v>
      </c>
      <c r="B901" s="11" t="s">
        <v>23</v>
      </c>
      <c r="C901" s="11" t="n">
        <v>2023</v>
      </c>
      <c r="D901" s="11" t="n">
        <v>11</v>
      </c>
      <c r="E901" s="11" t="s">
        <v>129</v>
      </c>
      <c r="F901" s="11" t="s">
        <v>155</v>
      </c>
      <c r="G901" s="11" t="n">
        <v>20</v>
      </c>
      <c r="H901" s="12" t="s">
        <v>1081</v>
      </c>
    </row>
    <row r="902" customFormat="false" ht="15" hidden="false" customHeight="false" outlineLevel="0" collapsed="false">
      <c r="A902" s="11" t="s">
        <v>1058</v>
      </c>
      <c r="B902" s="11" t="s">
        <v>23</v>
      </c>
      <c r="C902" s="11" t="n">
        <v>2023</v>
      </c>
      <c r="D902" s="11" t="n">
        <v>12</v>
      </c>
      <c r="E902" s="11" t="s">
        <v>132</v>
      </c>
      <c r="F902" s="11" t="s">
        <v>157</v>
      </c>
      <c r="G902" s="11" t="n">
        <v>20</v>
      </c>
      <c r="H902" s="12" t="s">
        <v>1082</v>
      </c>
    </row>
    <row r="903" customFormat="false" ht="15" hidden="false" customHeight="false" outlineLevel="0" collapsed="false">
      <c r="A903" s="11" t="s">
        <v>1058</v>
      </c>
      <c r="B903" s="11" t="s">
        <v>23</v>
      </c>
      <c r="C903" s="11" t="n">
        <v>2024</v>
      </c>
      <c r="D903" s="11" t="n">
        <v>1</v>
      </c>
      <c r="E903" s="11" t="s">
        <v>99</v>
      </c>
      <c r="F903" s="11" t="s">
        <v>159</v>
      </c>
      <c r="G903" s="11" t="n">
        <v>20</v>
      </c>
      <c r="H903" s="12" t="s">
        <v>1083</v>
      </c>
    </row>
    <row r="904" customFormat="false" ht="15" hidden="false" customHeight="false" outlineLevel="0" collapsed="false">
      <c r="A904" s="11" t="s">
        <v>1058</v>
      </c>
      <c r="B904" s="11" t="s">
        <v>23</v>
      </c>
      <c r="C904" s="11" t="n">
        <v>2024</v>
      </c>
      <c r="D904" s="11" t="n">
        <v>2</v>
      </c>
      <c r="E904" s="11" t="s">
        <v>102</v>
      </c>
      <c r="F904" s="11" t="s">
        <v>161</v>
      </c>
      <c r="G904" s="11" t="n">
        <v>16</v>
      </c>
      <c r="H904" s="12" t="s">
        <v>1084</v>
      </c>
    </row>
    <row r="905" customFormat="false" ht="15" hidden="false" customHeight="false" outlineLevel="0" collapsed="false">
      <c r="A905" s="11" t="s">
        <v>1058</v>
      </c>
      <c r="B905" s="11" t="s">
        <v>23</v>
      </c>
      <c r="C905" s="11" t="n">
        <v>2024</v>
      </c>
      <c r="D905" s="11" t="n">
        <v>3</v>
      </c>
      <c r="E905" s="11" t="s">
        <v>105</v>
      </c>
      <c r="F905" s="11" t="s">
        <v>163</v>
      </c>
      <c r="G905" s="11" t="n">
        <v>20</v>
      </c>
      <c r="H905" s="12" t="s">
        <v>1085</v>
      </c>
    </row>
    <row r="906" customFormat="false" ht="15" hidden="false" customHeight="false" outlineLevel="0" collapsed="false">
      <c r="A906" s="11" t="s">
        <v>1058</v>
      </c>
      <c r="B906" s="11" t="s">
        <v>23</v>
      </c>
      <c r="C906" s="11" t="n">
        <v>2024</v>
      </c>
      <c r="D906" s="11" t="n">
        <v>4</v>
      </c>
      <c r="E906" s="11" t="s">
        <v>108</v>
      </c>
      <c r="F906" s="11" t="s">
        <v>165</v>
      </c>
      <c r="G906" s="11" t="n">
        <v>24</v>
      </c>
      <c r="H906" s="12" t="s">
        <v>1086</v>
      </c>
    </row>
    <row r="907" customFormat="false" ht="15" hidden="false" customHeight="false" outlineLevel="0" collapsed="false">
      <c r="A907" s="11" t="s">
        <v>1058</v>
      </c>
      <c r="B907" s="11" t="s">
        <v>23</v>
      </c>
      <c r="C907" s="11" t="n">
        <v>2024</v>
      </c>
      <c r="D907" s="11" t="n">
        <v>5</v>
      </c>
      <c r="E907" s="11" t="s">
        <v>111</v>
      </c>
      <c r="F907" s="11" t="s">
        <v>167</v>
      </c>
      <c r="G907" s="11" t="n">
        <v>28</v>
      </c>
      <c r="H907" s="12" t="s">
        <v>1087</v>
      </c>
    </row>
    <row r="908" customFormat="false" ht="15" hidden="false" customHeight="false" outlineLevel="0" collapsed="false">
      <c r="A908" s="11" t="s">
        <v>1058</v>
      </c>
      <c r="B908" s="11" t="s">
        <v>23</v>
      </c>
      <c r="C908" s="11" t="n">
        <v>2024</v>
      </c>
      <c r="D908" s="11" t="n">
        <v>6</v>
      </c>
      <c r="E908" s="11" t="s">
        <v>114</v>
      </c>
      <c r="F908" s="11" t="s">
        <v>169</v>
      </c>
      <c r="G908" s="11" t="n">
        <v>24</v>
      </c>
      <c r="H908" s="12" t="s">
        <v>1088</v>
      </c>
    </row>
    <row r="909" customFormat="false" ht="15" hidden="false" customHeight="false" outlineLevel="0" collapsed="false">
      <c r="A909" s="11" t="s">
        <v>1058</v>
      </c>
      <c r="B909" s="11" t="s">
        <v>23</v>
      </c>
      <c r="C909" s="11" t="n">
        <v>2024</v>
      </c>
      <c r="D909" s="11" t="n">
        <v>7</v>
      </c>
      <c r="E909" s="11" t="s">
        <v>117</v>
      </c>
      <c r="F909" s="11" t="s">
        <v>171</v>
      </c>
      <c r="G909" s="11" t="n">
        <v>16</v>
      </c>
      <c r="H909" s="12" t="s">
        <v>1089</v>
      </c>
    </row>
    <row r="910" customFormat="false" ht="15" hidden="false" customHeight="false" outlineLevel="0" collapsed="false">
      <c r="A910" s="11" t="s">
        <v>1058</v>
      </c>
      <c r="B910" s="11" t="s">
        <v>23</v>
      </c>
      <c r="C910" s="11" t="n">
        <v>2024</v>
      </c>
      <c r="D910" s="11" t="n">
        <v>8</v>
      </c>
      <c r="E910" s="11" t="s">
        <v>120</v>
      </c>
      <c r="F910" s="11" t="s">
        <v>173</v>
      </c>
      <c r="G910" s="11" t="n">
        <v>16</v>
      </c>
      <c r="H910" s="12" t="s">
        <v>1090</v>
      </c>
    </row>
    <row r="911" customFormat="false" ht="15" hidden="false" customHeight="false" outlineLevel="0" collapsed="false">
      <c r="A911" s="11" t="s">
        <v>1058</v>
      </c>
      <c r="B911" s="11" t="s">
        <v>23</v>
      </c>
      <c r="C911" s="11" t="n">
        <v>2024</v>
      </c>
      <c r="D911" s="11" t="n">
        <v>9</v>
      </c>
      <c r="E911" s="11" t="s">
        <v>123</v>
      </c>
      <c r="F911" s="11" t="s">
        <v>175</v>
      </c>
      <c r="G911" s="11" t="n">
        <v>20</v>
      </c>
      <c r="H911" s="12" t="s">
        <v>1091</v>
      </c>
    </row>
    <row r="912" customFormat="false" ht="15" hidden="false" customHeight="false" outlineLevel="0" collapsed="false">
      <c r="A912" s="11" t="s">
        <v>1058</v>
      </c>
      <c r="B912" s="11" t="s">
        <v>23</v>
      </c>
      <c r="C912" s="11" t="n">
        <v>2024</v>
      </c>
      <c r="D912" s="11" t="n">
        <v>10</v>
      </c>
      <c r="E912" s="11" t="s">
        <v>126</v>
      </c>
      <c r="F912" s="11" t="s">
        <v>177</v>
      </c>
      <c r="G912" s="11" t="n">
        <v>24</v>
      </c>
      <c r="H912" s="12" t="s">
        <v>1092</v>
      </c>
    </row>
    <row r="913" customFormat="false" ht="15" hidden="false" customHeight="false" outlineLevel="0" collapsed="false">
      <c r="A913" s="11" t="s">
        <v>1058</v>
      </c>
      <c r="B913" s="11" t="s">
        <v>23</v>
      </c>
      <c r="C913" s="11" t="n">
        <v>2024</v>
      </c>
      <c r="D913" s="11" t="n">
        <v>11</v>
      </c>
      <c r="E913" s="11" t="s">
        <v>129</v>
      </c>
      <c r="F913" s="11" t="s">
        <v>179</v>
      </c>
      <c r="G913" s="11" t="n">
        <v>20</v>
      </c>
      <c r="H913" s="12" t="s">
        <v>1093</v>
      </c>
    </row>
    <row r="914" customFormat="false" ht="15" hidden="false" customHeight="false" outlineLevel="0" collapsed="false">
      <c r="A914" s="11" t="s">
        <v>1058</v>
      </c>
      <c r="B914" s="11" t="s">
        <v>23</v>
      </c>
      <c r="C914" s="11" t="n">
        <v>2024</v>
      </c>
      <c r="D914" s="11" t="n">
        <v>12</v>
      </c>
      <c r="E914" s="11" t="s">
        <v>132</v>
      </c>
      <c r="F914" s="11" t="s">
        <v>181</v>
      </c>
      <c r="G914" s="11" t="n">
        <v>24</v>
      </c>
      <c r="H914" s="12" t="s">
        <v>1094</v>
      </c>
    </row>
    <row r="915" customFormat="false" ht="15" hidden="false" customHeight="false" outlineLevel="0" collapsed="false">
      <c r="A915" s="11" t="s">
        <v>1058</v>
      </c>
      <c r="B915" s="11" t="s">
        <v>23</v>
      </c>
      <c r="C915" s="11" t="n">
        <v>2025</v>
      </c>
      <c r="D915" s="11" t="n">
        <v>1</v>
      </c>
      <c r="E915" s="11" t="s">
        <v>99</v>
      </c>
      <c r="F915" s="11" t="s">
        <v>183</v>
      </c>
      <c r="G915" s="11" t="n">
        <v>20</v>
      </c>
      <c r="H915" s="12" t="s">
        <v>1095</v>
      </c>
    </row>
    <row r="916" customFormat="false" ht="15" hidden="false" customHeight="false" outlineLevel="0" collapsed="false">
      <c r="A916" s="11" t="s">
        <v>1058</v>
      </c>
      <c r="B916" s="11" t="s">
        <v>23</v>
      </c>
      <c r="C916" s="11" t="n">
        <v>2025</v>
      </c>
      <c r="D916" s="11" t="n">
        <v>2</v>
      </c>
      <c r="E916" s="11" t="s">
        <v>102</v>
      </c>
      <c r="F916" s="11" t="s">
        <v>185</v>
      </c>
      <c r="G916" s="11" t="n">
        <v>20</v>
      </c>
      <c r="H916" s="12" t="s">
        <v>1096</v>
      </c>
    </row>
    <row r="917" customFormat="false" ht="15" hidden="false" customHeight="false" outlineLevel="0" collapsed="false">
      <c r="A917" s="11" t="s">
        <v>1058</v>
      </c>
      <c r="B917" s="11" t="s">
        <v>23</v>
      </c>
      <c r="C917" s="11" t="n">
        <v>2025</v>
      </c>
      <c r="D917" s="11" t="n">
        <v>3</v>
      </c>
      <c r="E917" s="11" t="s">
        <v>105</v>
      </c>
      <c r="F917" s="11" t="s">
        <v>187</v>
      </c>
      <c r="G917" s="11" t="n">
        <v>20</v>
      </c>
      <c r="H917" s="12" t="s">
        <v>1097</v>
      </c>
    </row>
    <row r="918" customFormat="false" ht="15" hidden="false" customHeight="false" outlineLevel="0" collapsed="false">
      <c r="A918" s="11" t="s">
        <v>1058</v>
      </c>
      <c r="B918" s="11" t="s">
        <v>23</v>
      </c>
      <c r="C918" s="11" t="n">
        <v>2025</v>
      </c>
      <c r="D918" s="11" t="n">
        <v>4</v>
      </c>
      <c r="E918" s="11" t="s">
        <v>108</v>
      </c>
      <c r="F918" s="11" t="s">
        <v>189</v>
      </c>
      <c r="G918" s="11" t="n">
        <v>24</v>
      </c>
      <c r="H918" s="12" t="s">
        <v>1098</v>
      </c>
    </row>
    <row r="919" customFormat="false" ht="15" hidden="false" customHeight="false" outlineLevel="0" collapsed="false">
      <c r="A919" s="11" t="s">
        <v>1058</v>
      </c>
      <c r="B919" s="11" t="s">
        <v>23</v>
      </c>
      <c r="C919" s="11" t="n">
        <v>2025</v>
      </c>
      <c r="D919" s="11" t="n">
        <v>5</v>
      </c>
      <c r="E919" s="11" t="s">
        <v>111</v>
      </c>
      <c r="F919" s="11" t="s">
        <v>191</v>
      </c>
      <c r="G919" s="11" t="n">
        <v>28</v>
      </c>
      <c r="H919" s="12" t="s">
        <v>1099</v>
      </c>
    </row>
    <row r="920" customFormat="false" ht="15" hidden="false" customHeight="false" outlineLevel="0" collapsed="false">
      <c r="A920" s="11" t="s">
        <v>1058</v>
      </c>
      <c r="B920" s="11" t="s">
        <v>23</v>
      </c>
      <c r="C920" s="11" t="n">
        <v>2025</v>
      </c>
      <c r="D920" s="11" t="n">
        <v>6</v>
      </c>
      <c r="E920" s="11" t="s">
        <v>114</v>
      </c>
      <c r="F920" s="11" t="s">
        <v>193</v>
      </c>
      <c r="G920" s="11" t="n">
        <v>24</v>
      </c>
      <c r="H920" s="12" t="s">
        <v>1100</v>
      </c>
    </row>
    <row r="921" customFormat="false" ht="15" hidden="false" customHeight="false" outlineLevel="0" collapsed="false">
      <c r="A921" s="11" t="s">
        <v>1058</v>
      </c>
      <c r="B921" s="11" t="s">
        <v>23</v>
      </c>
      <c r="C921" s="11" t="n">
        <v>2025</v>
      </c>
      <c r="D921" s="11" t="n">
        <v>7</v>
      </c>
      <c r="E921" s="11" t="s">
        <v>117</v>
      </c>
      <c r="F921" s="11" t="s">
        <v>195</v>
      </c>
      <c r="G921" s="11" t="n">
        <v>20</v>
      </c>
      <c r="H921" s="12" t="s">
        <v>1101</v>
      </c>
    </row>
    <row r="922" customFormat="false" ht="15" hidden="false" customHeight="false" outlineLevel="0" collapsed="false">
      <c r="A922" s="11" t="s">
        <v>1058</v>
      </c>
      <c r="B922" s="11" t="s">
        <v>23</v>
      </c>
      <c r="C922" s="11" t="n">
        <v>2025</v>
      </c>
      <c r="D922" s="11" t="n">
        <v>8</v>
      </c>
      <c r="E922" s="11" t="s">
        <v>120</v>
      </c>
      <c r="F922" s="11" t="s">
        <v>197</v>
      </c>
      <c r="G922" s="11" t="n">
        <v>24</v>
      </c>
      <c r="H922" s="12" t="s">
        <v>1102</v>
      </c>
    </row>
    <row r="923" customFormat="false" ht="15" hidden="false" customHeight="false" outlineLevel="0" collapsed="false">
      <c r="A923" s="11" t="s">
        <v>1058</v>
      </c>
      <c r="B923" s="11" t="s">
        <v>23</v>
      </c>
      <c r="C923" s="11" t="n">
        <v>2025</v>
      </c>
      <c r="D923" s="11" t="n">
        <v>9</v>
      </c>
      <c r="E923" s="11" t="s">
        <v>123</v>
      </c>
      <c r="F923" s="11" t="s">
        <v>199</v>
      </c>
      <c r="G923" s="11" t="n">
        <v>24</v>
      </c>
      <c r="H923" s="12" t="s">
        <v>1103</v>
      </c>
    </row>
    <row r="924" customFormat="false" ht="15" hidden="false" customHeight="false" outlineLevel="0" collapsed="false">
      <c r="A924" s="11" t="s">
        <v>1058</v>
      </c>
      <c r="B924" s="11" t="s">
        <v>23</v>
      </c>
      <c r="C924" s="11" t="n">
        <v>2025</v>
      </c>
      <c r="D924" s="11" t="n">
        <v>10</v>
      </c>
      <c r="E924" s="11" t="s">
        <v>126</v>
      </c>
      <c r="F924" s="11" t="s">
        <v>201</v>
      </c>
      <c r="G924" s="11" t="n">
        <v>24</v>
      </c>
      <c r="H924" s="12" t="s">
        <v>1104</v>
      </c>
    </row>
    <row r="925" customFormat="false" ht="15" hidden="false" customHeight="false" outlineLevel="0" collapsed="false">
      <c r="A925" s="11" t="s">
        <v>1058</v>
      </c>
      <c r="B925" s="11" t="s">
        <v>23</v>
      </c>
      <c r="C925" s="11" t="n">
        <v>2025</v>
      </c>
      <c r="D925" s="11" t="n">
        <v>11</v>
      </c>
      <c r="E925" s="11" t="s">
        <v>129</v>
      </c>
      <c r="F925" s="11" t="s">
        <v>203</v>
      </c>
      <c r="G925" s="11" t="n">
        <v>20</v>
      </c>
      <c r="H925" s="12" t="s">
        <v>1105</v>
      </c>
    </row>
    <row r="926" customFormat="false" ht="15" hidden="false" customHeight="false" outlineLevel="0" collapsed="false">
      <c r="A926" s="11" t="s">
        <v>1058</v>
      </c>
      <c r="B926" s="11" t="s">
        <v>23</v>
      </c>
      <c r="C926" s="11" t="n">
        <v>2025</v>
      </c>
      <c r="D926" s="11" t="n">
        <v>12</v>
      </c>
      <c r="E926" s="11" t="s">
        <v>132</v>
      </c>
      <c r="F926" s="11" t="s">
        <v>205</v>
      </c>
      <c r="G926" s="11" t="n">
        <v>20</v>
      </c>
      <c r="H926" s="12" t="s">
        <v>1106</v>
      </c>
    </row>
    <row r="927" customFormat="false" ht="15" hidden="false" customHeight="false" outlineLevel="0" collapsed="false">
      <c r="A927" s="11" t="s">
        <v>1058</v>
      </c>
      <c r="B927" s="11" t="s">
        <v>23</v>
      </c>
      <c r="C927" s="11" t="n">
        <v>2026</v>
      </c>
      <c r="D927" s="11" t="n">
        <v>1</v>
      </c>
      <c r="E927" s="11" t="s">
        <v>99</v>
      </c>
      <c r="F927" s="11" t="s">
        <v>207</v>
      </c>
      <c r="G927" s="11" t="n">
        <v>20</v>
      </c>
      <c r="H927" s="12" t="s">
        <v>1107</v>
      </c>
    </row>
    <row r="928" customFormat="false" ht="15" hidden="false" customHeight="false" outlineLevel="0" collapsed="false">
      <c r="A928" s="11" t="s">
        <v>1058</v>
      </c>
      <c r="B928" s="11" t="s">
        <v>23</v>
      </c>
      <c r="C928" s="11" t="n">
        <v>2026</v>
      </c>
      <c r="D928" s="11" t="n">
        <v>2</v>
      </c>
      <c r="E928" s="11" t="s">
        <v>102</v>
      </c>
      <c r="F928" s="11" t="s">
        <v>209</v>
      </c>
      <c r="G928" s="11" t="n">
        <v>20</v>
      </c>
      <c r="H928" s="12" t="s">
        <v>1108</v>
      </c>
    </row>
    <row r="929" customFormat="false" ht="15" hidden="false" customHeight="false" outlineLevel="0" collapsed="false">
      <c r="A929" s="11" t="s">
        <v>1058</v>
      </c>
      <c r="B929" s="11" t="s">
        <v>23</v>
      </c>
      <c r="C929" s="11" t="n">
        <v>2026</v>
      </c>
      <c r="D929" s="11" t="n">
        <v>3</v>
      </c>
      <c r="E929" s="11" t="s">
        <v>105</v>
      </c>
      <c r="F929" s="11" t="s">
        <v>211</v>
      </c>
      <c r="G929" s="11" t="n">
        <v>20</v>
      </c>
      <c r="H929" s="12" t="s">
        <v>1109</v>
      </c>
    </row>
    <row r="930" customFormat="false" ht="15" hidden="false" customHeight="false" outlineLevel="0" collapsed="false">
      <c r="A930" s="11" t="s">
        <v>1058</v>
      </c>
      <c r="B930" s="11" t="s">
        <v>23</v>
      </c>
      <c r="C930" s="11" t="n">
        <v>2026</v>
      </c>
      <c r="D930" s="11" t="n">
        <v>4</v>
      </c>
      <c r="E930" s="11" t="s">
        <v>108</v>
      </c>
      <c r="F930" s="11" t="s">
        <v>213</v>
      </c>
      <c r="G930" s="11" t="n">
        <v>24</v>
      </c>
      <c r="H930" s="12" t="s">
        <v>1110</v>
      </c>
    </row>
    <row r="931" customFormat="false" ht="15" hidden="false" customHeight="false" outlineLevel="0" collapsed="false">
      <c r="A931" s="11" t="s">
        <v>1058</v>
      </c>
      <c r="B931" s="11" t="s">
        <v>23</v>
      </c>
      <c r="C931" s="11" t="n">
        <v>2026</v>
      </c>
      <c r="D931" s="11" t="n">
        <v>5</v>
      </c>
      <c r="E931" s="11" t="s">
        <v>111</v>
      </c>
      <c r="F931" s="11" t="s">
        <v>215</v>
      </c>
      <c r="G931" s="11" t="n">
        <v>24</v>
      </c>
      <c r="H931" s="12" t="s">
        <v>1111</v>
      </c>
    </row>
    <row r="932" customFormat="false" ht="15" hidden="false" customHeight="false" outlineLevel="0" collapsed="false">
      <c r="A932" s="11" t="s">
        <v>1112</v>
      </c>
      <c r="B932" s="11" t="s">
        <v>24</v>
      </c>
      <c r="C932" s="11" t="n">
        <v>2022</v>
      </c>
      <c r="D932" s="11" t="n">
        <v>1</v>
      </c>
      <c r="E932" s="11" t="s">
        <v>99</v>
      </c>
      <c r="F932" s="11" t="s">
        <v>100</v>
      </c>
      <c r="G932" s="11" t="n">
        <v>16</v>
      </c>
      <c r="H932" s="12" t="s">
        <v>1113</v>
      </c>
    </row>
    <row r="933" customFormat="false" ht="15" hidden="false" customHeight="false" outlineLevel="0" collapsed="false">
      <c r="A933" s="11" t="s">
        <v>1112</v>
      </c>
      <c r="B933" s="11" t="s">
        <v>24</v>
      </c>
      <c r="C933" s="11" t="n">
        <v>2022</v>
      </c>
      <c r="D933" s="11" t="n">
        <v>2</v>
      </c>
      <c r="E933" s="11" t="s">
        <v>102</v>
      </c>
      <c r="F933" s="11" t="s">
        <v>103</v>
      </c>
      <c r="G933" s="11" t="n">
        <v>16</v>
      </c>
      <c r="H933" s="12" t="s">
        <v>1114</v>
      </c>
    </row>
    <row r="934" customFormat="false" ht="15" hidden="false" customHeight="false" outlineLevel="0" collapsed="false">
      <c r="A934" s="11" t="s">
        <v>1112</v>
      </c>
      <c r="B934" s="11" t="s">
        <v>24</v>
      </c>
      <c r="C934" s="11" t="n">
        <v>2022</v>
      </c>
      <c r="D934" s="11" t="n">
        <v>3</v>
      </c>
      <c r="E934" s="11" t="s">
        <v>105</v>
      </c>
      <c r="F934" s="11" t="s">
        <v>106</v>
      </c>
      <c r="G934" s="11" t="n">
        <v>24</v>
      </c>
      <c r="H934" s="12" t="s">
        <v>1115</v>
      </c>
    </row>
    <row r="935" customFormat="false" ht="15" hidden="false" customHeight="false" outlineLevel="0" collapsed="false">
      <c r="A935" s="11" t="s">
        <v>1112</v>
      </c>
      <c r="B935" s="11" t="s">
        <v>24</v>
      </c>
      <c r="C935" s="11" t="n">
        <v>2022</v>
      </c>
      <c r="D935" s="11" t="n">
        <v>4</v>
      </c>
      <c r="E935" s="11" t="s">
        <v>108</v>
      </c>
      <c r="F935" s="11" t="s">
        <v>109</v>
      </c>
      <c r="G935" s="11" t="n">
        <v>24</v>
      </c>
      <c r="H935" s="12" t="s">
        <v>1116</v>
      </c>
    </row>
    <row r="936" customFormat="false" ht="15" hidden="false" customHeight="false" outlineLevel="0" collapsed="false">
      <c r="A936" s="11" t="s">
        <v>1112</v>
      </c>
      <c r="B936" s="11" t="s">
        <v>24</v>
      </c>
      <c r="C936" s="11" t="n">
        <v>2022</v>
      </c>
      <c r="D936" s="11" t="n">
        <v>5</v>
      </c>
      <c r="E936" s="11" t="s">
        <v>111</v>
      </c>
      <c r="F936" s="11" t="s">
        <v>112</v>
      </c>
      <c r="G936" s="11" t="n">
        <v>24</v>
      </c>
      <c r="H936" s="12" t="s">
        <v>1117</v>
      </c>
    </row>
    <row r="937" customFormat="false" ht="15" hidden="false" customHeight="false" outlineLevel="0" collapsed="false">
      <c r="A937" s="11" t="s">
        <v>1112</v>
      </c>
      <c r="B937" s="11" t="s">
        <v>24</v>
      </c>
      <c r="C937" s="11" t="n">
        <v>2022</v>
      </c>
      <c r="D937" s="11" t="n">
        <v>6</v>
      </c>
      <c r="E937" s="11" t="s">
        <v>114</v>
      </c>
      <c r="F937" s="11" t="s">
        <v>115</v>
      </c>
      <c r="G937" s="11" t="n">
        <v>24</v>
      </c>
      <c r="H937" s="12" t="s">
        <v>1118</v>
      </c>
    </row>
    <row r="938" customFormat="false" ht="15" hidden="false" customHeight="false" outlineLevel="0" collapsed="false">
      <c r="A938" s="11" t="s">
        <v>1112</v>
      </c>
      <c r="B938" s="11" t="s">
        <v>24</v>
      </c>
      <c r="C938" s="11" t="n">
        <v>2022</v>
      </c>
      <c r="D938" s="11" t="n">
        <v>7</v>
      </c>
      <c r="E938" s="11" t="s">
        <v>117</v>
      </c>
      <c r="F938" s="11" t="s">
        <v>118</v>
      </c>
      <c r="G938" s="11" t="n">
        <v>20</v>
      </c>
      <c r="H938" s="12" t="s">
        <v>1119</v>
      </c>
    </row>
    <row r="939" customFormat="false" ht="15" hidden="false" customHeight="false" outlineLevel="0" collapsed="false">
      <c r="A939" s="11" t="s">
        <v>1112</v>
      </c>
      <c r="B939" s="11" t="s">
        <v>24</v>
      </c>
      <c r="C939" s="11" t="n">
        <v>2022</v>
      </c>
      <c r="D939" s="11" t="n">
        <v>8</v>
      </c>
      <c r="E939" s="11" t="s">
        <v>120</v>
      </c>
      <c r="F939" s="11" t="s">
        <v>121</v>
      </c>
      <c r="G939" s="11" t="n">
        <v>20</v>
      </c>
      <c r="H939" s="12" t="s">
        <v>1120</v>
      </c>
    </row>
    <row r="940" customFormat="false" ht="15" hidden="false" customHeight="false" outlineLevel="0" collapsed="false">
      <c r="A940" s="11" t="s">
        <v>1112</v>
      </c>
      <c r="B940" s="11" t="s">
        <v>24</v>
      </c>
      <c r="C940" s="11" t="n">
        <v>2022</v>
      </c>
      <c r="D940" s="11" t="n">
        <v>9</v>
      </c>
      <c r="E940" s="11" t="s">
        <v>123</v>
      </c>
      <c r="F940" s="11" t="s">
        <v>124</v>
      </c>
      <c r="G940" s="11" t="n">
        <v>24</v>
      </c>
      <c r="H940" s="12" t="s">
        <v>1121</v>
      </c>
    </row>
    <row r="941" customFormat="false" ht="15" hidden="false" customHeight="false" outlineLevel="0" collapsed="false">
      <c r="A941" s="11" t="s">
        <v>1112</v>
      </c>
      <c r="B941" s="11" t="s">
        <v>24</v>
      </c>
      <c r="C941" s="11" t="n">
        <v>2022</v>
      </c>
      <c r="D941" s="11" t="n">
        <v>10</v>
      </c>
      <c r="E941" s="11" t="s">
        <v>126</v>
      </c>
      <c r="F941" s="11" t="s">
        <v>127</v>
      </c>
      <c r="G941" s="11" t="n">
        <v>24</v>
      </c>
      <c r="H941" s="12" t="s">
        <v>1122</v>
      </c>
    </row>
    <row r="942" customFormat="false" ht="15" hidden="false" customHeight="false" outlineLevel="0" collapsed="false">
      <c r="A942" s="11" t="s">
        <v>1112</v>
      </c>
      <c r="B942" s="11" t="s">
        <v>24</v>
      </c>
      <c r="C942" s="11" t="n">
        <v>2022</v>
      </c>
      <c r="D942" s="11" t="n">
        <v>11</v>
      </c>
      <c r="E942" s="11" t="s">
        <v>129</v>
      </c>
      <c r="F942" s="11" t="s">
        <v>130</v>
      </c>
      <c r="G942" s="11" t="n">
        <v>24</v>
      </c>
      <c r="H942" s="12" t="s">
        <v>1123</v>
      </c>
    </row>
    <row r="943" customFormat="false" ht="15" hidden="false" customHeight="false" outlineLevel="0" collapsed="false">
      <c r="A943" s="11" t="s">
        <v>1112</v>
      </c>
      <c r="B943" s="11" t="s">
        <v>24</v>
      </c>
      <c r="C943" s="11" t="n">
        <v>2022</v>
      </c>
      <c r="D943" s="11" t="n">
        <v>12</v>
      </c>
      <c r="E943" s="11" t="s">
        <v>132</v>
      </c>
      <c r="F943" s="11" t="s">
        <v>133</v>
      </c>
      <c r="G943" s="11" t="n">
        <v>24</v>
      </c>
      <c r="H943" s="12" t="s">
        <v>1124</v>
      </c>
    </row>
    <row r="944" customFormat="false" ht="15" hidden="false" customHeight="false" outlineLevel="0" collapsed="false">
      <c r="A944" s="11" t="s">
        <v>1112</v>
      </c>
      <c r="B944" s="11" t="s">
        <v>24</v>
      </c>
      <c r="C944" s="11" t="n">
        <v>2023</v>
      </c>
      <c r="D944" s="11" t="n">
        <v>1</v>
      </c>
      <c r="E944" s="11" t="s">
        <v>99</v>
      </c>
      <c r="F944" s="11" t="s">
        <v>135</v>
      </c>
      <c r="G944" s="11" t="n">
        <v>20</v>
      </c>
      <c r="H944" s="12" t="s">
        <v>1125</v>
      </c>
    </row>
    <row r="945" customFormat="false" ht="15" hidden="false" customHeight="false" outlineLevel="0" collapsed="false">
      <c r="A945" s="11" t="s">
        <v>1112</v>
      </c>
      <c r="B945" s="11" t="s">
        <v>24</v>
      </c>
      <c r="C945" s="11" t="n">
        <v>2023</v>
      </c>
      <c r="D945" s="11" t="n">
        <v>2</v>
      </c>
      <c r="E945" s="11" t="s">
        <v>102</v>
      </c>
      <c r="F945" s="11" t="s">
        <v>137</v>
      </c>
      <c r="G945" s="11" t="n">
        <v>20</v>
      </c>
      <c r="H945" s="12" t="s">
        <v>1126</v>
      </c>
    </row>
    <row r="946" customFormat="false" ht="15" hidden="false" customHeight="false" outlineLevel="0" collapsed="false">
      <c r="A946" s="11" t="s">
        <v>1112</v>
      </c>
      <c r="B946" s="11" t="s">
        <v>24</v>
      </c>
      <c r="C946" s="11" t="n">
        <v>2023</v>
      </c>
      <c r="D946" s="11" t="n">
        <v>3</v>
      </c>
      <c r="E946" s="11" t="s">
        <v>105</v>
      </c>
      <c r="F946" s="11" t="s">
        <v>139</v>
      </c>
      <c r="G946" s="11" t="n">
        <v>20</v>
      </c>
      <c r="H946" s="12" t="s">
        <v>1127</v>
      </c>
    </row>
    <row r="947" customFormat="false" ht="15" hidden="false" customHeight="false" outlineLevel="0" collapsed="false">
      <c r="A947" s="11" t="s">
        <v>1112</v>
      </c>
      <c r="B947" s="11" t="s">
        <v>24</v>
      </c>
      <c r="C947" s="11" t="n">
        <v>2023</v>
      </c>
      <c r="D947" s="11" t="n">
        <v>4</v>
      </c>
      <c r="E947" s="11" t="s">
        <v>108</v>
      </c>
      <c r="F947" s="11" t="s">
        <v>141</v>
      </c>
      <c r="G947" s="11" t="n">
        <v>20</v>
      </c>
      <c r="H947" s="12" t="s">
        <v>1128</v>
      </c>
    </row>
    <row r="948" customFormat="false" ht="15" hidden="false" customHeight="false" outlineLevel="0" collapsed="false">
      <c r="A948" s="11" t="s">
        <v>1112</v>
      </c>
      <c r="B948" s="11" t="s">
        <v>24</v>
      </c>
      <c r="C948" s="11" t="n">
        <v>2023</v>
      </c>
      <c r="D948" s="11" t="n">
        <v>5</v>
      </c>
      <c r="E948" s="11" t="s">
        <v>111</v>
      </c>
      <c r="F948" s="11" t="s">
        <v>143</v>
      </c>
      <c r="G948" s="11" t="n">
        <v>24</v>
      </c>
      <c r="H948" s="12" t="s">
        <v>1129</v>
      </c>
    </row>
    <row r="949" customFormat="false" ht="15" hidden="false" customHeight="false" outlineLevel="0" collapsed="false">
      <c r="A949" s="11" t="s">
        <v>1112</v>
      </c>
      <c r="B949" s="11" t="s">
        <v>24</v>
      </c>
      <c r="C949" s="11" t="n">
        <v>2023</v>
      </c>
      <c r="D949" s="11" t="n">
        <v>6</v>
      </c>
      <c r="E949" s="11" t="s">
        <v>114</v>
      </c>
      <c r="F949" s="11" t="s">
        <v>145</v>
      </c>
      <c r="G949" s="11" t="n">
        <v>24</v>
      </c>
      <c r="H949" s="12" t="s">
        <v>1130</v>
      </c>
    </row>
    <row r="950" customFormat="false" ht="15" hidden="false" customHeight="false" outlineLevel="0" collapsed="false">
      <c r="A950" s="11" t="s">
        <v>1112</v>
      </c>
      <c r="B950" s="11" t="s">
        <v>24</v>
      </c>
      <c r="C950" s="11" t="n">
        <v>2023</v>
      </c>
      <c r="D950" s="11" t="n">
        <v>7</v>
      </c>
      <c r="E950" s="11" t="s">
        <v>117</v>
      </c>
      <c r="F950" s="11" t="s">
        <v>147</v>
      </c>
      <c r="G950" s="11" t="n">
        <v>28</v>
      </c>
      <c r="H950" s="12" t="s">
        <v>1131</v>
      </c>
    </row>
    <row r="951" customFormat="false" ht="15" hidden="false" customHeight="false" outlineLevel="0" collapsed="false">
      <c r="A951" s="11" t="s">
        <v>1112</v>
      </c>
      <c r="B951" s="11" t="s">
        <v>24</v>
      </c>
      <c r="C951" s="11" t="n">
        <v>2023</v>
      </c>
      <c r="D951" s="11" t="n">
        <v>8</v>
      </c>
      <c r="E951" s="11" t="s">
        <v>120</v>
      </c>
      <c r="F951" s="11" t="s">
        <v>149</v>
      </c>
      <c r="G951" s="11" t="n">
        <v>24</v>
      </c>
      <c r="H951" s="12" t="s">
        <v>1132</v>
      </c>
    </row>
    <row r="952" customFormat="false" ht="15" hidden="false" customHeight="false" outlineLevel="0" collapsed="false">
      <c r="A952" s="11" t="s">
        <v>1112</v>
      </c>
      <c r="B952" s="11" t="s">
        <v>24</v>
      </c>
      <c r="C952" s="11" t="n">
        <v>2023</v>
      </c>
      <c r="D952" s="11" t="n">
        <v>9</v>
      </c>
      <c r="E952" s="11" t="s">
        <v>123</v>
      </c>
      <c r="F952" s="11" t="s">
        <v>151</v>
      </c>
      <c r="G952" s="11" t="n">
        <v>24</v>
      </c>
      <c r="H952" s="12" t="s">
        <v>1133</v>
      </c>
    </row>
    <row r="953" customFormat="false" ht="15" hidden="false" customHeight="false" outlineLevel="0" collapsed="false">
      <c r="A953" s="11" t="s">
        <v>1112</v>
      </c>
      <c r="B953" s="11" t="s">
        <v>24</v>
      </c>
      <c r="C953" s="11" t="n">
        <v>2023</v>
      </c>
      <c r="D953" s="11" t="n">
        <v>10</v>
      </c>
      <c r="E953" s="11" t="s">
        <v>126</v>
      </c>
      <c r="F953" s="11" t="s">
        <v>153</v>
      </c>
      <c r="G953" s="11" t="n">
        <v>24</v>
      </c>
      <c r="H953" s="12" t="s">
        <v>1134</v>
      </c>
    </row>
    <row r="954" customFormat="false" ht="15" hidden="false" customHeight="false" outlineLevel="0" collapsed="false">
      <c r="A954" s="11" t="s">
        <v>1112</v>
      </c>
      <c r="B954" s="11" t="s">
        <v>24</v>
      </c>
      <c r="C954" s="11" t="n">
        <v>2023</v>
      </c>
      <c r="D954" s="11" t="n">
        <v>11</v>
      </c>
      <c r="E954" s="11" t="s">
        <v>129</v>
      </c>
      <c r="F954" s="11" t="s">
        <v>155</v>
      </c>
      <c r="G954" s="11" t="n">
        <v>28</v>
      </c>
      <c r="H954" s="12" t="s">
        <v>1135</v>
      </c>
    </row>
    <row r="955" customFormat="false" ht="15" hidden="false" customHeight="false" outlineLevel="0" collapsed="false">
      <c r="A955" s="11" t="s">
        <v>1112</v>
      </c>
      <c r="B955" s="11" t="s">
        <v>24</v>
      </c>
      <c r="C955" s="11" t="n">
        <v>2023</v>
      </c>
      <c r="D955" s="11" t="n">
        <v>12</v>
      </c>
      <c r="E955" s="11" t="s">
        <v>132</v>
      </c>
      <c r="F955" s="11" t="s">
        <v>157</v>
      </c>
      <c r="G955" s="11" t="n">
        <v>24</v>
      </c>
      <c r="H955" s="12" t="s">
        <v>1136</v>
      </c>
    </row>
    <row r="956" customFormat="false" ht="15" hidden="false" customHeight="false" outlineLevel="0" collapsed="false">
      <c r="A956" s="11" t="s">
        <v>1112</v>
      </c>
      <c r="B956" s="11" t="s">
        <v>24</v>
      </c>
      <c r="C956" s="11" t="n">
        <v>2024</v>
      </c>
      <c r="D956" s="11" t="n">
        <v>1</v>
      </c>
      <c r="E956" s="11" t="s">
        <v>99</v>
      </c>
      <c r="F956" s="11" t="s">
        <v>159</v>
      </c>
      <c r="G956" s="11" t="n">
        <v>16</v>
      </c>
      <c r="H956" s="12" t="s">
        <v>1137</v>
      </c>
    </row>
    <row r="957" customFormat="false" ht="15" hidden="false" customHeight="false" outlineLevel="0" collapsed="false">
      <c r="A957" s="11" t="s">
        <v>1112</v>
      </c>
      <c r="B957" s="11" t="s">
        <v>24</v>
      </c>
      <c r="C957" s="11" t="n">
        <v>2024</v>
      </c>
      <c r="D957" s="11" t="n">
        <v>2</v>
      </c>
      <c r="E957" s="11" t="s">
        <v>102</v>
      </c>
      <c r="F957" s="11" t="s">
        <v>161</v>
      </c>
      <c r="G957" s="11" t="n">
        <v>16</v>
      </c>
      <c r="H957" s="12" t="s">
        <v>1138</v>
      </c>
    </row>
    <row r="958" customFormat="false" ht="15" hidden="false" customHeight="false" outlineLevel="0" collapsed="false">
      <c r="A958" s="11" t="s">
        <v>1112</v>
      </c>
      <c r="B958" s="11" t="s">
        <v>24</v>
      </c>
      <c r="C958" s="11" t="n">
        <v>2024</v>
      </c>
      <c r="D958" s="11" t="n">
        <v>3</v>
      </c>
      <c r="E958" s="11" t="s">
        <v>105</v>
      </c>
      <c r="F958" s="11" t="s">
        <v>163</v>
      </c>
      <c r="G958" s="11" t="n">
        <v>20</v>
      </c>
      <c r="H958" s="12" t="s">
        <v>1139</v>
      </c>
    </row>
    <row r="959" customFormat="false" ht="15" hidden="false" customHeight="false" outlineLevel="0" collapsed="false">
      <c r="A959" s="11" t="s">
        <v>1112</v>
      </c>
      <c r="B959" s="11" t="s">
        <v>24</v>
      </c>
      <c r="C959" s="11" t="n">
        <v>2024</v>
      </c>
      <c r="D959" s="11" t="n">
        <v>4</v>
      </c>
      <c r="E959" s="11" t="s">
        <v>108</v>
      </c>
      <c r="F959" s="11" t="s">
        <v>165</v>
      </c>
      <c r="G959" s="11" t="n">
        <v>24</v>
      </c>
      <c r="H959" s="12" t="s">
        <v>1140</v>
      </c>
    </row>
    <row r="960" customFormat="false" ht="15" hidden="false" customHeight="false" outlineLevel="0" collapsed="false">
      <c r="A960" s="11" t="s">
        <v>1112</v>
      </c>
      <c r="B960" s="11" t="s">
        <v>24</v>
      </c>
      <c r="C960" s="11" t="n">
        <v>2024</v>
      </c>
      <c r="D960" s="11" t="n">
        <v>5</v>
      </c>
      <c r="E960" s="11" t="s">
        <v>111</v>
      </c>
      <c r="F960" s="11" t="s">
        <v>167</v>
      </c>
      <c r="G960" s="11" t="n">
        <v>28</v>
      </c>
      <c r="H960" s="12" t="s">
        <v>1141</v>
      </c>
    </row>
    <row r="961" customFormat="false" ht="15" hidden="false" customHeight="false" outlineLevel="0" collapsed="false">
      <c r="A961" s="11" t="s">
        <v>1112</v>
      </c>
      <c r="B961" s="11" t="s">
        <v>24</v>
      </c>
      <c r="C961" s="11" t="n">
        <v>2024</v>
      </c>
      <c r="D961" s="11" t="n">
        <v>6</v>
      </c>
      <c r="E961" s="11" t="s">
        <v>114</v>
      </c>
      <c r="F961" s="11" t="s">
        <v>169</v>
      </c>
      <c r="G961" s="11" t="n">
        <v>20</v>
      </c>
      <c r="H961" s="12" t="s">
        <v>1142</v>
      </c>
    </row>
    <row r="962" customFormat="false" ht="15" hidden="false" customHeight="false" outlineLevel="0" collapsed="false">
      <c r="A962" s="11" t="s">
        <v>1112</v>
      </c>
      <c r="B962" s="11" t="s">
        <v>24</v>
      </c>
      <c r="C962" s="11" t="n">
        <v>2024</v>
      </c>
      <c r="D962" s="11" t="n">
        <v>7</v>
      </c>
      <c r="E962" s="11" t="s">
        <v>117</v>
      </c>
      <c r="F962" s="11" t="s">
        <v>171</v>
      </c>
      <c r="G962" s="11" t="n">
        <v>20</v>
      </c>
      <c r="H962" s="12" t="s">
        <v>1143</v>
      </c>
    </row>
    <row r="963" customFormat="false" ht="15" hidden="false" customHeight="false" outlineLevel="0" collapsed="false">
      <c r="A963" s="11" t="s">
        <v>1112</v>
      </c>
      <c r="B963" s="11" t="s">
        <v>24</v>
      </c>
      <c r="C963" s="11" t="n">
        <v>2024</v>
      </c>
      <c r="D963" s="11" t="n">
        <v>8</v>
      </c>
      <c r="E963" s="11" t="s">
        <v>120</v>
      </c>
      <c r="F963" s="11" t="s">
        <v>173</v>
      </c>
      <c r="G963" s="11" t="n">
        <v>20</v>
      </c>
      <c r="H963" s="12" t="s">
        <v>1144</v>
      </c>
    </row>
    <row r="964" customFormat="false" ht="15" hidden="false" customHeight="false" outlineLevel="0" collapsed="false">
      <c r="A964" s="11" t="s">
        <v>1112</v>
      </c>
      <c r="B964" s="11" t="s">
        <v>24</v>
      </c>
      <c r="C964" s="11" t="n">
        <v>2024</v>
      </c>
      <c r="D964" s="11" t="n">
        <v>9</v>
      </c>
      <c r="E964" s="11" t="s">
        <v>123</v>
      </c>
      <c r="F964" s="11" t="s">
        <v>175</v>
      </c>
      <c r="G964" s="11" t="n">
        <v>20</v>
      </c>
      <c r="H964" s="12" t="s">
        <v>1145</v>
      </c>
    </row>
    <row r="965" customFormat="false" ht="15" hidden="false" customHeight="false" outlineLevel="0" collapsed="false">
      <c r="A965" s="11" t="s">
        <v>1112</v>
      </c>
      <c r="B965" s="11" t="s">
        <v>24</v>
      </c>
      <c r="C965" s="11" t="n">
        <v>2024</v>
      </c>
      <c r="D965" s="11" t="n">
        <v>10</v>
      </c>
      <c r="E965" s="11" t="s">
        <v>126</v>
      </c>
      <c r="F965" s="11" t="s">
        <v>177</v>
      </c>
      <c r="G965" s="11" t="n">
        <v>20</v>
      </c>
      <c r="H965" s="12" t="s">
        <v>1146</v>
      </c>
    </row>
    <row r="966" customFormat="false" ht="15" hidden="false" customHeight="false" outlineLevel="0" collapsed="false">
      <c r="A966" s="11" t="s">
        <v>1112</v>
      </c>
      <c r="B966" s="11" t="s">
        <v>24</v>
      </c>
      <c r="C966" s="11" t="n">
        <v>2024</v>
      </c>
      <c r="D966" s="11" t="n">
        <v>11</v>
      </c>
      <c r="E966" s="11" t="s">
        <v>129</v>
      </c>
      <c r="F966" s="11" t="s">
        <v>179</v>
      </c>
      <c r="G966" s="11" t="n">
        <v>20</v>
      </c>
      <c r="H966" s="12" t="s">
        <v>1147</v>
      </c>
    </row>
    <row r="967" customFormat="false" ht="15" hidden="false" customHeight="false" outlineLevel="0" collapsed="false">
      <c r="A967" s="11" t="s">
        <v>1112</v>
      </c>
      <c r="B967" s="11" t="s">
        <v>24</v>
      </c>
      <c r="C967" s="11" t="n">
        <v>2024</v>
      </c>
      <c r="D967" s="11" t="n">
        <v>12</v>
      </c>
      <c r="E967" s="11" t="s">
        <v>132</v>
      </c>
      <c r="F967" s="11" t="s">
        <v>181</v>
      </c>
      <c r="G967" s="11" t="n">
        <v>16</v>
      </c>
      <c r="H967" s="12" t="s">
        <v>1148</v>
      </c>
    </row>
    <row r="968" customFormat="false" ht="15" hidden="false" customHeight="false" outlineLevel="0" collapsed="false">
      <c r="A968" s="11" t="s">
        <v>1112</v>
      </c>
      <c r="B968" s="11" t="s">
        <v>24</v>
      </c>
      <c r="C968" s="11" t="n">
        <v>2025</v>
      </c>
      <c r="D968" s="11" t="n">
        <v>1</v>
      </c>
      <c r="E968" s="11" t="s">
        <v>99</v>
      </c>
      <c r="F968" s="11" t="s">
        <v>183</v>
      </c>
      <c r="G968" s="11" t="n">
        <v>16</v>
      </c>
      <c r="H968" s="12" t="s">
        <v>1149</v>
      </c>
    </row>
    <row r="969" customFormat="false" ht="15" hidden="false" customHeight="false" outlineLevel="0" collapsed="false">
      <c r="A969" s="11" t="s">
        <v>1112</v>
      </c>
      <c r="B969" s="11" t="s">
        <v>24</v>
      </c>
      <c r="C969" s="11" t="n">
        <v>2025</v>
      </c>
      <c r="D969" s="11" t="n">
        <v>2</v>
      </c>
      <c r="E969" s="11" t="s">
        <v>102</v>
      </c>
      <c r="F969" s="11" t="s">
        <v>185</v>
      </c>
      <c r="G969" s="11" t="n">
        <v>16</v>
      </c>
      <c r="H969" s="12" t="s">
        <v>1150</v>
      </c>
    </row>
    <row r="970" customFormat="false" ht="15" hidden="false" customHeight="false" outlineLevel="0" collapsed="false">
      <c r="A970" s="11" t="s">
        <v>1112</v>
      </c>
      <c r="B970" s="11" t="s">
        <v>24</v>
      </c>
      <c r="C970" s="11" t="n">
        <v>2025</v>
      </c>
      <c r="D970" s="11" t="n">
        <v>3</v>
      </c>
      <c r="E970" s="11" t="s">
        <v>105</v>
      </c>
      <c r="F970" s="11" t="s">
        <v>187</v>
      </c>
      <c r="G970" s="11" t="n">
        <v>16</v>
      </c>
      <c r="H970" s="12" t="s">
        <v>1151</v>
      </c>
    </row>
    <row r="971" customFormat="false" ht="15" hidden="false" customHeight="false" outlineLevel="0" collapsed="false">
      <c r="A971" s="11" t="s">
        <v>1112</v>
      </c>
      <c r="B971" s="11" t="s">
        <v>24</v>
      </c>
      <c r="C971" s="11" t="n">
        <v>2025</v>
      </c>
      <c r="D971" s="11" t="n">
        <v>4</v>
      </c>
      <c r="E971" s="11" t="s">
        <v>108</v>
      </c>
      <c r="F971" s="11" t="s">
        <v>189</v>
      </c>
      <c r="G971" s="11" t="n">
        <v>20</v>
      </c>
      <c r="H971" s="12" t="s">
        <v>1152</v>
      </c>
    </row>
    <row r="972" customFormat="false" ht="15" hidden="false" customHeight="false" outlineLevel="0" collapsed="false">
      <c r="A972" s="11" t="s">
        <v>1112</v>
      </c>
      <c r="B972" s="11" t="s">
        <v>24</v>
      </c>
      <c r="C972" s="11" t="n">
        <v>2025</v>
      </c>
      <c r="D972" s="11" t="n">
        <v>5</v>
      </c>
      <c r="E972" s="11" t="s">
        <v>111</v>
      </c>
      <c r="F972" s="11" t="s">
        <v>191</v>
      </c>
      <c r="G972" s="11" t="n">
        <v>20</v>
      </c>
      <c r="H972" s="12" t="s">
        <v>1153</v>
      </c>
    </row>
    <row r="973" customFormat="false" ht="15" hidden="false" customHeight="false" outlineLevel="0" collapsed="false">
      <c r="A973" s="11" t="s">
        <v>1112</v>
      </c>
      <c r="B973" s="11" t="s">
        <v>24</v>
      </c>
      <c r="C973" s="11" t="n">
        <v>2025</v>
      </c>
      <c r="D973" s="11" t="n">
        <v>6</v>
      </c>
      <c r="E973" s="11" t="s">
        <v>114</v>
      </c>
      <c r="F973" s="11" t="s">
        <v>193</v>
      </c>
      <c r="G973" s="11" t="n">
        <v>16</v>
      </c>
      <c r="H973" s="12" t="s">
        <v>1154</v>
      </c>
    </row>
    <row r="974" customFormat="false" ht="15" hidden="false" customHeight="false" outlineLevel="0" collapsed="false">
      <c r="A974" s="11" t="s">
        <v>1112</v>
      </c>
      <c r="B974" s="11" t="s">
        <v>24</v>
      </c>
      <c r="C974" s="11" t="n">
        <v>2025</v>
      </c>
      <c r="D974" s="11" t="n">
        <v>7</v>
      </c>
      <c r="E974" s="11" t="s">
        <v>117</v>
      </c>
      <c r="F974" s="11" t="s">
        <v>195</v>
      </c>
      <c r="G974" s="11" t="n">
        <v>16</v>
      </c>
      <c r="H974" s="12" t="s">
        <v>1155</v>
      </c>
    </row>
    <row r="975" customFormat="false" ht="15" hidden="false" customHeight="false" outlineLevel="0" collapsed="false">
      <c r="A975" s="11" t="s">
        <v>1112</v>
      </c>
      <c r="B975" s="11" t="s">
        <v>24</v>
      </c>
      <c r="C975" s="11" t="n">
        <v>2025</v>
      </c>
      <c r="D975" s="11" t="n">
        <v>8</v>
      </c>
      <c r="E975" s="11" t="s">
        <v>120</v>
      </c>
      <c r="F975" s="11" t="s">
        <v>197</v>
      </c>
      <c r="G975" s="11" t="n">
        <v>20</v>
      </c>
      <c r="H975" s="12" t="s">
        <v>1156</v>
      </c>
    </row>
    <row r="976" customFormat="false" ht="15" hidden="false" customHeight="false" outlineLevel="0" collapsed="false">
      <c r="A976" s="11" t="s">
        <v>1112</v>
      </c>
      <c r="B976" s="11" t="s">
        <v>24</v>
      </c>
      <c r="C976" s="11" t="n">
        <v>2025</v>
      </c>
      <c r="D976" s="11" t="n">
        <v>9</v>
      </c>
      <c r="E976" s="11" t="s">
        <v>123</v>
      </c>
      <c r="F976" s="11" t="s">
        <v>199</v>
      </c>
      <c r="G976" s="11" t="n">
        <v>20</v>
      </c>
      <c r="H976" s="12" t="s">
        <v>1157</v>
      </c>
    </row>
    <row r="977" customFormat="false" ht="15" hidden="false" customHeight="false" outlineLevel="0" collapsed="false">
      <c r="A977" s="11" t="s">
        <v>1112</v>
      </c>
      <c r="B977" s="11" t="s">
        <v>24</v>
      </c>
      <c r="C977" s="11" t="n">
        <v>2025</v>
      </c>
      <c r="D977" s="11" t="n">
        <v>10</v>
      </c>
      <c r="E977" s="11" t="s">
        <v>126</v>
      </c>
      <c r="F977" s="11" t="s">
        <v>201</v>
      </c>
      <c r="G977" s="11" t="n">
        <v>20</v>
      </c>
      <c r="H977" s="12" t="s">
        <v>1158</v>
      </c>
    </row>
    <row r="978" customFormat="false" ht="15" hidden="false" customHeight="false" outlineLevel="0" collapsed="false">
      <c r="A978" s="11" t="s">
        <v>1112</v>
      </c>
      <c r="B978" s="11" t="s">
        <v>24</v>
      </c>
      <c r="C978" s="11" t="n">
        <v>2025</v>
      </c>
      <c r="D978" s="11" t="n">
        <v>11</v>
      </c>
      <c r="E978" s="11" t="s">
        <v>129</v>
      </c>
      <c r="F978" s="11" t="s">
        <v>203</v>
      </c>
      <c r="G978" s="11" t="n">
        <v>34</v>
      </c>
      <c r="H978" s="12" t="s">
        <v>1159</v>
      </c>
    </row>
    <row r="979" customFormat="false" ht="15" hidden="false" customHeight="false" outlineLevel="0" collapsed="false">
      <c r="A979" s="11" t="s">
        <v>1112</v>
      </c>
      <c r="B979" s="11" t="s">
        <v>24</v>
      </c>
      <c r="C979" s="11" t="n">
        <v>2025</v>
      </c>
      <c r="D979" s="11" t="n">
        <v>12</v>
      </c>
      <c r="E979" s="11" t="s">
        <v>132</v>
      </c>
      <c r="F979" s="11" t="s">
        <v>205</v>
      </c>
      <c r="G979" s="11" t="n">
        <v>16</v>
      </c>
      <c r="H979" s="12" t="s">
        <v>1160</v>
      </c>
    </row>
    <row r="980" customFormat="false" ht="15" hidden="false" customHeight="false" outlineLevel="0" collapsed="false">
      <c r="A980" s="11" t="s">
        <v>1112</v>
      </c>
      <c r="B980" s="11" t="s">
        <v>24</v>
      </c>
      <c r="C980" s="11" t="n">
        <v>2026</v>
      </c>
      <c r="D980" s="11" t="n">
        <v>1</v>
      </c>
      <c r="E980" s="11" t="s">
        <v>99</v>
      </c>
      <c r="F980" s="11" t="s">
        <v>207</v>
      </c>
      <c r="G980" s="11" t="n">
        <v>16</v>
      </c>
      <c r="H980" s="12" t="s">
        <v>1161</v>
      </c>
    </row>
    <row r="981" customFormat="false" ht="15" hidden="false" customHeight="false" outlineLevel="0" collapsed="false">
      <c r="A981" s="11" t="s">
        <v>1112</v>
      </c>
      <c r="B981" s="11" t="s">
        <v>24</v>
      </c>
      <c r="C981" s="11" t="n">
        <v>2026</v>
      </c>
      <c r="D981" s="11" t="n">
        <v>2</v>
      </c>
      <c r="E981" s="11" t="s">
        <v>102</v>
      </c>
      <c r="F981" s="11" t="s">
        <v>209</v>
      </c>
      <c r="G981" s="11" t="n">
        <v>16</v>
      </c>
      <c r="H981" s="12" t="s">
        <v>1162</v>
      </c>
    </row>
    <row r="982" customFormat="false" ht="15" hidden="false" customHeight="false" outlineLevel="0" collapsed="false">
      <c r="A982" s="11" t="s">
        <v>1112</v>
      </c>
      <c r="B982" s="11" t="s">
        <v>24</v>
      </c>
      <c r="C982" s="11" t="n">
        <v>2026</v>
      </c>
      <c r="D982" s="11" t="n">
        <v>3</v>
      </c>
      <c r="E982" s="11" t="s">
        <v>105</v>
      </c>
      <c r="F982" s="11" t="s">
        <v>211</v>
      </c>
      <c r="G982" s="11" t="n">
        <v>16</v>
      </c>
      <c r="H982" s="12" t="s">
        <v>1163</v>
      </c>
    </row>
    <row r="983" customFormat="false" ht="15" hidden="false" customHeight="false" outlineLevel="0" collapsed="false">
      <c r="A983" s="11" t="s">
        <v>1112</v>
      </c>
      <c r="B983" s="11" t="s">
        <v>24</v>
      </c>
      <c r="C983" s="11" t="n">
        <v>2026</v>
      </c>
      <c r="D983" s="11" t="n">
        <v>4</v>
      </c>
      <c r="E983" s="11" t="s">
        <v>108</v>
      </c>
      <c r="F983" s="11" t="s">
        <v>213</v>
      </c>
      <c r="G983" s="11" t="n">
        <v>20</v>
      </c>
      <c r="H983" s="12" t="s">
        <v>1164</v>
      </c>
    </row>
    <row r="984" customFormat="false" ht="15" hidden="false" customHeight="false" outlineLevel="0" collapsed="false">
      <c r="A984" s="11" t="s">
        <v>1112</v>
      </c>
      <c r="B984" s="11" t="s">
        <v>24</v>
      </c>
      <c r="C984" s="11" t="n">
        <v>2026</v>
      </c>
      <c r="D984" s="11" t="n">
        <v>5</v>
      </c>
      <c r="E984" s="11" t="s">
        <v>111</v>
      </c>
      <c r="F984" s="11" t="s">
        <v>215</v>
      </c>
      <c r="G984" s="11" t="n">
        <v>12</v>
      </c>
      <c r="H984" s="12" t="s">
        <v>1165</v>
      </c>
    </row>
    <row r="985" customFormat="false" ht="15" hidden="false" customHeight="false" outlineLevel="0" collapsed="false">
      <c r="A985" s="11" t="s">
        <v>1166</v>
      </c>
      <c r="B985" s="11" t="s">
        <v>26</v>
      </c>
      <c r="C985" s="11" t="n">
        <v>2024</v>
      </c>
      <c r="D985" s="11" t="n">
        <v>12</v>
      </c>
      <c r="E985" s="11" t="s">
        <v>132</v>
      </c>
      <c r="F985" s="11" t="s">
        <v>181</v>
      </c>
      <c r="G985" s="11" t="n">
        <v>16</v>
      </c>
      <c r="H985" s="12" t="s">
        <v>1167</v>
      </c>
    </row>
    <row r="986" customFormat="false" ht="15" hidden="false" customHeight="false" outlineLevel="0" collapsed="false">
      <c r="A986" s="11" t="s">
        <v>1166</v>
      </c>
      <c r="B986" s="11" t="s">
        <v>26</v>
      </c>
      <c r="C986" s="11" t="n">
        <v>2025</v>
      </c>
      <c r="D986" s="11" t="n">
        <v>1</v>
      </c>
      <c r="E986" s="11" t="s">
        <v>99</v>
      </c>
      <c r="F986" s="11" t="s">
        <v>183</v>
      </c>
      <c r="G986" s="11" t="n">
        <v>8</v>
      </c>
      <c r="H986" s="12" t="s">
        <v>1168</v>
      </c>
    </row>
    <row r="987" customFormat="false" ht="15" hidden="false" customHeight="false" outlineLevel="0" collapsed="false">
      <c r="A987" s="11" t="s">
        <v>1166</v>
      </c>
      <c r="B987" s="11" t="s">
        <v>26</v>
      </c>
      <c r="C987" s="11" t="n">
        <v>2025</v>
      </c>
      <c r="D987" s="11" t="n">
        <v>2</v>
      </c>
      <c r="E987" s="11" t="s">
        <v>102</v>
      </c>
      <c r="F987" s="11" t="s">
        <v>185</v>
      </c>
      <c r="G987" s="11" t="n">
        <v>12</v>
      </c>
      <c r="H987" s="12" t="s">
        <v>1169</v>
      </c>
    </row>
    <row r="988" customFormat="false" ht="15" hidden="false" customHeight="false" outlineLevel="0" collapsed="false">
      <c r="A988" s="11" t="s">
        <v>1166</v>
      </c>
      <c r="B988" s="11" t="s">
        <v>26</v>
      </c>
      <c r="C988" s="11" t="n">
        <v>2025</v>
      </c>
      <c r="D988" s="11" t="n">
        <v>3</v>
      </c>
      <c r="E988" s="11" t="s">
        <v>105</v>
      </c>
      <c r="F988" s="11" t="s">
        <v>187</v>
      </c>
      <c r="G988" s="11" t="n">
        <v>12</v>
      </c>
      <c r="H988" s="12" t="s">
        <v>1170</v>
      </c>
    </row>
    <row r="989" customFormat="false" ht="15" hidden="false" customHeight="false" outlineLevel="0" collapsed="false">
      <c r="A989" s="11" t="s">
        <v>1166</v>
      </c>
      <c r="B989" s="11" t="s">
        <v>26</v>
      </c>
      <c r="C989" s="11" t="n">
        <v>2025</v>
      </c>
      <c r="D989" s="11" t="n">
        <v>4</v>
      </c>
      <c r="E989" s="11" t="s">
        <v>108</v>
      </c>
      <c r="F989" s="11" t="s">
        <v>189</v>
      </c>
      <c r="G989" s="11" t="n">
        <v>16</v>
      </c>
      <c r="H989" s="12" t="s">
        <v>1171</v>
      </c>
    </row>
    <row r="990" customFormat="false" ht="15" hidden="false" customHeight="false" outlineLevel="0" collapsed="false">
      <c r="A990" s="11" t="s">
        <v>1166</v>
      </c>
      <c r="B990" s="11" t="s">
        <v>26</v>
      </c>
      <c r="C990" s="11" t="n">
        <v>2025</v>
      </c>
      <c r="D990" s="11" t="n">
        <v>5</v>
      </c>
      <c r="E990" s="11" t="s">
        <v>111</v>
      </c>
      <c r="F990" s="11" t="s">
        <v>191</v>
      </c>
      <c r="G990" s="11" t="n">
        <v>12</v>
      </c>
      <c r="H990" s="12" t="s">
        <v>1172</v>
      </c>
    </row>
    <row r="991" customFormat="false" ht="15" hidden="false" customHeight="false" outlineLevel="0" collapsed="false">
      <c r="A991" s="11" t="s">
        <v>1166</v>
      </c>
      <c r="B991" s="11" t="s">
        <v>26</v>
      </c>
      <c r="C991" s="11" t="n">
        <v>2025</v>
      </c>
      <c r="D991" s="11" t="n">
        <v>6</v>
      </c>
      <c r="E991" s="11" t="s">
        <v>114</v>
      </c>
      <c r="F991" s="11" t="s">
        <v>193</v>
      </c>
      <c r="G991" s="11" t="n">
        <v>12</v>
      </c>
      <c r="H991" s="12" t="s">
        <v>1173</v>
      </c>
    </row>
    <row r="992" customFormat="false" ht="15" hidden="false" customHeight="false" outlineLevel="0" collapsed="false">
      <c r="A992" s="11" t="s">
        <v>1166</v>
      </c>
      <c r="B992" s="11" t="s">
        <v>26</v>
      </c>
      <c r="C992" s="11" t="n">
        <v>2025</v>
      </c>
      <c r="D992" s="11" t="n">
        <v>7</v>
      </c>
      <c r="E992" s="11" t="s">
        <v>117</v>
      </c>
      <c r="F992" s="11" t="s">
        <v>195</v>
      </c>
      <c r="G992" s="11" t="n">
        <v>12</v>
      </c>
      <c r="H992" s="12" t="s">
        <v>1174</v>
      </c>
    </row>
    <row r="993" customFormat="false" ht="15" hidden="false" customHeight="false" outlineLevel="0" collapsed="false">
      <c r="A993" s="11" t="s">
        <v>1166</v>
      </c>
      <c r="B993" s="11" t="s">
        <v>26</v>
      </c>
      <c r="C993" s="11" t="n">
        <v>2025</v>
      </c>
      <c r="D993" s="11" t="n">
        <v>8</v>
      </c>
      <c r="E993" s="11" t="s">
        <v>120</v>
      </c>
      <c r="F993" s="11" t="s">
        <v>197</v>
      </c>
      <c r="G993" s="11" t="n">
        <v>12</v>
      </c>
      <c r="H993" s="12" t="s">
        <v>1175</v>
      </c>
    </row>
    <row r="994" customFormat="false" ht="15" hidden="false" customHeight="false" outlineLevel="0" collapsed="false">
      <c r="A994" s="11" t="s">
        <v>1166</v>
      </c>
      <c r="B994" s="11" t="s">
        <v>26</v>
      </c>
      <c r="C994" s="11" t="n">
        <v>2025</v>
      </c>
      <c r="D994" s="11" t="n">
        <v>9</v>
      </c>
      <c r="E994" s="11" t="s">
        <v>123</v>
      </c>
      <c r="F994" s="11" t="s">
        <v>199</v>
      </c>
      <c r="G994" s="11" t="n">
        <v>12</v>
      </c>
      <c r="H994" s="12" t="s">
        <v>1176</v>
      </c>
    </row>
    <row r="995" customFormat="false" ht="15" hidden="false" customHeight="false" outlineLevel="0" collapsed="false">
      <c r="A995" s="11" t="s">
        <v>1166</v>
      </c>
      <c r="B995" s="11" t="s">
        <v>26</v>
      </c>
      <c r="C995" s="11" t="n">
        <v>2025</v>
      </c>
      <c r="D995" s="11" t="n">
        <v>10</v>
      </c>
      <c r="E995" s="11" t="s">
        <v>126</v>
      </c>
      <c r="F995" s="11" t="s">
        <v>201</v>
      </c>
      <c r="G995" s="11" t="n">
        <v>12</v>
      </c>
      <c r="H995" s="12" t="s">
        <v>1177</v>
      </c>
    </row>
    <row r="996" customFormat="false" ht="15" hidden="false" customHeight="false" outlineLevel="0" collapsed="false">
      <c r="A996" s="11" t="s">
        <v>1166</v>
      </c>
      <c r="B996" s="11" t="s">
        <v>26</v>
      </c>
      <c r="C996" s="11" t="n">
        <v>2025</v>
      </c>
      <c r="D996" s="11" t="n">
        <v>11</v>
      </c>
      <c r="E996" s="11" t="s">
        <v>129</v>
      </c>
      <c r="F996" s="11" t="s">
        <v>203</v>
      </c>
      <c r="G996" s="11" t="n">
        <v>12</v>
      </c>
      <c r="H996" s="12" t="s">
        <v>1178</v>
      </c>
    </row>
    <row r="997" customFormat="false" ht="15" hidden="false" customHeight="false" outlineLevel="0" collapsed="false">
      <c r="A997" s="11" t="s">
        <v>1166</v>
      </c>
      <c r="B997" s="11" t="s">
        <v>26</v>
      </c>
      <c r="C997" s="11" t="n">
        <v>2025</v>
      </c>
      <c r="D997" s="11" t="n">
        <v>12</v>
      </c>
      <c r="E997" s="11" t="s">
        <v>132</v>
      </c>
      <c r="F997" s="11" t="s">
        <v>205</v>
      </c>
      <c r="G997" s="11" t="n">
        <v>12</v>
      </c>
      <c r="H997" s="12" t="s">
        <v>1179</v>
      </c>
    </row>
    <row r="998" customFormat="false" ht="15" hidden="false" customHeight="false" outlineLevel="0" collapsed="false">
      <c r="A998" s="11" t="s">
        <v>1166</v>
      </c>
      <c r="B998" s="11" t="s">
        <v>26</v>
      </c>
      <c r="C998" s="11" t="n">
        <v>2026</v>
      </c>
      <c r="D998" s="11" t="n">
        <v>1</v>
      </c>
      <c r="E998" s="11" t="s">
        <v>99</v>
      </c>
      <c r="F998" s="11" t="s">
        <v>207</v>
      </c>
      <c r="G998" s="11" t="n">
        <v>8</v>
      </c>
      <c r="H998" s="12" t="s">
        <v>1180</v>
      </c>
    </row>
    <row r="999" customFormat="false" ht="15" hidden="false" customHeight="false" outlineLevel="0" collapsed="false">
      <c r="A999" s="11" t="s">
        <v>1166</v>
      </c>
      <c r="B999" s="11" t="s">
        <v>26</v>
      </c>
      <c r="C999" s="11" t="n">
        <v>2026</v>
      </c>
      <c r="D999" s="11" t="n">
        <v>2</v>
      </c>
      <c r="E999" s="11" t="s">
        <v>102</v>
      </c>
      <c r="F999" s="11" t="s">
        <v>209</v>
      </c>
      <c r="G999" s="11" t="n">
        <v>8</v>
      </c>
      <c r="H999" s="12" t="s">
        <v>1181</v>
      </c>
    </row>
    <row r="1000" customFormat="false" ht="15" hidden="false" customHeight="false" outlineLevel="0" collapsed="false">
      <c r="A1000" s="11" t="s">
        <v>1166</v>
      </c>
      <c r="B1000" s="11" t="s">
        <v>26</v>
      </c>
      <c r="C1000" s="11" t="n">
        <v>2026</v>
      </c>
      <c r="D1000" s="11" t="n">
        <v>3</v>
      </c>
      <c r="E1000" s="11" t="s">
        <v>105</v>
      </c>
      <c r="F1000" s="11" t="s">
        <v>211</v>
      </c>
      <c r="G1000" s="11" t="n">
        <v>12</v>
      </c>
      <c r="H1000" s="12" t="s">
        <v>1182</v>
      </c>
    </row>
    <row r="1001" customFormat="false" ht="15" hidden="false" customHeight="false" outlineLevel="0" collapsed="false">
      <c r="A1001" s="11" t="s">
        <v>1166</v>
      </c>
      <c r="B1001" s="11" t="s">
        <v>26</v>
      </c>
      <c r="C1001" s="11" t="n">
        <v>2026</v>
      </c>
      <c r="D1001" s="11" t="n">
        <v>4</v>
      </c>
      <c r="E1001" s="11" t="s">
        <v>108</v>
      </c>
      <c r="F1001" s="11" t="s">
        <v>213</v>
      </c>
      <c r="G1001" s="11" t="n">
        <v>12</v>
      </c>
      <c r="H1001" s="12" t="s">
        <v>1183</v>
      </c>
    </row>
    <row r="1002" customFormat="false" ht="15" hidden="false" customHeight="false" outlineLevel="0" collapsed="false">
      <c r="A1002" s="11" t="s">
        <v>1166</v>
      </c>
      <c r="B1002" s="11" t="s">
        <v>26</v>
      </c>
      <c r="C1002" s="11" t="n">
        <v>2026</v>
      </c>
      <c r="D1002" s="11" t="n">
        <v>5</v>
      </c>
      <c r="E1002" s="11" t="s">
        <v>111</v>
      </c>
      <c r="F1002" s="11" t="s">
        <v>215</v>
      </c>
      <c r="G1002" s="11" t="n">
        <v>12</v>
      </c>
      <c r="H1002" s="12" t="s">
        <v>1184</v>
      </c>
    </row>
    <row r="1003" customFormat="false" ht="15" hidden="false" customHeight="false" outlineLevel="0" collapsed="false">
      <c r="A1003" s="11" t="s">
        <v>1185</v>
      </c>
      <c r="B1003" s="11" t="s">
        <v>27</v>
      </c>
      <c r="C1003" s="11" t="n">
        <v>2022</v>
      </c>
      <c r="D1003" s="11" t="n">
        <v>1</v>
      </c>
      <c r="E1003" s="11" t="s">
        <v>99</v>
      </c>
      <c r="F1003" s="11" t="s">
        <v>100</v>
      </c>
      <c r="G1003" s="11" t="n">
        <v>12</v>
      </c>
      <c r="H1003" s="12" t="s">
        <v>1186</v>
      </c>
    </row>
    <row r="1004" customFormat="false" ht="15" hidden="false" customHeight="false" outlineLevel="0" collapsed="false">
      <c r="A1004" s="11" t="s">
        <v>1185</v>
      </c>
      <c r="B1004" s="11" t="s">
        <v>27</v>
      </c>
      <c r="C1004" s="11" t="n">
        <v>2022</v>
      </c>
      <c r="D1004" s="11" t="n">
        <v>2</v>
      </c>
      <c r="E1004" s="11" t="s">
        <v>102</v>
      </c>
      <c r="F1004" s="11" t="s">
        <v>103</v>
      </c>
      <c r="G1004" s="11" t="n">
        <v>12</v>
      </c>
      <c r="H1004" s="12" t="s">
        <v>1187</v>
      </c>
    </row>
    <row r="1005" customFormat="false" ht="15" hidden="false" customHeight="false" outlineLevel="0" collapsed="false">
      <c r="A1005" s="11" t="s">
        <v>1185</v>
      </c>
      <c r="B1005" s="11" t="s">
        <v>27</v>
      </c>
      <c r="C1005" s="11" t="n">
        <v>2022</v>
      </c>
      <c r="D1005" s="11" t="n">
        <v>3</v>
      </c>
      <c r="E1005" s="11" t="s">
        <v>105</v>
      </c>
      <c r="F1005" s="11" t="s">
        <v>106</v>
      </c>
      <c r="G1005" s="11" t="n">
        <v>16</v>
      </c>
      <c r="H1005" s="12" t="s">
        <v>1188</v>
      </c>
    </row>
    <row r="1006" customFormat="false" ht="15" hidden="false" customHeight="false" outlineLevel="0" collapsed="false">
      <c r="A1006" s="11" t="s">
        <v>1185</v>
      </c>
      <c r="B1006" s="11" t="s">
        <v>27</v>
      </c>
      <c r="C1006" s="11" t="n">
        <v>2022</v>
      </c>
      <c r="D1006" s="11" t="n">
        <v>4</v>
      </c>
      <c r="E1006" s="11" t="s">
        <v>108</v>
      </c>
      <c r="F1006" s="11" t="s">
        <v>109</v>
      </c>
      <c r="G1006" s="11" t="n">
        <v>20</v>
      </c>
      <c r="H1006" s="12" t="s">
        <v>1189</v>
      </c>
    </row>
    <row r="1007" customFormat="false" ht="15" hidden="false" customHeight="false" outlineLevel="0" collapsed="false">
      <c r="A1007" s="11" t="s">
        <v>1185</v>
      </c>
      <c r="B1007" s="11" t="s">
        <v>27</v>
      </c>
      <c r="C1007" s="11" t="n">
        <v>2022</v>
      </c>
      <c r="D1007" s="11" t="n">
        <v>5</v>
      </c>
      <c r="E1007" s="11" t="s">
        <v>111</v>
      </c>
      <c r="F1007" s="11" t="s">
        <v>112</v>
      </c>
      <c r="G1007" s="11" t="n">
        <v>16</v>
      </c>
      <c r="H1007" s="12" t="s">
        <v>1190</v>
      </c>
    </row>
    <row r="1008" customFormat="false" ht="15" hidden="false" customHeight="false" outlineLevel="0" collapsed="false">
      <c r="A1008" s="11" t="s">
        <v>1185</v>
      </c>
      <c r="B1008" s="11" t="s">
        <v>27</v>
      </c>
      <c r="C1008" s="11" t="n">
        <v>2022</v>
      </c>
      <c r="D1008" s="11" t="n">
        <v>6</v>
      </c>
      <c r="E1008" s="11" t="s">
        <v>114</v>
      </c>
      <c r="F1008" s="11" t="s">
        <v>115</v>
      </c>
      <c r="G1008" s="11" t="n">
        <v>16</v>
      </c>
      <c r="H1008" s="12" t="s">
        <v>1191</v>
      </c>
    </row>
    <row r="1009" customFormat="false" ht="15" hidden="false" customHeight="false" outlineLevel="0" collapsed="false">
      <c r="A1009" s="11" t="s">
        <v>1185</v>
      </c>
      <c r="B1009" s="11" t="s">
        <v>27</v>
      </c>
      <c r="C1009" s="11" t="n">
        <v>2022</v>
      </c>
      <c r="D1009" s="11" t="n">
        <v>7</v>
      </c>
      <c r="E1009" s="11" t="s">
        <v>117</v>
      </c>
      <c r="F1009" s="11" t="s">
        <v>118</v>
      </c>
      <c r="G1009" s="11" t="n">
        <v>12</v>
      </c>
      <c r="H1009" s="12" t="s">
        <v>1192</v>
      </c>
    </row>
    <row r="1010" customFormat="false" ht="15" hidden="false" customHeight="false" outlineLevel="0" collapsed="false">
      <c r="A1010" s="11" t="s">
        <v>1185</v>
      </c>
      <c r="B1010" s="11" t="s">
        <v>27</v>
      </c>
      <c r="C1010" s="11" t="n">
        <v>2022</v>
      </c>
      <c r="D1010" s="11" t="n">
        <v>8</v>
      </c>
      <c r="E1010" s="11" t="s">
        <v>120</v>
      </c>
      <c r="F1010" s="11" t="s">
        <v>121</v>
      </c>
      <c r="G1010" s="11" t="n">
        <v>12</v>
      </c>
      <c r="H1010" s="12" t="s">
        <v>1193</v>
      </c>
    </row>
    <row r="1011" customFormat="false" ht="15" hidden="false" customHeight="false" outlineLevel="0" collapsed="false">
      <c r="A1011" s="11" t="s">
        <v>1185</v>
      </c>
      <c r="B1011" s="11" t="s">
        <v>27</v>
      </c>
      <c r="C1011" s="11" t="n">
        <v>2022</v>
      </c>
      <c r="D1011" s="11" t="n">
        <v>9</v>
      </c>
      <c r="E1011" s="11" t="s">
        <v>123</v>
      </c>
      <c r="F1011" s="11" t="s">
        <v>124</v>
      </c>
      <c r="G1011" s="11" t="n">
        <v>16</v>
      </c>
      <c r="H1011" s="12" t="s">
        <v>1194</v>
      </c>
    </row>
    <row r="1012" customFormat="false" ht="15" hidden="false" customHeight="false" outlineLevel="0" collapsed="false">
      <c r="A1012" s="11" t="s">
        <v>1185</v>
      </c>
      <c r="B1012" s="11" t="s">
        <v>27</v>
      </c>
      <c r="C1012" s="11" t="n">
        <v>2022</v>
      </c>
      <c r="D1012" s="11" t="n">
        <v>10</v>
      </c>
      <c r="E1012" s="11" t="s">
        <v>126</v>
      </c>
      <c r="F1012" s="11" t="s">
        <v>127</v>
      </c>
      <c r="G1012" s="11" t="n">
        <v>16</v>
      </c>
      <c r="H1012" s="12" t="s">
        <v>1195</v>
      </c>
    </row>
    <row r="1013" customFormat="false" ht="15" hidden="false" customHeight="false" outlineLevel="0" collapsed="false">
      <c r="A1013" s="11" t="s">
        <v>1185</v>
      </c>
      <c r="B1013" s="11" t="s">
        <v>27</v>
      </c>
      <c r="C1013" s="11" t="n">
        <v>2022</v>
      </c>
      <c r="D1013" s="11" t="n">
        <v>11</v>
      </c>
      <c r="E1013" s="11" t="s">
        <v>129</v>
      </c>
      <c r="F1013" s="11" t="s">
        <v>130</v>
      </c>
      <c r="G1013" s="11" t="n">
        <v>16</v>
      </c>
      <c r="H1013" s="12" t="s">
        <v>1196</v>
      </c>
    </row>
    <row r="1014" customFormat="false" ht="15" hidden="false" customHeight="false" outlineLevel="0" collapsed="false">
      <c r="A1014" s="11" t="s">
        <v>1185</v>
      </c>
      <c r="B1014" s="11" t="s">
        <v>27</v>
      </c>
      <c r="C1014" s="11" t="n">
        <v>2022</v>
      </c>
      <c r="D1014" s="11" t="n">
        <v>12</v>
      </c>
      <c r="E1014" s="11" t="s">
        <v>132</v>
      </c>
      <c r="F1014" s="11" t="s">
        <v>133</v>
      </c>
      <c r="G1014" s="11" t="n">
        <v>20</v>
      </c>
      <c r="H1014" s="12" t="s">
        <v>1197</v>
      </c>
    </row>
    <row r="1015" customFormat="false" ht="15" hidden="false" customHeight="false" outlineLevel="0" collapsed="false">
      <c r="A1015" s="11" t="s">
        <v>1185</v>
      </c>
      <c r="B1015" s="11" t="s">
        <v>27</v>
      </c>
      <c r="C1015" s="11" t="n">
        <v>2023</v>
      </c>
      <c r="D1015" s="11" t="n">
        <v>1</v>
      </c>
      <c r="E1015" s="11" t="s">
        <v>99</v>
      </c>
      <c r="F1015" s="11" t="s">
        <v>135</v>
      </c>
      <c r="G1015" s="11" t="n">
        <v>12</v>
      </c>
      <c r="H1015" s="12" t="s">
        <v>1198</v>
      </c>
    </row>
    <row r="1016" customFormat="false" ht="15" hidden="false" customHeight="false" outlineLevel="0" collapsed="false">
      <c r="A1016" s="11" t="s">
        <v>1185</v>
      </c>
      <c r="B1016" s="11" t="s">
        <v>27</v>
      </c>
      <c r="C1016" s="11" t="n">
        <v>2023</v>
      </c>
      <c r="D1016" s="11" t="n">
        <v>2</v>
      </c>
      <c r="E1016" s="11" t="s">
        <v>102</v>
      </c>
      <c r="F1016" s="11" t="s">
        <v>137</v>
      </c>
      <c r="G1016" s="11" t="n">
        <v>12</v>
      </c>
      <c r="H1016" s="12" t="s">
        <v>1199</v>
      </c>
    </row>
    <row r="1017" customFormat="false" ht="15" hidden="false" customHeight="false" outlineLevel="0" collapsed="false">
      <c r="A1017" s="11" t="s">
        <v>1185</v>
      </c>
      <c r="B1017" s="11" t="s">
        <v>27</v>
      </c>
      <c r="C1017" s="11" t="n">
        <v>2023</v>
      </c>
      <c r="D1017" s="11" t="n">
        <v>3</v>
      </c>
      <c r="E1017" s="11" t="s">
        <v>105</v>
      </c>
      <c r="F1017" s="11" t="s">
        <v>139</v>
      </c>
      <c r="G1017" s="11" t="n">
        <v>16</v>
      </c>
      <c r="H1017" s="12" t="s">
        <v>1200</v>
      </c>
    </row>
    <row r="1018" customFormat="false" ht="15" hidden="false" customHeight="false" outlineLevel="0" collapsed="false">
      <c r="A1018" s="11" t="s">
        <v>1185</v>
      </c>
      <c r="B1018" s="11" t="s">
        <v>27</v>
      </c>
      <c r="C1018" s="11" t="n">
        <v>2023</v>
      </c>
      <c r="D1018" s="11" t="n">
        <v>4</v>
      </c>
      <c r="E1018" s="11" t="s">
        <v>108</v>
      </c>
      <c r="F1018" s="11" t="s">
        <v>141</v>
      </c>
      <c r="G1018" s="11" t="n">
        <v>16</v>
      </c>
      <c r="H1018" s="12" t="s">
        <v>1201</v>
      </c>
    </row>
    <row r="1019" customFormat="false" ht="15" hidden="false" customHeight="false" outlineLevel="0" collapsed="false">
      <c r="A1019" s="11" t="s">
        <v>1185</v>
      </c>
      <c r="B1019" s="11" t="s">
        <v>27</v>
      </c>
      <c r="C1019" s="11" t="n">
        <v>2023</v>
      </c>
      <c r="D1019" s="11" t="n">
        <v>5</v>
      </c>
      <c r="E1019" s="11" t="s">
        <v>111</v>
      </c>
      <c r="F1019" s="11" t="s">
        <v>143</v>
      </c>
      <c r="G1019" s="11" t="n">
        <v>16</v>
      </c>
      <c r="H1019" s="12" t="s">
        <v>1202</v>
      </c>
    </row>
    <row r="1020" customFormat="false" ht="15" hidden="false" customHeight="false" outlineLevel="0" collapsed="false">
      <c r="A1020" s="11" t="s">
        <v>1185</v>
      </c>
      <c r="B1020" s="11" t="s">
        <v>27</v>
      </c>
      <c r="C1020" s="11" t="n">
        <v>2023</v>
      </c>
      <c r="D1020" s="11" t="n">
        <v>6</v>
      </c>
      <c r="E1020" s="11" t="s">
        <v>114</v>
      </c>
      <c r="F1020" s="11" t="s">
        <v>145</v>
      </c>
      <c r="G1020" s="11" t="n">
        <v>20</v>
      </c>
      <c r="H1020" s="12" t="s">
        <v>1203</v>
      </c>
    </row>
    <row r="1021" customFormat="false" ht="15" hidden="false" customHeight="false" outlineLevel="0" collapsed="false">
      <c r="A1021" s="11" t="s">
        <v>1185</v>
      </c>
      <c r="B1021" s="11" t="s">
        <v>27</v>
      </c>
      <c r="C1021" s="11" t="n">
        <v>2023</v>
      </c>
      <c r="D1021" s="11" t="n">
        <v>7</v>
      </c>
      <c r="E1021" s="11" t="s">
        <v>117</v>
      </c>
      <c r="F1021" s="11" t="s">
        <v>147</v>
      </c>
      <c r="G1021" s="11" t="n">
        <v>20</v>
      </c>
      <c r="H1021" s="12" t="s">
        <v>1204</v>
      </c>
    </row>
    <row r="1022" customFormat="false" ht="15" hidden="false" customHeight="false" outlineLevel="0" collapsed="false">
      <c r="A1022" s="11" t="s">
        <v>1185</v>
      </c>
      <c r="B1022" s="11" t="s">
        <v>27</v>
      </c>
      <c r="C1022" s="11" t="n">
        <v>2023</v>
      </c>
      <c r="D1022" s="11" t="n">
        <v>8</v>
      </c>
      <c r="E1022" s="11" t="s">
        <v>120</v>
      </c>
      <c r="F1022" s="11" t="s">
        <v>149</v>
      </c>
      <c r="G1022" s="11" t="n">
        <v>16</v>
      </c>
      <c r="H1022" s="12" t="s">
        <v>1205</v>
      </c>
    </row>
    <row r="1023" customFormat="false" ht="15" hidden="false" customHeight="false" outlineLevel="0" collapsed="false">
      <c r="A1023" s="11" t="s">
        <v>1185</v>
      </c>
      <c r="B1023" s="11" t="s">
        <v>27</v>
      </c>
      <c r="C1023" s="11" t="n">
        <v>2023</v>
      </c>
      <c r="D1023" s="11" t="n">
        <v>9</v>
      </c>
      <c r="E1023" s="11" t="s">
        <v>123</v>
      </c>
      <c r="F1023" s="11" t="s">
        <v>151</v>
      </c>
      <c r="G1023" s="11" t="n">
        <v>16</v>
      </c>
      <c r="H1023" s="12" t="s">
        <v>1206</v>
      </c>
    </row>
    <row r="1024" customFormat="false" ht="15" hidden="false" customHeight="false" outlineLevel="0" collapsed="false">
      <c r="A1024" s="11" t="s">
        <v>1185</v>
      </c>
      <c r="B1024" s="11" t="s">
        <v>27</v>
      </c>
      <c r="C1024" s="11" t="n">
        <v>2023</v>
      </c>
      <c r="D1024" s="11" t="n">
        <v>10</v>
      </c>
      <c r="E1024" s="11" t="s">
        <v>126</v>
      </c>
      <c r="F1024" s="11" t="s">
        <v>153</v>
      </c>
      <c r="G1024" s="11" t="n">
        <v>16</v>
      </c>
      <c r="H1024" s="12" t="s">
        <v>1207</v>
      </c>
    </row>
    <row r="1025" customFormat="false" ht="15" hidden="false" customHeight="false" outlineLevel="0" collapsed="false">
      <c r="A1025" s="11" t="s">
        <v>1185</v>
      </c>
      <c r="B1025" s="11" t="s">
        <v>27</v>
      </c>
      <c r="C1025" s="11" t="n">
        <v>2023</v>
      </c>
      <c r="D1025" s="11" t="n">
        <v>11</v>
      </c>
      <c r="E1025" s="11" t="s">
        <v>129</v>
      </c>
      <c r="F1025" s="11" t="s">
        <v>155</v>
      </c>
      <c r="G1025" s="11" t="n">
        <v>16</v>
      </c>
      <c r="H1025" s="12" t="s">
        <v>1208</v>
      </c>
    </row>
    <row r="1026" customFormat="false" ht="15" hidden="false" customHeight="false" outlineLevel="0" collapsed="false">
      <c r="A1026" s="11" t="s">
        <v>1185</v>
      </c>
      <c r="B1026" s="11" t="s">
        <v>27</v>
      </c>
      <c r="C1026" s="11" t="n">
        <v>2023</v>
      </c>
      <c r="D1026" s="11" t="n">
        <v>12</v>
      </c>
      <c r="E1026" s="11" t="s">
        <v>132</v>
      </c>
      <c r="F1026" s="11" t="s">
        <v>157</v>
      </c>
      <c r="G1026" s="11" t="n">
        <v>16</v>
      </c>
      <c r="H1026" s="12" t="s">
        <v>1209</v>
      </c>
    </row>
    <row r="1027" customFormat="false" ht="15" hidden="false" customHeight="false" outlineLevel="0" collapsed="false">
      <c r="A1027" s="11" t="s">
        <v>1185</v>
      </c>
      <c r="B1027" s="11" t="s">
        <v>27</v>
      </c>
      <c r="C1027" s="11" t="n">
        <v>2024</v>
      </c>
      <c r="D1027" s="11" t="n">
        <v>1</v>
      </c>
      <c r="E1027" s="11" t="s">
        <v>99</v>
      </c>
      <c r="F1027" s="11" t="s">
        <v>159</v>
      </c>
      <c r="G1027" s="11" t="n">
        <v>12</v>
      </c>
      <c r="H1027" s="12" t="s">
        <v>1210</v>
      </c>
    </row>
    <row r="1028" customFormat="false" ht="15" hidden="false" customHeight="false" outlineLevel="0" collapsed="false">
      <c r="A1028" s="11" t="s">
        <v>1185</v>
      </c>
      <c r="B1028" s="11" t="s">
        <v>27</v>
      </c>
      <c r="C1028" s="11" t="n">
        <v>2024</v>
      </c>
      <c r="D1028" s="11" t="n">
        <v>2</v>
      </c>
      <c r="E1028" s="11" t="s">
        <v>102</v>
      </c>
      <c r="F1028" s="11" t="s">
        <v>161</v>
      </c>
      <c r="G1028" s="11" t="n">
        <v>12</v>
      </c>
      <c r="H1028" s="12" t="s">
        <v>1211</v>
      </c>
    </row>
    <row r="1029" customFormat="false" ht="15" hidden="false" customHeight="false" outlineLevel="0" collapsed="false">
      <c r="A1029" s="11" t="s">
        <v>1185</v>
      </c>
      <c r="B1029" s="11" t="s">
        <v>27</v>
      </c>
      <c r="C1029" s="11" t="n">
        <v>2024</v>
      </c>
      <c r="D1029" s="11" t="n">
        <v>3</v>
      </c>
      <c r="E1029" s="11" t="s">
        <v>105</v>
      </c>
      <c r="F1029" s="11" t="s">
        <v>163</v>
      </c>
      <c r="G1029" s="11" t="n">
        <v>12</v>
      </c>
      <c r="H1029" s="12" t="s">
        <v>1212</v>
      </c>
    </row>
    <row r="1030" customFormat="false" ht="15" hidden="false" customHeight="false" outlineLevel="0" collapsed="false">
      <c r="A1030" s="11" t="s">
        <v>1185</v>
      </c>
      <c r="B1030" s="11" t="s">
        <v>27</v>
      </c>
      <c r="C1030" s="11" t="n">
        <v>2024</v>
      </c>
      <c r="D1030" s="11" t="n">
        <v>4</v>
      </c>
      <c r="E1030" s="11" t="s">
        <v>108</v>
      </c>
      <c r="F1030" s="11" t="s">
        <v>165</v>
      </c>
      <c r="G1030" s="11" t="n">
        <v>16</v>
      </c>
      <c r="H1030" s="12" t="s">
        <v>1213</v>
      </c>
    </row>
    <row r="1031" customFormat="false" ht="15" hidden="false" customHeight="false" outlineLevel="0" collapsed="false">
      <c r="A1031" s="11" t="s">
        <v>1185</v>
      </c>
      <c r="B1031" s="11" t="s">
        <v>27</v>
      </c>
      <c r="C1031" s="11" t="n">
        <v>2024</v>
      </c>
      <c r="D1031" s="11" t="n">
        <v>5</v>
      </c>
      <c r="E1031" s="11" t="s">
        <v>111</v>
      </c>
      <c r="F1031" s="11" t="s">
        <v>167</v>
      </c>
      <c r="G1031" s="11" t="n">
        <v>16</v>
      </c>
      <c r="H1031" s="12" t="s">
        <v>1214</v>
      </c>
    </row>
    <row r="1032" customFormat="false" ht="15" hidden="false" customHeight="false" outlineLevel="0" collapsed="false">
      <c r="A1032" s="11" t="s">
        <v>1185</v>
      </c>
      <c r="B1032" s="11" t="s">
        <v>27</v>
      </c>
      <c r="C1032" s="11" t="n">
        <v>2024</v>
      </c>
      <c r="D1032" s="11" t="n">
        <v>6</v>
      </c>
      <c r="E1032" s="11" t="s">
        <v>114</v>
      </c>
      <c r="F1032" s="11" t="s">
        <v>169</v>
      </c>
      <c r="G1032" s="11" t="n">
        <v>16</v>
      </c>
      <c r="H1032" s="12" t="s">
        <v>1215</v>
      </c>
    </row>
    <row r="1033" customFormat="false" ht="15" hidden="false" customHeight="false" outlineLevel="0" collapsed="false">
      <c r="A1033" s="11" t="s">
        <v>1185</v>
      </c>
      <c r="B1033" s="11" t="s">
        <v>27</v>
      </c>
      <c r="C1033" s="11" t="n">
        <v>2024</v>
      </c>
      <c r="D1033" s="11" t="n">
        <v>7</v>
      </c>
      <c r="E1033" s="11" t="s">
        <v>117</v>
      </c>
      <c r="F1033" s="11" t="s">
        <v>171</v>
      </c>
      <c r="G1033" s="11" t="n">
        <v>12</v>
      </c>
      <c r="H1033" s="12" t="s">
        <v>1216</v>
      </c>
    </row>
    <row r="1034" customFormat="false" ht="15" hidden="false" customHeight="false" outlineLevel="0" collapsed="false">
      <c r="A1034" s="11" t="s">
        <v>1185</v>
      </c>
      <c r="B1034" s="11" t="s">
        <v>27</v>
      </c>
      <c r="C1034" s="11" t="n">
        <v>2024</v>
      </c>
      <c r="D1034" s="11" t="n">
        <v>8</v>
      </c>
      <c r="E1034" s="11" t="s">
        <v>120</v>
      </c>
      <c r="F1034" s="11" t="s">
        <v>173</v>
      </c>
      <c r="G1034" s="11" t="n">
        <v>12</v>
      </c>
      <c r="H1034" s="12" t="s">
        <v>1217</v>
      </c>
    </row>
    <row r="1035" customFormat="false" ht="15" hidden="false" customHeight="false" outlineLevel="0" collapsed="false">
      <c r="A1035" s="11" t="s">
        <v>1185</v>
      </c>
      <c r="B1035" s="11" t="s">
        <v>27</v>
      </c>
      <c r="C1035" s="11" t="n">
        <v>2024</v>
      </c>
      <c r="D1035" s="11" t="n">
        <v>9</v>
      </c>
      <c r="E1035" s="11" t="s">
        <v>123</v>
      </c>
      <c r="F1035" s="11" t="s">
        <v>175</v>
      </c>
      <c r="G1035" s="11" t="n">
        <v>12</v>
      </c>
      <c r="H1035" s="12" t="s">
        <v>1218</v>
      </c>
    </row>
    <row r="1036" customFormat="false" ht="15" hidden="false" customHeight="false" outlineLevel="0" collapsed="false">
      <c r="A1036" s="11" t="s">
        <v>1185</v>
      </c>
      <c r="B1036" s="11" t="s">
        <v>27</v>
      </c>
      <c r="C1036" s="11" t="n">
        <v>2024</v>
      </c>
      <c r="D1036" s="11" t="n">
        <v>10</v>
      </c>
      <c r="E1036" s="11" t="s">
        <v>126</v>
      </c>
      <c r="F1036" s="11" t="s">
        <v>177</v>
      </c>
      <c r="G1036" s="11" t="n">
        <v>12</v>
      </c>
      <c r="H1036" s="12" t="s">
        <v>1219</v>
      </c>
    </row>
    <row r="1037" customFormat="false" ht="15" hidden="false" customHeight="false" outlineLevel="0" collapsed="false">
      <c r="A1037" s="11" t="s">
        <v>1185</v>
      </c>
      <c r="B1037" s="11" t="s">
        <v>27</v>
      </c>
      <c r="C1037" s="11" t="n">
        <v>2024</v>
      </c>
      <c r="D1037" s="11" t="n">
        <v>11</v>
      </c>
      <c r="E1037" s="11" t="s">
        <v>129</v>
      </c>
      <c r="F1037" s="11" t="s">
        <v>179</v>
      </c>
      <c r="G1037" s="11" t="n">
        <v>12</v>
      </c>
      <c r="H1037" s="12" t="s">
        <v>1220</v>
      </c>
    </row>
    <row r="1038" customFormat="false" ht="15" hidden="false" customHeight="false" outlineLevel="0" collapsed="false">
      <c r="A1038" s="11" t="s">
        <v>1185</v>
      </c>
      <c r="B1038" s="11" t="s">
        <v>27</v>
      </c>
      <c r="C1038" s="11" t="n">
        <v>2024</v>
      </c>
      <c r="D1038" s="11" t="n">
        <v>12</v>
      </c>
      <c r="E1038" s="11" t="s">
        <v>132</v>
      </c>
      <c r="F1038" s="11" t="s">
        <v>181</v>
      </c>
      <c r="G1038" s="11" t="n">
        <v>8</v>
      </c>
      <c r="H1038" s="12" t="s">
        <v>1221</v>
      </c>
    </row>
    <row r="1039" customFormat="false" ht="15" hidden="false" customHeight="false" outlineLevel="0" collapsed="false">
      <c r="A1039" s="11" t="s">
        <v>1185</v>
      </c>
      <c r="B1039" s="11" t="s">
        <v>27</v>
      </c>
      <c r="C1039" s="11" t="n">
        <v>2025</v>
      </c>
      <c r="D1039" s="11" t="n">
        <v>1</v>
      </c>
      <c r="E1039" s="11" t="s">
        <v>99</v>
      </c>
      <c r="F1039" s="11" t="s">
        <v>183</v>
      </c>
      <c r="G1039" s="11" t="n">
        <v>8</v>
      </c>
      <c r="H1039" s="12" t="s">
        <v>1222</v>
      </c>
    </row>
    <row r="1040" customFormat="false" ht="15" hidden="false" customHeight="false" outlineLevel="0" collapsed="false">
      <c r="A1040" s="11" t="s">
        <v>1185</v>
      </c>
      <c r="B1040" s="11" t="s">
        <v>27</v>
      </c>
      <c r="C1040" s="11" t="n">
        <v>2025</v>
      </c>
      <c r="D1040" s="11" t="n">
        <v>2</v>
      </c>
      <c r="E1040" s="11" t="s">
        <v>102</v>
      </c>
      <c r="F1040" s="11" t="s">
        <v>185</v>
      </c>
      <c r="G1040" s="11" t="n">
        <v>12</v>
      </c>
      <c r="H1040" s="12" t="s">
        <v>1223</v>
      </c>
    </row>
    <row r="1041" customFormat="false" ht="15" hidden="false" customHeight="false" outlineLevel="0" collapsed="false">
      <c r="A1041" s="11" t="s">
        <v>1185</v>
      </c>
      <c r="B1041" s="11" t="s">
        <v>27</v>
      </c>
      <c r="C1041" s="11" t="n">
        <v>2025</v>
      </c>
      <c r="D1041" s="11" t="n">
        <v>3</v>
      </c>
      <c r="E1041" s="11" t="s">
        <v>105</v>
      </c>
      <c r="F1041" s="11" t="s">
        <v>187</v>
      </c>
      <c r="G1041" s="11" t="n">
        <v>12</v>
      </c>
      <c r="H1041" s="12" t="s">
        <v>1224</v>
      </c>
    </row>
    <row r="1042" customFormat="false" ht="15" hidden="false" customHeight="false" outlineLevel="0" collapsed="false">
      <c r="A1042" s="11" t="s">
        <v>1185</v>
      </c>
      <c r="B1042" s="11" t="s">
        <v>27</v>
      </c>
      <c r="C1042" s="11" t="n">
        <v>2025</v>
      </c>
      <c r="D1042" s="11" t="n">
        <v>4</v>
      </c>
      <c r="E1042" s="11" t="s">
        <v>108</v>
      </c>
      <c r="F1042" s="11" t="s">
        <v>189</v>
      </c>
      <c r="G1042" s="11" t="n">
        <v>16</v>
      </c>
      <c r="H1042" s="12" t="s">
        <v>1225</v>
      </c>
    </row>
    <row r="1043" customFormat="false" ht="15" hidden="false" customHeight="false" outlineLevel="0" collapsed="false">
      <c r="A1043" s="11" t="s">
        <v>1185</v>
      </c>
      <c r="B1043" s="11" t="s">
        <v>27</v>
      </c>
      <c r="C1043" s="11" t="n">
        <v>2025</v>
      </c>
      <c r="D1043" s="11" t="n">
        <v>5</v>
      </c>
      <c r="E1043" s="11" t="s">
        <v>111</v>
      </c>
      <c r="F1043" s="11" t="s">
        <v>191</v>
      </c>
      <c r="G1043" s="11" t="n">
        <v>12</v>
      </c>
      <c r="H1043" s="12" t="s">
        <v>1226</v>
      </c>
    </row>
    <row r="1044" customFormat="false" ht="15" hidden="false" customHeight="false" outlineLevel="0" collapsed="false">
      <c r="A1044" s="11" t="s">
        <v>1185</v>
      </c>
      <c r="B1044" s="11" t="s">
        <v>27</v>
      </c>
      <c r="C1044" s="11" t="n">
        <v>2025</v>
      </c>
      <c r="D1044" s="11" t="n">
        <v>6</v>
      </c>
      <c r="E1044" s="11" t="s">
        <v>114</v>
      </c>
      <c r="F1044" s="11" t="s">
        <v>193</v>
      </c>
      <c r="G1044" s="11" t="n">
        <v>12</v>
      </c>
      <c r="H1044" s="12" t="s">
        <v>1227</v>
      </c>
    </row>
    <row r="1045" customFormat="false" ht="15" hidden="false" customHeight="false" outlineLevel="0" collapsed="false">
      <c r="A1045" s="11" t="s">
        <v>1185</v>
      </c>
      <c r="B1045" s="11" t="s">
        <v>27</v>
      </c>
      <c r="C1045" s="11" t="n">
        <v>2025</v>
      </c>
      <c r="D1045" s="11" t="n">
        <v>7</v>
      </c>
      <c r="E1045" s="11" t="s">
        <v>117</v>
      </c>
      <c r="F1045" s="11" t="s">
        <v>195</v>
      </c>
      <c r="G1045" s="11" t="n">
        <v>12</v>
      </c>
      <c r="H1045" s="12" t="s">
        <v>1228</v>
      </c>
    </row>
    <row r="1046" customFormat="false" ht="15" hidden="false" customHeight="false" outlineLevel="0" collapsed="false">
      <c r="A1046" s="11" t="s">
        <v>1185</v>
      </c>
      <c r="B1046" s="11" t="s">
        <v>27</v>
      </c>
      <c r="C1046" s="11" t="n">
        <v>2025</v>
      </c>
      <c r="D1046" s="11" t="n">
        <v>8</v>
      </c>
      <c r="E1046" s="11" t="s">
        <v>120</v>
      </c>
      <c r="F1046" s="11" t="s">
        <v>197</v>
      </c>
      <c r="G1046" s="11" t="n">
        <v>12</v>
      </c>
      <c r="H1046" s="12" t="s">
        <v>1229</v>
      </c>
    </row>
    <row r="1047" customFormat="false" ht="15" hidden="false" customHeight="false" outlineLevel="0" collapsed="false">
      <c r="A1047" s="11" t="s">
        <v>1185</v>
      </c>
      <c r="B1047" s="11" t="s">
        <v>27</v>
      </c>
      <c r="C1047" s="11" t="n">
        <v>2025</v>
      </c>
      <c r="D1047" s="11" t="n">
        <v>9</v>
      </c>
      <c r="E1047" s="11" t="s">
        <v>123</v>
      </c>
      <c r="F1047" s="11" t="s">
        <v>199</v>
      </c>
      <c r="G1047" s="11" t="n">
        <v>12</v>
      </c>
      <c r="H1047" s="12" t="s">
        <v>1230</v>
      </c>
    </row>
    <row r="1048" customFormat="false" ht="15" hidden="false" customHeight="false" outlineLevel="0" collapsed="false">
      <c r="A1048" s="11" t="s">
        <v>1185</v>
      </c>
      <c r="B1048" s="11" t="s">
        <v>27</v>
      </c>
      <c r="C1048" s="11" t="n">
        <v>2025</v>
      </c>
      <c r="D1048" s="11" t="n">
        <v>10</v>
      </c>
      <c r="E1048" s="11" t="s">
        <v>126</v>
      </c>
      <c r="F1048" s="11" t="s">
        <v>201</v>
      </c>
      <c r="G1048" s="11" t="n">
        <v>16</v>
      </c>
      <c r="H1048" s="12" t="s">
        <v>1231</v>
      </c>
    </row>
    <row r="1049" customFormat="false" ht="15" hidden="false" customHeight="false" outlineLevel="0" collapsed="false">
      <c r="A1049" s="11" t="s">
        <v>1185</v>
      </c>
      <c r="B1049" s="11" t="s">
        <v>27</v>
      </c>
      <c r="C1049" s="11" t="n">
        <v>2025</v>
      </c>
      <c r="D1049" s="11" t="n">
        <v>11</v>
      </c>
      <c r="E1049" s="11" t="s">
        <v>129</v>
      </c>
      <c r="F1049" s="11" t="s">
        <v>203</v>
      </c>
      <c r="G1049" s="11" t="n">
        <v>12</v>
      </c>
      <c r="H1049" s="12" t="s">
        <v>1232</v>
      </c>
    </row>
    <row r="1050" customFormat="false" ht="15" hidden="false" customHeight="false" outlineLevel="0" collapsed="false">
      <c r="A1050" s="11" t="s">
        <v>1185</v>
      </c>
      <c r="B1050" s="11" t="s">
        <v>27</v>
      </c>
      <c r="C1050" s="11" t="n">
        <v>2025</v>
      </c>
      <c r="D1050" s="11" t="n">
        <v>12</v>
      </c>
      <c r="E1050" s="11" t="s">
        <v>132</v>
      </c>
      <c r="F1050" s="11" t="s">
        <v>205</v>
      </c>
      <c r="G1050" s="11" t="n">
        <v>12</v>
      </c>
      <c r="H1050" s="12" t="s">
        <v>1233</v>
      </c>
    </row>
    <row r="1051" customFormat="false" ht="15" hidden="false" customHeight="false" outlineLevel="0" collapsed="false">
      <c r="A1051" s="11" t="s">
        <v>1185</v>
      </c>
      <c r="B1051" s="11" t="s">
        <v>27</v>
      </c>
      <c r="C1051" s="11" t="n">
        <v>2026</v>
      </c>
      <c r="D1051" s="11" t="n">
        <v>1</v>
      </c>
      <c r="E1051" s="11" t="s">
        <v>99</v>
      </c>
      <c r="F1051" s="11" t="s">
        <v>207</v>
      </c>
      <c r="G1051" s="11" t="n">
        <v>12</v>
      </c>
      <c r="H1051" s="12" t="s">
        <v>1234</v>
      </c>
    </row>
    <row r="1052" customFormat="false" ht="15" hidden="false" customHeight="false" outlineLevel="0" collapsed="false">
      <c r="A1052" s="11" t="s">
        <v>1185</v>
      </c>
      <c r="B1052" s="11" t="s">
        <v>27</v>
      </c>
      <c r="C1052" s="11" t="n">
        <v>2026</v>
      </c>
      <c r="D1052" s="11" t="n">
        <v>2</v>
      </c>
      <c r="E1052" s="11" t="s">
        <v>102</v>
      </c>
      <c r="F1052" s="11" t="s">
        <v>209</v>
      </c>
      <c r="G1052" s="11" t="n">
        <v>12</v>
      </c>
      <c r="H1052" s="12" t="s">
        <v>1235</v>
      </c>
    </row>
    <row r="1053" customFormat="false" ht="15" hidden="false" customHeight="false" outlineLevel="0" collapsed="false">
      <c r="A1053" s="11" t="s">
        <v>1185</v>
      </c>
      <c r="B1053" s="11" t="s">
        <v>27</v>
      </c>
      <c r="C1053" s="11" t="n">
        <v>2026</v>
      </c>
      <c r="D1053" s="11" t="n">
        <v>3</v>
      </c>
      <c r="E1053" s="11" t="s">
        <v>105</v>
      </c>
      <c r="F1053" s="11" t="s">
        <v>211</v>
      </c>
      <c r="G1053" s="11" t="n">
        <v>12</v>
      </c>
      <c r="H1053" s="12" t="s">
        <v>1236</v>
      </c>
    </row>
    <row r="1054" customFormat="false" ht="15" hidden="false" customHeight="false" outlineLevel="0" collapsed="false">
      <c r="A1054" s="11" t="s">
        <v>1185</v>
      </c>
      <c r="B1054" s="11" t="s">
        <v>27</v>
      </c>
      <c r="C1054" s="11" t="n">
        <v>2026</v>
      </c>
      <c r="D1054" s="11" t="n">
        <v>4</v>
      </c>
      <c r="E1054" s="11" t="s">
        <v>108</v>
      </c>
      <c r="F1054" s="11" t="s">
        <v>213</v>
      </c>
      <c r="G1054" s="11" t="n">
        <v>12</v>
      </c>
      <c r="H1054" s="12" t="s">
        <v>1237</v>
      </c>
    </row>
    <row r="1055" customFormat="false" ht="15" hidden="false" customHeight="false" outlineLevel="0" collapsed="false">
      <c r="A1055" s="11" t="s">
        <v>1185</v>
      </c>
      <c r="B1055" s="11" t="s">
        <v>27</v>
      </c>
      <c r="C1055" s="11" t="n">
        <v>2026</v>
      </c>
      <c r="D1055" s="11" t="n">
        <v>5</v>
      </c>
      <c r="E1055" s="11" t="s">
        <v>111</v>
      </c>
      <c r="F1055" s="11" t="s">
        <v>215</v>
      </c>
      <c r="G1055" s="11" t="n">
        <v>12</v>
      </c>
      <c r="H1055" s="12" t="s">
        <v>1238</v>
      </c>
    </row>
    <row r="1056" customFormat="false" ht="15" hidden="false" customHeight="false" outlineLevel="0" collapsed="false">
      <c r="A1056" s="11" t="s">
        <v>1239</v>
      </c>
      <c r="B1056" s="11" t="s">
        <v>28</v>
      </c>
      <c r="C1056" s="11" t="n">
        <v>2022</v>
      </c>
      <c r="D1056" s="11" t="n">
        <v>1</v>
      </c>
      <c r="E1056" s="11" t="s">
        <v>99</v>
      </c>
      <c r="F1056" s="11" t="s">
        <v>100</v>
      </c>
      <c r="G1056" s="11" t="n">
        <v>16</v>
      </c>
      <c r="H1056" s="12" t="s">
        <v>1240</v>
      </c>
    </row>
    <row r="1057" customFormat="false" ht="15" hidden="false" customHeight="false" outlineLevel="0" collapsed="false">
      <c r="A1057" s="11" t="s">
        <v>1239</v>
      </c>
      <c r="B1057" s="11" t="s">
        <v>28</v>
      </c>
      <c r="C1057" s="11" t="n">
        <v>2022</v>
      </c>
      <c r="D1057" s="11" t="n">
        <v>2</v>
      </c>
      <c r="E1057" s="11" t="s">
        <v>102</v>
      </c>
      <c r="F1057" s="11" t="s">
        <v>103</v>
      </c>
      <c r="G1057" s="11" t="n">
        <v>16</v>
      </c>
      <c r="H1057" s="12" t="s">
        <v>1241</v>
      </c>
    </row>
    <row r="1058" customFormat="false" ht="15" hidden="false" customHeight="false" outlineLevel="0" collapsed="false">
      <c r="A1058" s="11" t="s">
        <v>1239</v>
      </c>
      <c r="B1058" s="11" t="s">
        <v>28</v>
      </c>
      <c r="C1058" s="11" t="n">
        <v>2022</v>
      </c>
      <c r="D1058" s="11" t="n">
        <v>3</v>
      </c>
      <c r="E1058" s="11" t="s">
        <v>105</v>
      </c>
      <c r="F1058" s="11" t="s">
        <v>106</v>
      </c>
      <c r="G1058" s="11" t="n">
        <v>20</v>
      </c>
      <c r="H1058" s="12" t="s">
        <v>1242</v>
      </c>
    </row>
    <row r="1059" customFormat="false" ht="15" hidden="false" customHeight="false" outlineLevel="0" collapsed="false">
      <c r="A1059" s="11" t="s">
        <v>1239</v>
      </c>
      <c r="B1059" s="11" t="s">
        <v>28</v>
      </c>
      <c r="C1059" s="11" t="n">
        <v>2022</v>
      </c>
      <c r="D1059" s="11" t="n">
        <v>4</v>
      </c>
      <c r="E1059" s="11" t="s">
        <v>108</v>
      </c>
      <c r="F1059" s="11" t="s">
        <v>109</v>
      </c>
      <c r="G1059" s="11" t="n">
        <v>28</v>
      </c>
      <c r="H1059" s="12" t="s">
        <v>1243</v>
      </c>
    </row>
    <row r="1060" customFormat="false" ht="15" hidden="false" customHeight="false" outlineLevel="0" collapsed="false">
      <c r="A1060" s="11" t="s">
        <v>1239</v>
      </c>
      <c r="B1060" s="11" t="s">
        <v>28</v>
      </c>
      <c r="C1060" s="11" t="n">
        <v>2022</v>
      </c>
      <c r="D1060" s="11" t="n">
        <v>5</v>
      </c>
      <c r="E1060" s="11" t="s">
        <v>111</v>
      </c>
      <c r="F1060" s="11" t="s">
        <v>112</v>
      </c>
      <c r="G1060" s="11" t="n">
        <v>28</v>
      </c>
      <c r="H1060" s="12" t="s">
        <v>1244</v>
      </c>
    </row>
    <row r="1061" customFormat="false" ht="15" hidden="false" customHeight="false" outlineLevel="0" collapsed="false">
      <c r="A1061" s="11" t="s">
        <v>1239</v>
      </c>
      <c r="B1061" s="11" t="s">
        <v>28</v>
      </c>
      <c r="C1061" s="11" t="n">
        <v>2022</v>
      </c>
      <c r="D1061" s="11" t="n">
        <v>6</v>
      </c>
      <c r="E1061" s="11" t="s">
        <v>114</v>
      </c>
      <c r="F1061" s="11" t="s">
        <v>115</v>
      </c>
      <c r="G1061" s="11" t="n">
        <v>24</v>
      </c>
      <c r="H1061" s="12" t="s">
        <v>1245</v>
      </c>
    </row>
    <row r="1062" customFormat="false" ht="15" hidden="false" customHeight="false" outlineLevel="0" collapsed="false">
      <c r="A1062" s="11" t="s">
        <v>1239</v>
      </c>
      <c r="B1062" s="11" t="s">
        <v>28</v>
      </c>
      <c r="C1062" s="11" t="n">
        <v>2022</v>
      </c>
      <c r="D1062" s="11" t="n">
        <v>7</v>
      </c>
      <c r="E1062" s="11" t="s">
        <v>117</v>
      </c>
      <c r="F1062" s="11" t="s">
        <v>118</v>
      </c>
      <c r="G1062" s="11" t="n">
        <v>20</v>
      </c>
      <c r="H1062" s="12" t="s">
        <v>1246</v>
      </c>
    </row>
    <row r="1063" customFormat="false" ht="15" hidden="false" customHeight="false" outlineLevel="0" collapsed="false">
      <c r="A1063" s="11" t="s">
        <v>1239</v>
      </c>
      <c r="B1063" s="11" t="s">
        <v>28</v>
      </c>
      <c r="C1063" s="11" t="n">
        <v>2022</v>
      </c>
      <c r="D1063" s="11" t="n">
        <v>8</v>
      </c>
      <c r="E1063" s="11" t="s">
        <v>120</v>
      </c>
      <c r="F1063" s="11" t="s">
        <v>121</v>
      </c>
      <c r="G1063" s="11" t="n">
        <v>20</v>
      </c>
      <c r="H1063" s="12" t="s">
        <v>1247</v>
      </c>
    </row>
    <row r="1064" customFormat="false" ht="15" hidden="false" customHeight="false" outlineLevel="0" collapsed="false">
      <c r="A1064" s="11" t="s">
        <v>1239</v>
      </c>
      <c r="B1064" s="11" t="s">
        <v>28</v>
      </c>
      <c r="C1064" s="11" t="n">
        <v>2022</v>
      </c>
      <c r="D1064" s="11" t="n">
        <v>9</v>
      </c>
      <c r="E1064" s="11" t="s">
        <v>123</v>
      </c>
      <c r="F1064" s="11" t="s">
        <v>124</v>
      </c>
      <c r="G1064" s="11" t="n">
        <v>24</v>
      </c>
      <c r="H1064" s="12" t="s">
        <v>1248</v>
      </c>
    </row>
    <row r="1065" customFormat="false" ht="15" hidden="false" customHeight="false" outlineLevel="0" collapsed="false">
      <c r="A1065" s="11" t="s">
        <v>1239</v>
      </c>
      <c r="B1065" s="11" t="s">
        <v>28</v>
      </c>
      <c r="C1065" s="11" t="n">
        <v>2022</v>
      </c>
      <c r="D1065" s="11" t="n">
        <v>10</v>
      </c>
      <c r="E1065" s="11" t="s">
        <v>126</v>
      </c>
      <c r="F1065" s="11" t="s">
        <v>127</v>
      </c>
      <c r="G1065" s="11" t="n">
        <v>24</v>
      </c>
      <c r="H1065" s="12" t="s">
        <v>1249</v>
      </c>
    </row>
    <row r="1066" customFormat="false" ht="15" hidden="false" customHeight="false" outlineLevel="0" collapsed="false">
      <c r="A1066" s="11" t="s">
        <v>1239</v>
      </c>
      <c r="B1066" s="11" t="s">
        <v>28</v>
      </c>
      <c r="C1066" s="11" t="n">
        <v>2022</v>
      </c>
      <c r="D1066" s="11" t="n">
        <v>11</v>
      </c>
      <c r="E1066" s="11" t="s">
        <v>129</v>
      </c>
      <c r="F1066" s="11" t="s">
        <v>130</v>
      </c>
      <c r="G1066" s="11" t="n">
        <v>20</v>
      </c>
      <c r="H1066" s="12" t="s">
        <v>1250</v>
      </c>
    </row>
    <row r="1067" customFormat="false" ht="15" hidden="false" customHeight="false" outlineLevel="0" collapsed="false">
      <c r="A1067" s="11" t="s">
        <v>1239</v>
      </c>
      <c r="B1067" s="11" t="s">
        <v>28</v>
      </c>
      <c r="C1067" s="11" t="n">
        <v>2022</v>
      </c>
      <c r="D1067" s="11" t="n">
        <v>12</v>
      </c>
      <c r="E1067" s="11" t="s">
        <v>132</v>
      </c>
      <c r="F1067" s="11" t="s">
        <v>133</v>
      </c>
      <c r="G1067" s="11" t="n">
        <v>28</v>
      </c>
      <c r="H1067" s="12" t="s">
        <v>1251</v>
      </c>
    </row>
    <row r="1068" customFormat="false" ht="15" hidden="false" customHeight="false" outlineLevel="0" collapsed="false">
      <c r="A1068" s="11" t="s">
        <v>1239</v>
      </c>
      <c r="B1068" s="11" t="s">
        <v>28</v>
      </c>
      <c r="C1068" s="11" t="n">
        <v>2023</v>
      </c>
      <c r="D1068" s="11" t="n">
        <v>1</v>
      </c>
      <c r="E1068" s="11" t="s">
        <v>99</v>
      </c>
      <c r="F1068" s="11" t="s">
        <v>135</v>
      </c>
      <c r="G1068" s="11" t="n">
        <v>20</v>
      </c>
      <c r="H1068" s="12" t="s">
        <v>1252</v>
      </c>
    </row>
    <row r="1069" customFormat="false" ht="15" hidden="false" customHeight="false" outlineLevel="0" collapsed="false">
      <c r="A1069" s="11" t="s">
        <v>1239</v>
      </c>
      <c r="B1069" s="11" t="s">
        <v>28</v>
      </c>
      <c r="C1069" s="11" t="n">
        <v>2023</v>
      </c>
      <c r="D1069" s="11" t="n">
        <v>2</v>
      </c>
      <c r="E1069" s="11" t="s">
        <v>102</v>
      </c>
      <c r="F1069" s="11" t="s">
        <v>137</v>
      </c>
      <c r="G1069" s="11" t="n">
        <v>20</v>
      </c>
      <c r="H1069" s="12" t="s">
        <v>1253</v>
      </c>
    </row>
    <row r="1070" customFormat="false" ht="15" hidden="false" customHeight="false" outlineLevel="0" collapsed="false">
      <c r="A1070" s="11" t="s">
        <v>1239</v>
      </c>
      <c r="B1070" s="11" t="s">
        <v>28</v>
      </c>
      <c r="C1070" s="11" t="n">
        <v>2023</v>
      </c>
      <c r="D1070" s="11" t="n">
        <v>3</v>
      </c>
      <c r="E1070" s="11" t="s">
        <v>105</v>
      </c>
      <c r="F1070" s="11" t="s">
        <v>139</v>
      </c>
      <c r="G1070" s="11" t="n">
        <v>20</v>
      </c>
      <c r="H1070" s="12" t="s">
        <v>1254</v>
      </c>
    </row>
    <row r="1071" customFormat="false" ht="15" hidden="false" customHeight="false" outlineLevel="0" collapsed="false">
      <c r="A1071" s="11" t="s">
        <v>1239</v>
      </c>
      <c r="B1071" s="11" t="s">
        <v>28</v>
      </c>
      <c r="C1071" s="11" t="n">
        <v>2023</v>
      </c>
      <c r="D1071" s="11" t="n">
        <v>4</v>
      </c>
      <c r="E1071" s="11" t="s">
        <v>108</v>
      </c>
      <c r="F1071" s="11" t="s">
        <v>141</v>
      </c>
      <c r="G1071" s="11" t="n">
        <v>28</v>
      </c>
      <c r="H1071" s="12" t="s">
        <v>1255</v>
      </c>
    </row>
    <row r="1072" customFormat="false" ht="15" hidden="false" customHeight="false" outlineLevel="0" collapsed="false">
      <c r="A1072" s="11" t="s">
        <v>1239</v>
      </c>
      <c r="B1072" s="11" t="s">
        <v>28</v>
      </c>
      <c r="C1072" s="11" t="n">
        <v>2023</v>
      </c>
      <c r="D1072" s="11" t="n">
        <v>5</v>
      </c>
      <c r="E1072" s="11" t="s">
        <v>111</v>
      </c>
      <c r="F1072" s="11" t="s">
        <v>143</v>
      </c>
      <c r="G1072" s="11" t="n">
        <v>28</v>
      </c>
      <c r="H1072" s="12" t="s">
        <v>1256</v>
      </c>
    </row>
    <row r="1073" customFormat="false" ht="15" hidden="false" customHeight="false" outlineLevel="0" collapsed="false">
      <c r="A1073" s="11" t="s">
        <v>1239</v>
      </c>
      <c r="B1073" s="11" t="s">
        <v>28</v>
      </c>
      <c r="C1073" s="11" t="n">
        <v>2023</v>
      </c>
      <c r="D1073" s="11" t="n">
        <v>6</v>
      </c>
      <c r="E1073" s="11" t="s">
        <v>114</v>
      </c>
      <c r="F1073" s="11" t="s">
        <v>145</v>
      </c>
      <c r="G1073" s="11" t="n">
        <v>32</v>
      </c>
      <c r="H1073" s="12" t="s">
        <v>1257</v>
      </c>
    </row>
    <row r="1074" customFormat="false" ht="15" hidden="false" customHeight="false" outlineLevel="0" collapsed="false">
      <c r="A1074" s="11" t="s">
        <v>1239</v>
      </c>
      <c r="B1074" s="11" t="s">
        <v>28</v>
      </c>
      <c r="C1074" s="11" t="n">
        <v>2023</v>
      </c>
      <c r="D1074" s="11" t="n">
        <v>7</v>
      </c>
      <c r="E1074" s="11" t="s">
        <v>117</v>
      </c>
      <c r="F1074" s="11" t="s">
        <v>147</v>
      </c>
      <c r="G1074" s="11" t="n">
        <v>32</v>
      </c>
      <c r="H1074" s="12" t="s">
        <v>1258</v>
      </c>
    </row>
    <row r="1075" customFormat="false" ht="15" hidden="false" customHeight="false" outlineLevel="0" collapsed="false">
      <c r="A1075" s="11" t="s">
        <v>1239</v>
      </c>
      <c r="B1075" s="11" t="s">
        <v>28</v>
      </c>
      <c r="C1075" s="11" t="n">
        <v>2023</v>
      </c>
      <c r="D1075" s="11" t="n">
        <v>8</v>
      </c>
      <c r="E1075" s="11" t="s">
        <v>120</v>
      </c>
      <c r="F1075" s="11" t="s">
        <v>149</v>
      </c>
      <c r="G1075" s="11" t="n">
        <v>24</v>
      </c>
      <c r="H1075" s="12" t="s">
        <v>1259</v>
      </c>
    </row>
    <row r="1076" customFormat="false" ht="15" hidden="false" customHeight="false" outlineLevel="0" collapsed="false">
      <c r="A1076" s="11" t="s">
        <v>1239</v>
      </c>
      <c r="B1076" s="11" t="s">
        <v>28</v>
      </c>
      <c r="C1076" s="11" t="n">
        <v>2023</v>
      </c>
      <c r="D1076" s="11" t="n">
        <v>9</v>
      </c>
      <c r="E1076" s="11" t="s">
        <v>123</v>
      </c>
      <c r="F1076" s="11" t="s">
        <v>151</v>
      </c>
      <c r="G1076" s="11" t="n">
        <v>28</v>
      </c>
      <c r="H1076" s="12" t="s">
        <v>1260</v>
      </c>
    </row>
    <row r="1077" customFormat="false" ht="15" hidden="false" customHeight="false" outlineLevel="0" collapsed="false">
      <c r="A1077" s="11" t="s">
        <v>1239</v>
      </c>
      <c r="B1077" s="11" t="s">
        <v>28</v>
      </c>
      <c r="C1077" s="11" t="n">
        <v>2023</v>
      </c>
      <c r="D1077" s="11" t="n">
        <v>10</v>
      </c>
      <c r="E1077" s="11" t="s">
        <v>126</v>
      </c>
      <c r="F1077" s="11" t="s">
        <v>153</v>
      </c>
      <c r="G1077" s="11" t="n">
        <v>28</v>
      </c>
      <c r="H1077" s="12" t="s">
        <v>1261</v>
      </c>
    </row>
    <row r="1078" customFormat="false" ht="15" hidden="false" customHeight="false" outlineLevel="0" collapsed="false">
      <c r="A1078" s="11" t="s">
        <v>1239</v>
      </c>
      <c r="B1078" s="11" t="s">
        <v>28</v>
      </c>
      <c r="C1078" s="11" t="n">
        <v>2023</v>
      </c>
      <c r="D1078" s="11" t="n">
        <v>11</v>
      </c>
      <c r="E1078" s="11" t="s">
        <v>129</v>
      </c>
      <c r="F1078" s="11" t="s">
        <v>155</v>
      </c>
      <c r="G1078" s="11" t="n">
        <v>28</v>
      </c>
      <c r="H1078" s="12" t="s">
        <v>1262</v>
      </c>
    </row>
    <row r="1079" customFormat="false" ht="15" hidden="false" customHeight="false" outlineLevel="0" collapsed="false">
      <c r="A1079" s="11" t="s">
        <v>1239</v>
      </c>
      <c r="B1079" s="11" t="s">
        <v>28</v>
      </c>
      <c r="C1079" s="11" t="n">
        <v>2023</v>
      </c>
      <c r="D1079" s="11" t="n">
        <v>12</v>
      </c>
      <c r="E1079" s="11" t="s">
        <v>132</v>
      </c>
      <c r="F1079" s="11" t="s">
        <v>157</v>
      </c>
      <c r="G1079" s="11" t="n">
        <v>28</v>
      </c>
      <c r="H1079" s="12" t="s">
        <v>1263</v>
      </c>
    </row>
    <row r="1080" customFormat="false" ht="15" hidden="false" customHeight="false" outlineLevel="0" collapsed="false">
      <c r="A1080" s="11" t="s">
        <v>1239</v>
      </c>
      <c r="B1080" s="11" t="s">
        <v>28</v>
      </c>
      <c r="C1080" s="11" t="n">
        <v>2024</v>
      </c>
      <c r="D1080" s="11" t="n">
        <v>1</v>
      </c>
      <c r="E1080" s="11" t="s">
        <v>99</v>
      </c>
      <c r="F1080" s="11" t="s">
        <v>159</v>
      </c>
      <c r="G1080" s="11" t="n">
        <v>24</v>
      </c>
      <c r="H1080" s="12" t="s">
        <v>1264</v>
      </c>
    </row>
    <row r="1081" customFormat="false" ht="15" hidden="false" customHeight="false" outlineLevel="0" collapsed="false">
      <c r="A1081" s="11" t="s">
        <v>1239</v>
      </c>
      <c r="B1081" s="11" t="s">
        <v>28</v>
      </c>
      <c r="C1081" s="11" t="n">
        <v>2024</v>
      </c>
      <c r="D1081" s="11" t="n">
        <v>2</v>
      </c>
      <c r="E1081" s="11" t="s">
        <v>102</v>
      </c>
      <c r="F1081" s="11" t="s">
        <v>161</v>
      </c>
      <c r="G1081" s="11" t="n">
        <v>20</v>
      </c>
      <c r="H1081" s="12" t="s">
        <v>1265</v>
      </c>
    </row>
    <row r="1082" customFormat="false" ht="15" hidden="false" customHeight="false" outlineLevel="0" collapsed="false">
      <c r="A1082" s="11" t="s">
        <v>1239</v>
      </c>
      <c r="B1082" s="11" t="s">
        <v>28</v>
      </c>
      <c r="C1082" s="11" t="n">
        <v>2024</v>
      </c>
      <c r="D1082" s="11" t="n">
        <v>3</v>
      </c>
      <c r="E1082" s="11" t="s">
        <v>105</v>
      </c>
      <c r="F1082" s="11" t="s">
        <v>163</v>
      </c>
      <c r="G1082" s="11" t="n">
        <v>20</v>
      </c>
      <c r="H1082" s="12" t="s">
        <v>1266</v>
      </c>
    </row>
    <row r="1083" customFormat="false" ht="15" hidden="false" customHeight="false" outlineLevel="0" collapsed="false">
      <c r="A1083" s="11" t="s">
        <v>1239</v>
      </c>
      <c r="B1083" s="11" t="s">
        <v>28</v>
      </c>
      <c r="C1083" s="11" t="n">
        <v>2024</v>
      </c>
      <c r="D1083" s="11" t="n">
        <v>4</v>
      </c>
      <c r="E1083" s="11" t="s">
        <v>108</v>
      </c>
      <c r="F1083" s="11" t="s">
        <v>165</v>
      </c>
      <c r="G1083" s="11" t="n">
        <v>28</v>
      </c>
      <c r="H1083" s="12" t="s">
        <v>1267</v>
      </c>
    </row>
    <row r="1084" customFormat="false" ht="15" hidden="false" customHeight="false" outlineLevel="0" collapsed="false">
      <c r="A1084" s="11" t="s">
        <v>1239</v>
      </c>
      <c r="B1084" s="11" t="s">
        <v>28</v>
      </c>
      <c r="C1084" s="11" t="n">
        <v>2024</v>
      </c>
      <c r="D1084" s="11" t="n">
        <v>5</v>
      </c>
      <c r="E1084" s="11" t="s">
        <v>111</v>
      </c>
      <c r="F1084" s="11" t="s">
        <v>167</v>
      </c>
      <c r="G1084" s="11" t="n">
        <v>28</v>
      </c>
      <c r="H1084" s="12" t="s">
        <v>1268</v>
      </c>
    </row>
    <row r="1085" customFormat="false" ht="15" hidden="false" customHeight="false" outlineLevel="0" collapsed="false">
      <c r="A1085" s="11" t="s">
        <v>1239</v>
      </c>
      <c r="B1085" s="11" t="s">
        <v>28</v>
      </c>
      <c r="C1085" s="11" t="n">
        <v>2024</v>
      </c>
      <c r="D1085" s="11" t="n">
        <v>6</v>
      </c>
      <c r="E1085" s="11" t="s">
        <v>114</v>
      </c>
      <c r="F1085" s="11" t="s">
        <v>169</v>
      </c>
      <c r="G1085" s="11" t="n">
        <v>28</v>
      </c>
      <c r="H1085" s="12" t="s">
        <v>1269</v>
      </c>
    </row>
    <row r="1086" customFormat="false" ht="15" hidden="false" customHeight="false" outlineLevel="0" collapsed="false">
      <c r="A1086" s="11" t="s">
        <v>1239</v>
      </c>
      <c r="B1086" s="11" t="s">
        <v>28</v>
      </c>
      <c r="C1086" s="11" t="n">
        <v>2024</v>
      </c>
      <c r="D1086" s="11" t="n">
        <v>7</v>
      </c>
      <c r="E1086" s="11" t="s">
        <v>117</v>
      </c>
      <c r="F1086" s="11" t="s">
        <v>171</v>
      </c>
      <c r="G1086" s="11" t="n">
        <v>24</v>
      </c>
      <c r="H1086" s="12" t="s">
        <v>1270</v>
      </c>
    </row>
    <row r="1087" customFormat="false" ht="15" hidden="false" customHeight="false" outlineLevel="0" collapsed="false">
      <c r="A1087" s="11" t="s">
        <v>1239</v>
      </c>
      <c r="B1087" s="11" t="s">
        <v>28</v>
      </c>
      <c r="C1087" s="11" t="n">
        <v>2024</v>
      </c>
      <c r="D1087" s="11" t="n">
        <v>8</v>
      </c>
      <c r="E1087" s="11" t="s">
        <v>120</v>
      </c>
      <c r="F1087" s="11" t="s">
        <v>173</v>
      </c>
      <c r="G1087" s="11" t="n">
        <v>20</v>
      </c>
      <c r="H1087" s="12" t="s">
        <v>1271</v>
      </c>
    </row>
    <row r="1088" customFormat="false" ht="15" hidden="false" customHeight="false" outlineLevel="0" collapsed="false">
      <c r="A1088" s="11" t="s">
        <v>1239</v>
      </c>
      <c r="B1088" s="11" t="s">
        <v>28</v>
      </c>
      <c r="C1088" s="11" t="n">
        <v>2024</v>
      </c>
      <c r="D1088" s="11" t="n">
        <v>9</v>
      </c>
      <c r="E1088" s="11" t="s">
        <v>123</v>
      </c>
      <c r="F1088" s="11" t="s">
        <v>175</v>
      </c>
      <c r="G1088" s="11" t="n">
        <v>24</v>
      </c>
      <c r="H1088" s="12" t="s">
        <v>1272</v>
      </c>
    </row>
    <row r="1089" customFormat="false" ht="15" hidden="false" customHeight="false" outlineLevel="0" collapsed="false">
      <c r="A1089" s="11" t="s">
        <v>1239</v>
      </c>
      <c r="B1089" s="11" t="s">
        <v>28</v>
      </c>
      <c r="C1089" s="11" t="n">
        <v>2024</v>
      </c>
      <c r="D1089" s="11" t="n">
        <v>10</v>
      </c>
      <c r="E1089" s="11" t="s">
        <v>126</v>
      </c>
      <c r="F1089" s="11" t="s">
        <v>177</v>
      </c>
      <c r="G1089" s="11" t="n">
        <v>23</v>
      </c>
      <c r="H1089" s="12" t="s">
        <v>1273</v>
      </c>
    </row>
    <row r="1090" customFormat="false" ht="15" hidden="false" customHeight="false" outlineLevel="0" collapsed="false">
      <c r="A1090" s="11" t="s">
        <v>1239</v>
      </c>
      <c r="B1090" s="11" t="s">
        <v>28</v>
      </c>
      <c r="C1090" s="11" t="n">
        <v>2024</v>
      </c>
      <c r="D1090" s="11" t="n">
        <v>11</v>
      </c>
      <c r="E1090" s="11" t="s">
        <v>129</v>
      </c>
      <c r="F1090" s="11" t="s">
        <v>179</v>
      </c>
      <c r="G1090" s="11" t="n">
        <v>20</v>
      </c>
      <c r="H1090" s="12" t="s">
        <v>1274</v>
      </c>
    </row>
    <row r="1091" customFormat="false" ht="15" hidden="false" customHeight="false" outlineLevel="0" collapsed="false">
      <c r="A1091" s="11" t="s">
        <v>1239</v>
      </c>
      <c r="B1091" s="11" t="s">
        <v>28</v>
      </c>
      <c r="C1091" s="11" t="n">
        <v>2024</v>
      </c>
      <c r="D1091" s="11" t="n">
        <v>12</v>
      </c>
      <c r="E1091" s="11" t="s">
        <v>132</v>
      </c>
      <c r="F1091" s="11" t="s">
        <v>181</v>
      </c>
      <c r="G1091" s="11" t="n">
        <v>16</v>
      </c>
      <c r="H1091" s="12" t="s">
        <v>1275</v>
      </c>
    </row>
    <row r="1092" customFormat="false" ht="15" hidden="false" customHeight="false" outlineLevel="0" collapsed="false">
      <c r="A1092" s="11" t="s">
        <v>1239</v>
      </c>
      <c r="B1092" s="11" t="s">
        <v>28</v>
      </c>
      <c r="C1092" s="11" t="n">
        <v>2025</v>
      </c>
      <c r="D1092" s="11" t="n">
        <v>1</v>
      </c>
      <c r="E1092" s="11" t="s">
        <v>99</v>
      </c>
      <c r="F1092" s="11" t="s">
        <v>183</v>
      </c>
      <c r="G1092" s="11" t="n">
        <v>16</v>
      </c>
      <c r="H1092" s="12" t="s">
        <v>1276</v>
      </c>
    </row>
    <row r="1093" customFormat="false" ht="15" hidden="false" customHeight="false" outlineLevel="0" collapsed="false">
      <c r="A1093" s="11" t="s">
        <v>1239</v>
      </c>
      <c r="B1093" s="11" t="s">
        <v>28</v>
      </c>
      <c r="C1093" s="11" t="n">
        <v>2025</v>
      </c>
      <c r="D1093" s="11" t="n">
        <v>2</v>
      </c>
      <c r="E1093" s="11" t="s">
        <v>102</v>
      </c>
      <c r="F1093" s="11" t="s">
        <v>185</v>
      </c>
      <c r="G1093" s="11" t="n">
        <v>16</v>
      </c>
      <c r="H1093" s="12" t="s">
        <v>1277</v>
      </c>
    </row>
    <row r="1094" customFormat="false" ht="15" hidden="false" customHeight="false" outlineLevel="0" collapsed="false">
      <c r="A1094" s="11" t="s">
        <v>1239</v>
      </c>
      <c r="B1094" s="11" t="s">
        <v>28</v>
      </c>
      <c r="C1094" s="11" t="n">
        <v>2025</v>
      </c>
      <c r="D1094" s="11" t="n">
        <v>3</v>
      </c>
      <c r="E1094" s="11" t="s">
        <v>105</v>
      </c>
      <c r="F1094" s="11" t="s">
        <v>187</v>
      </c>
      <c r="G1094" s="11" t="n">
        <v>16</v>
      </c>
      <c r="H1094" s="12" t="s">
        <v>1278</v>
      </c>
    </row>
    <row r="1095" customFormat="false" ht="15" hidden="false" customHeight="false" outlineLevel="0" collapsed="false">
      <c r="A1095" s="11" t="s">
        <v>1239</v>
      </c>
      <c r="B1095" s="11" t="s">
        <v>28</v>
      </c>
      <c r="C1095" s="11" t="n">
        <v>2025</v>
      </c>
      <c r="D1095" s="11" t="n">
        <v>4</v>
      </c>
      <c r="E1095" s="11" t="s">
        <v>108</v>
      </c>
      <c r="F1095" s="11" t="s">
        <v>189</v>
      </c>
      <c r="G1095" s="11" t="n">
        <v>24</v>
      </c>
      <c r="H1095" s="12" t="s">
        <v>1279</v>
      </c>
    </row>
    <row r="1096" customFormat="false" ht="15" hidden="false" customHeight="false" outlineLevel="0" collapsed="false">
      <c r="A1096" s="11" t="s">
        <v>1239</v>
      </c>
      <c r="B1096" s="11" t="s">
        <v>28</v>
      </c>
      <c r="C1096" s="11" t="n">
        <v>2025</v>
      </c>
      <c r="D1096" s="11" t="n">
        <v>5</v>
      </c>
      <c r="E1096" s="11" t="s">
        <v>111</v>
      </c>
      <c r="F1096" s="11" t="s">
        <v>191</v>
      </c>
      <c r="G1096" s="11" t="n">
        <v>20</v>
      </c>
      <c r="H1096" s="12" t="s">
        <v>1280</v>
      </c>
    </row>
    <row r="1097" customFormat="false" ht="15" hidden="false" customHeight="false" outlineLevel="0" collapsed="false">
      <c r="A1097" s="11" t="s">
        <v>1239</v>
      </c>
      <c r="B1097" s="11" t="s">
        <v>28</v>
      </c>
      <c r="C1097" s="11" t="n">
        <v>2025</v>
      </c>
      <c r="D1097" s="11" t="n">
        <v>6</v>
      </c>
      <c r="E1097" s="11" t="s">
        <v>114</v>
      </c>
      <c r="F1097" s="11" t="s">
        <v>193</v>
      </c>
      <c r="G1097" s="11" t="n">
        <v>16</v>
      </c>
      <c r="H1097" s="12" t="s">
        <v>1281</v>
      </c>
    </row>
    <row r="1098" customFormat="false" ht="15" hidden="false" customHeight="false" outlineLevel="0" collapsed="false">
      <c r="A1098" s="11" t="s">
        <v>1239</v>
      </c>
      <c r="B1098" s="11" t="s">
        <v>28</v>
      </c>
      <c r="C1098" s="11" t="n">
        <v>2025</v>
      </c>
      <c r="D1098" s="11" t="n">
        <v>7</v>
      </c>
      <c r="E1098" s="11" t="s">
        <v>117</v>
      </c>
      <c r="F1098" s="11" t="s">
        <v>195</v>
      </c>
      <c r="G1098" s="11" t="n">
        <v>16</v>
      </c>
      <c r="H1098" s="12" t="s">
        <v>1282</v>
      </c>
    </row>
    <row r="1099" customFormat="false" ht="15" hidden="false" customHeight="false" outlineLevel="0" collapsed="false">
      <c r="A1099" s="11" t="s">
        <v>1239</v>
      </c>
      <c r="B1099" s="11" t="s">
        <v>28</v>
      </c>
      <c r="C1099" s="11" t="n">
        <v>2025</v>
      </c>
      <c r="D1099" s="11" t="n">
        <v>8</v>
      </c>
      <c r="E1099" s="11" t="s">
        <v>120</v>
      </c>
      <c r="F1099" s="11" t="s">
        <v>197</v>
      </c>
      <c r="G1099" s="11" t="n">
        <v>20</v>
      </c>
      <c r="H1099" s="12" t="s">
        <v>1283</v>
      </c>
    </row>
    <row r="1100" customFormat="false" ht="15" hidden="false" customHeight="false" outlineLevel="0" collapsed="false">
      <c r="A1100" s="11" t="s">
        <v>1239</v>
      </c>
      <c r="B1100" s="11" t="s">
        <v>28</v>
      </c>
      <c r="C1100" s="11" t="n">
        <v>2025</v>
      </c>
      <c r="D1100" s="11" t="n">
        <v>9</v>
      </c>
      <c r="E1100" s="11" t="s">
        <v>123</v>
      </c>
      <c r="F1100" s="11" t="s">
        <v>199</v>
      </c>
      <c r="G1100" s="11" t="n">
        <v>20</v>
      </c>
      <c r="H1100" s="12" t="s">
        <v>1284</v>
      </c>
    </row>
    <row r="1101" customFormat="false" ht="15" hidden="false" customHeight="false" outlineLevel="0" collapsed="false">
      <c r="A1101" s="11" t="s">
        <v>1239</v>
      </c>
      <c r="B1101" s="11" t="s">
        <v>28</v>
      </c>
      <c r="C1101" s="11" t="n">
        <v>2025</v>
      </c>
      <c r="D1101" s="11" t="n">
        <v>10</v>
      </c>
      <c r="E1101" s="11" t="s">
        <v>126</v>
      </c>
      <c r="F1101" s="11" t="s">
        <v>201</v>
      </c>
      <c r="G1101" s="11" t="n">
        <v>20</v>
      </c>
      <c r="H1101" s="12" t="s">
        <v>1285</v>
      </c>
    </row>
    <row r="1102" customFormat="false" ht="15" hidden="false" customHeight="false" outlineLevel="0" collapsed="false">
      <c r="A1102" s="11" t="s">
        <v>1239</v>
      </c>
      <c r="B1102" s="11" t="s">
        <v>28</v>
      </c>
      <c r="C1102" s="11" t="n">
        <v>2025</v>
      </c>
      <c r="D1102" s="11" t="n">
        <v>11</v>
      </c>
      <c r="E1102" s="11" t="s">
        <v>129</v>
      </c>
      <c r="F1102" s="11" t="s">
        <v>203</v>
      </c>
      <c r="G1102" s="11" t="n">
        <v>16</v>
      </c>
      <c r="H1102" s="12" t="s">
        <v>1286</v>
      </c>
    </row>
    <row r="1103" customFormat="false" ht="15" hidden="false" customHeight="false" outlineLevel="0" collapsed="false">
      <c r="A1103" s="11" t="s">
        <v>1239</v>
      </c>
      <c r="B1103" s="11" t="s">
        <v>28</v>
      </c>
      <c r="C1103" s="11" t="n">
        <v>2025</v>
      </c>
      <c r="D1103" s="11" t="n">
        <v>12</v>
      </c>
      <c r="E1103" s="11" t="s">
        <v>132</v>
      </c>
      <c r="F1103" s="11" t="s">
        <v>205</v>
      </c>
      <c r="G1103" s="11" t="n">
        <v>16</v>
      </c>
      <c r="H1103" s="12" t="s">
        <v>1287</v>
      </c>
    </row>
    <row r="1104" customFormat="false" ht="15" hidden="false" customHeight="false" outlineLevel="0" collapsed="false">
      <c r="A1104" s="11" t="s">
        <v>1239</v>
      </c>
      <c r="B1104" s="11" t="s">
        <v>28</v>
      </c>
      <c r="C1104" s="11" t="n">
        <v>2026</v>
      </c>
      <c r="D1104" s="11" t="n">
        <v>1</v>
      </c>
      <c r="E1104" s="11" t="s">
        <v>99</v>
      </c>
      <c r="F1104" s="11" t="s">
        <v>207</v>
      </c>
      <c r="G1104" s="11" t="n">
        <v>16</v>
      </c>
      <c r="H1104" s="12" t="s">
        <v>1288</v>
      </c>
    </row>
    <row r="1105" customFormat="false" ht="15" hidden="false" customHeight="false" outlineLevel="0" collapsed="false">
      <c r="A1105" s="11" t="s">
        <v>1239</v>
      </c>
      <c r="B1105" s="11" t="s">
        <v>28</v>
      </c>
      <c r="C1105" s="11" t="n">
        <v>2026</v>
      </c>
      <c r="D1105" s="11" t="n">
        <v>2</v>
      </c>
      <c r="E1105" s="11" t="s">
        <v>102</v>
      </c>
      <c r="F1105" s="11" t="s">
        <v>209</v>
      </c>
      <c r="G1105" s="11" t="n">
        <v>12</v>
      </c>
      <c r="H1105" s="12" t="s">
        <v>1289</v>
      </c>
    </row>
    <row r="1106" customFormat="false" ht="15" hidden="false" customHeight="false" outlineLevel="0" collapsed="false">
      <c r="A1106" s="11" t="s">
        <v>1239</v>
      </c>
      <c r="B1106" s="11" t="s">
        <v>28</v>
      </c>
      <c r="C1106" s="11" t="n">
        <v>2026</v>
      </c>
      <c r="D1106" s="11" t="n">
        <v>3</v>
      </c>
      <c r="E1106" s="11" t="s">
        <v>105</v>
      </c>
      <c r="F1106" s="11" t="s">
        <v>211</v>
      </c>
      <c r="G1106" s="11" t="n">
        <v>16</v>
      </c>
      <c r="H1106" s="12" t="s">
        <v>1290</v>
      </c>
    </row>
    <row r="1107" customFormat="false" ht="15" hidden="false" customHeight="false" outlineLevel="0" collapsed="false">
      <c r="A1107" s="11" t="s">
        <v>1239</v>
      </c>
      <c r="B1107" s="11" t="s">
        <v>28</v>
      </c>
      <c r="C1107" s="11" t="n">
        <v>2026</v>
      </c>
      <c r="D1107" s="11" t="n">
        <v>4</v>
      </c>
      <c r="E1107" s="11" t="s">
        <v>108</v>
      </c>
      <c r="F1107" s="11" t="s">
        <v>213</v>
      </c>
      <c r="G1107" s="11" t="n">
        <v>24</v>
      </c>
      <c r="H1107" s="12" t="s">
        <v>1291</v>
      </c>
    </row>
    <row r="1108" customFormat="false" ht="15" hidden="false" customHeight="false" outlineLevel="0" collapsed="false">
      <c r="A1108" s="11" t="s">
        <v>1239</v>
      </c>
      <c r="B1108" s="11" t="s">
        <v>28</v>
      </c>
      <c r="C1108" s="11" t="n">
        <v>2026</v>
      </c>
      <c r="D1108" s="11" t="n">
        <v>5</v>
      </c>
      <c r="E1108" s="11" t="s">
        <v>111</v>
      </c>
      <c r="F1108" s="11" t="s">
        <v>215</v>
      </c>
      <c r="G1108" s="11" t="n">
        <v>16</v>
      </c>
      <c r="H1108" s="12" t="s">
        <v>1292</v>
      </c>
    </row>
    <row r="1109" customFormat="false" ht="15" hidden="false" customHeight="false" outlineLevel="0" collapsed="false">
      <c r="A1109" s="11" t="s">
        <v>1293</v>
      </c>
      <c r="B1109" s="11" t="s">
        <v>29</v>
      </c>
      <c r="C1109" s="11" t="n">
        <v>2022</v>
      </c>
      <c r="D1109" s="11" t="n">
        <v>1</v>
      </c>
      <c r="E1109" s="11" t="s">
        <v>99</v>
      </c>
      <c r="F1109" s="11" t="s">
        <v>100</v>
      </c>
      <c r="G1109" s="11" t="n">
        <v>12</v>
      </c>
      <c r="H1109" s="12" t="s">
        <v>1294</v>
      </c>
    </row>
    <row r="1110" customFormat="false" ht="15" hidden="false" customHeight="false" outlineLevel="0" collapsed="false">
      <c r="A1110" s="11" t="s">
        <v>1293</v>
      </c>
      <c r="B1110" s="11" t="s">
        <v>29</v>
      </c>
      <c r="C1110" s="11" t="n">
        <v>2022</v>
      </c>
      <c r="D1110" s="11" t="n">
        <v>2</v>
      </c>
      <c r="E1110" s="11" t="s">
        <v>102</v>
      </c>
      <c r="F1110" s="11" t="s">
        <v>103</v>
      </c>
      <c r="G1110" s="11" t="n">
        <v>12</v>
      </c>
      <c r="H1110" s="12" t="s">
        <v>1295</v>
      </c>
    </row>
    <row r="1111" customFormat="false" ht="15" hidden="false" customHeight="false" outlineLevel="0" collapsed="false">
      <c r="A1111" s="11" t="s">
        <v>1293</v>
      </c>
      <c r="B1111" s="11" t="s">
        <v>29</v>
      </c>
      <c r="C1111" s="11" t="n">
        <v>2022</v>
      </c>
      <c r="D1111" s="11" t="n">
        <v>3</v>
      </c>
      <c r="E1111" s="11" t="s">
        <v>105</v>
      </c>
      <c r="F1111" s="11" t="s">
        <v>106</v>
      </c>
      <c r="G1111" s="11" t="n">
        <v>16</v>
      </c>
      <c r="H1111" s="12" t="s">
        <v>1296</v>
      </c>
    </row>
    <row r="1112" customFormat="false" ht="15" hidden="false" customHeight="false" outlineLevel="0" collapsed="false">
      <c r="A1112" s="11" t="s">
        <v>1293</v>
      </c>
      <c r="B1112" s="11" t="s">
        <v>29</v>
      </c>
      <c r="C1112" s="11" t="n">
        <v>2022</v>
      </c>
      <c r="D1112" s="11" t="n">
        <v>4</v>
      </c>
      <c r="E1112" s="11" t="s">
        <v>108</v>
      </c>
      <c r="F1112" s="11" t="s">
        <v>109</v>
      </c>
      <c r="G1112" s="11" t="n">
        <v>20</v>
      </c>
      <c r="H1112" s="12" t="s">
        <v>1297</v>
      </c>
    </row>
    <row r="1113" customFormat="false" ht="15" hidden="false" customHeight="false" outlineLevel="0" collapsed="false">
      <c r="A1113" s="11" t="s">
        <v>1293</v>
      </c>
      <c r="B1113" s="11" t="s">
        <v>29</v>
      </c>
      <c r="C1113" s="11" t="n">
        <v>2022</v>
      </c>
      <c r="D1113" s="11" t="n">
        <v>5</v>
      </c>
      <c r="E1113" s="11" t="s">
        <v>111</v>
      </c>
      <c r="F1113" s="11" t="s">
        <v>112</v>
      </c>
      <c r="G1113" s="11" t="n">
        <v>16</v>
      </c>
      <c r="H1113" s="12" t="s">
        <v>1298</v>
      </c>
    </row>
    <row r="1114" customFormat="false" ht="15" hidden="false" customHeight="false" outlineLevel="0" collapsed="false">
      <c r="A1114" s="11" t="s">
        <v>1293</v>
      </c>
      <c r="B1114" s="11" t="s">
        <v>29</v>
      </c>
      <c r="C1114" s="11" t="n">
        <v>2022</v>
      </c>
      <c r="D1114" s="11" t="n">
        <v>6</v>
      </c>
      <c r="E1114" s="11" t="s">
        <v>114</v>
      </c>
      <c r="F1114" s="11" t="s">
        <v>115</v>
      </c>
      <c r="G1114" s="11" t="n">
        <v>16</v>
      </c>
      <c r="H1114" s="12" t="s">
        <v>1299</v>
      </c>
    </row>
    <row r="1115" customFormat="false" ht="15" hidden="false" customHeight="false" outlineLevel="0" collapsed="false">
      <c r="A1115" s="11" t="s">
        <v>1293</v>
      </c>
      <c r="B1115" s="11" t="s">
        <v>29</v>
      </c>
      <c r="C1115" s="11" t="n">
        <v>2022</v>
      </c>
      <c r="D1115" s="11" t="n">
        <v>7</v>
      </c>
      <c r="E1115" s="11" t="s">
        <v>117</v>
      </c>
      <c r="F1115" s="11" t="s">
        <v>118</v>
      </c>
      <c r="G1115" s="11" t="n">
        <v>16</v>
      </c>
      <c r="H1115" s="12" t="s">
        <v>1300</v>
      </c>
    </row>
    <row r="1116" customFormat="false" ht="15" hidden="false" customHeight="false" outlineLevel="0" collapsed="false">
      <c r="A1116" s="11" t="s">
        <v>1293</v>
      </c>
      <c r="B1116" s="11" t="s">
        <v>29</v>
      </c>
      <c r="C1116" s="11" t="n">
        <v>2022</v>
      </c>
      <c r="D1116" s="11" t="n">
        <v>8</v>
      </c>
      <c r="E1116" s="11" t="s">
        <v>120</v>
      </c>
      <c r="F1116" s="11" t="s">
        <v>121</v>
      </c>
      <c r="G1116" s="11" t="n">
        <v>12</v>
      </c>
      <c r="H1116" s="12" t="s">
        <v>1301</v>
      </c>
    </row>
    <row r="1117" customFormat="false" ht="15" hidden="false" customHeight="false" outlineLevel="0" collapsed="false">
      <c r="A1117" s="11" t="s">
        <v>1293</v>
      </c>
      <c r="B1117" s="11" t="s">
        <v>29</v>
      </c>
      <c r="C1117" s="11" t="n">
        <v>2022</v>
      </c>
      <c r="D1117" s="11" t="n">
        <v>9</v>
      </c>
      <c r="E1117" s="11" t="s">
        <v>123</v>
      </c>
      <c r="F1117" s="11" t="s">
        <v>124</v>
      </c>
      <c r="G1117" s="11" t="n">
        <v>16</v>
      </c>
      <c r="H1117" s="12" t="s">
        <v>1302</v>
      </c>
    </row>
    <row r="1118" customFormat="false" ht="15" hidden="false" customHeight="false" outlineLevel="0" collapsed="false">
      <c r="A1118" s="11" t="s">
        <v>1293</v>
      </c>
      <c r="B1118" s="11" t="s">
        <v>29</v>
      </c>
      <c r="C1118" s="11" t="n">
        <v>2022</v>
      </c>
      <c r="D1118" s="11" t="n">
        <v>10</v>
      </c>
      <c r="E1118" s="11" t="s">
        <v>126</v>
      </c>
      <c r="F1118" s="11" t="s">
        <v>127</v>
      </c>
      <c r="G1118" s="11" t="n">
        <v>20</v>
      </c>
      <c r="H1118" s="12" t="s">
        <v>1303</v>
      </c>
    </row>
    <row r="1119" customFormat="false" ht="15" hidden="false" customHeight="false" outlineLevel="0" collapsed="false">
      <c r="A1119" s="11" t="s">
        <v>1293</v>
      </c>
      <c r="B1119" s="11" t="s">
        <v>29</v>
      </c>
      <c r="C1119" s="11" t="n">
        <v>2022</v>
      </c>
      <c r="D1119" s="11" t="n">
        <v>11</v>
      </c>
      <c r="E1119" s="11" t="s">
        <v>129</v>
      </c>
      <c r="F1119" s="11" t="s">
        <v>130</v>
      </c>
      <c r="G1119" s="11" t="n">
        <v>16</v>
      </c>
      <c r="H1119" s="12" t="s">
        <v>1304</v>
      </c>
    </row>
    <row r="1120" customFormat="false" ht="15" hidden="false" customHeight="false" outlineLevel="0" collapsed="false">
      <c r="A1120" s="11" t="s">
        <v>1293</v>
      </c>
      <c r="B1120" s="11" t="s">
        <v>29</v>
      </c>
      <c r="C1120" s="11" t="n">
        <v>2022</v>
      </c>
      <c r="D1120" s="11" t="n">
        <v>12</v>
      </c>
      <c r="E1120" s="11" t="s">
        <v>132</v>
      </c>
      <c r="F1120" s="11" t="s">
        <v>133</v>
      </c>
      <c r="G1120" s="11" t="n">
        <v>20</v>
      </c>
      <c r="H1120" s="12" t="s">
        <v>1305</v>
      </c>
    </row>
    <row r="1121" customFormat="false" ht="15" hidden="false" customHeight="false" outlineLevel="0" collapsed="false">
      <c r="A1121" s="11" t="s">
        <v>1293</v>
      </c>
      <c r="B1121" s="11" t="s">
        <v>29</v>
      </c>
      <c r="C1121" s="11" t="n">
        <v>2023</v>
      </c>
      <c r="D1121" s="11" t="n">
        <v>1</v>
      </c>
      <c r="E1121" s="11" t="s">
        <v>99</v>
      </c>
      <c r="F1121" s="11" t="s">
        <v>135</v>
      </c>
      <c r="G1121" s="11" t="n">
        <v>12</v>
      </c>
      <c r="H1121" s="12" t="s">
        <v>1306</v>
      </c>
    </row>
    <row r="1122" customFormat="false" ht="15" hidden="false" customHeight="false" outlineLevel="0" collapsed="false">
      <c r="A1122" s="11" t="s">
        <v>1293</v>
      </c>
      <c r="B1122" s="11" t="s">
        <v>29</v>
      </c>
      <c r="C1122" s="11" t="n">
        <v>2023</v>
      </c>
      <c r="D1122" s="11" t="n">
        <v>2</v>
      </c>
      <c r="E1122" s="11" t="s">
        <v>102</v>
      </c>
      <c r="F1122" s="11" t="s">
        <v>137</v>
      </c>
      <c r="G1122" s="11" t="n">
        <v>12</v>
      </c>
      <c r="H1122" s="12" t="s">
        <v>1307</v>
      </c>
    </row>
    <row r="1123" customFormat="false" ht="15" hidden="false" customHeight="false" outlineLevel="0" collapsed="false">
      <c r="A1123" s="11" t="s">
        <v>1293</v>
      </c>
      <c r="B1123" s="11" t="s">
        <v>29</v>
      </c>
      <c r="C1123" s="11" t="n">
        <v>2023</v>
      </c>
      <c r="D1123" s="11" t="n">
        <v>3</v>
      </c>
      <c r="E1123" s="11" t="s">
        <v>105</v>
      </c>
      <c r="F1123" s="11" t="s">
        <v>139</v>
      </c>
      <c r="G1123" s="11" t="n">
        <v>16</v>
      </c>
      <c r="H1123" s="12" t="s">
        <v>1308</v>
      </c>
    </row>
    <row r="1124" customFormat="false" ht="15" hidden="false" customHeight="false" outlineLevel="0" collapsed="false">
      <c r="A1124" s="11" t="s">
        <v>1293</v>
      </c>
      <c r="B1124" s="11" t="s">
        <v>29</v>
      </c>
      <c r="C1124" s="11" t="n">
        <v>2023</v>
      </c>
      <c r="D1124" s="11" t="n">
        <v>4</v>
      </c>
      <c r="E1124" s="11" t="s">
        <v>108</v>
      </c>
      <c r="F1124" s="11" t="s">
        <v>141</v>
      </c>
      <c r="G1124" s="11" t="n">
        <v>16</v>
      </c>
      <c r="H1124" s="12" t="s">
        <v>1309</v>
      </c>
    </row>
    <row r="1125" customFormat="false" ht="15" hidden="false" customHeight="false" outlineLevel="0" collapsed="false">
      <c r="A1125" s="11" t="s">
        <v>1293</v>
      </c>
      <c r="B1125" s="11" t="s">
        <v>29</v>
      </c>
      <c r="C1125" s="11" t="n">
        <v>2023</v>
      </c>
      <c r="D1125" s="11" t="n">
        <v>5</v>
      </c>
      <c r="E1125" s="11" t="s">
        <v>111</v>
      </c>
      <c r="F1125" s="11" t="s">
        <v>143</v>
      </c>
      <c r="G1125" s="11" t="n">
        <v>16</v>
      </c>
      <c r="H1125" s="12" t="s">
        <v>1310</v>
      </c>
    </row>
    <row r="1126" customFormat="false" ht="15" hidden="false" customHeight="false" outlineLevel="0" collapsed="false">
      <c r="A1126" s="11" t="s">
        <v>1293</v>
      </c>
      <c r="B1126" s="11" t="s">
        <v>29</v>
      </c>
      <c r="C1126" s="11" t="n">
        <v>2023</v>
      </c>
      <c r="D1126" s="11" t="n">
        <v>6</v>
      </c>
      <c r="E1126" s="11" t="s">
        <v>114</v>
      </c>
      <c r="F1126" s="11" t="s">
        <v>145</v>
      </c>
      <c r="G1126" s="11" t="n">
        <v>20</v>
      </c>
      <c r="H1126" s="12" t="s">
        <v>1311</v>
      </c>
    </row>
    <row r="1127" customFormat="false" ht="15" hidden="false" customHeight="false" outlineLevel="0" collapsed="false">
      <c r="A1127" s="11" t="s">
        <v>1293</v>
      </c>
      <c r="B1127" s="11" t="s">
        <v>29</v>
      </c>
      <c r="C1127" s="11" t="n">
        <v>2023</v>
      </c>
      <c r="D1127" s="11" t="n">
        <v>7</v>
      </c>
      <c r="E1127" s="11" t="s">
        <v>117</v>
      </c>
      <c r="F1127" s="11" t="s">
        <v>147</v>
      </c>
      <c r="G1127" s="11" t="n">
        <v>16</v>
      </c>
      <c r="H1127" s="12" t="s">
        <v>1312</v>
      </c>
    </row>
    <row r="1128" customFormat="false" ht="15" hidden="false" customHeight="false" outlineLevel="0" collapsed="false">
      <c r="A1128" s="11" t="s">
        <v>1293</v>
      </c>
      <c r="B1128" s="11" t="s">
        <v>29</v>
      </c>
      <c r="C1128" s="11" t="n">
        <v>2023</v>
      </c>
      <c r="D1128" s="11" t="n">
        <v>8</v>
      </c>
      <c r="E1128" s="11" t="s">
        <v>120</v>
      </c>
      <c r="F1128" s="11" t="s">
        <v>149</v>
      </c>
      <c r="G1128" s="11" t="n">
        <v>16</v>
      </c>
      <c r="H1128" s="12" t="s">
        <v>1313</v>
      </c>
    </row>
    <row r="1129" customFormat="false" ht="15" hidden="false" customHeight="false" outlineLevel="0" collapsed="false">
      <c r="A1129" s="11" t="s">
        <v>1293</v>
      </c>
      <c r="B1129" s="11" t="s">
        <v>29</v>
      </c>
      <c r="C1129" s="11" t="n">
        <v>2023</v>
      </c>
      <c r="D1129" s="11" t="n">
        <v>9</v>
      </c>
      <c r="E1129" s="11" t="s">
        <v>123</v>
      </c>
      <c r="F1129" s="11" t="s">
        <v>151</v>
      </c>
      <c r="G1129" s="11" t="n">
        <v>16</v>
      </c>
      <c r="H1129" s="12" t="s">
        <v>1314</v>
      </c>
    </row>
    <row r="1130" customFormat="false" ht="15" hidden="false" customHeight="false" outlineLevel="0" collapsed="false">
      <c r="A1130" s="11" t="s">
        <v>1293</v>
      </c>
      <c r="B1130" s="11" t="s">
        <v>29</v>
      </c>
      <c r="C1130" s="11" t="n">
        <v>2023</v>
      </c>
      <c r="D1130" s="11" t="n">
        <v>10</v>
      </c>
      <c r="E1130" s="11" t="s">
        <v>126</v>
      </c>
      <c r="F1130" s="11" t="s">
        <v>153</v>
      </c>
      <c r="G1130" s="11" t="n">
        <v>16</v>
      </c>
      <c r="H1130" s="12" t="s">
        <v>1315</v>
      </c>
    </row>
    <row r="1131" customFormat="false" ht="15" hidden="false" customHeight="false" outlineLevel="0" collapsed="false">
      <c r="A1131" s="11" t="s">
        <v>1293</v>
      </c>
      <c r="B1131" s="11" t="s">
        <v>29</v>
      </c>
      <c r="C1131" s="11" t="n">
        <v>2023</v>
      </c>
      <c r="D1131" s="11" t="n">
        <v>11</v>
      </c>
      <c r="E1131" s="11" t="s">
        <v>129</v>
      </c>
      <c r="F1131" s="11" t="s">
        <v>155</v>
      </c>
      <c r="G1131" s="11" t="n">
        <v>16</v>
      </c>
      <c r="H1131" s="12" t="s">
        <v>1316</v>
      </c>
    </row>
    <row r="1132" customFormat="false" ht="15" hidden="false" customHeight="false" outlineLevel="0" collapsed="false">
      <c r="A1132" s="11" t="s">
        <v>1293</v>
      </c>
      <c r="B1132" s="11" t="s">
        <v>29</v>
      </c>
      <c r="C1132" s="11" t="n">
        <v>2023</v>
      </c>
      <c r="D1132" s="11" t="n">
        <v>12</v>
      </c>
      <c r="E1132" s="11" t="s">
        <v>132</v>
      </c>
      <c r="F1132" s="11" t="s">
        <v>157</v>
      </c>
      <c r="G1132" s="11" t="n">
        <v>16</v>
      </c>
      <c r="H1132" s="12" t="s">
        <v>1317</v>
      </c>
    </row>
    <row r="1133" customFormat="false" ht="15" hidden="false" customHeight="false" outlineLevel="0" collapsed="false">
      <c r="A1133" s="11" t="s">
        <v>1293</v>
      </c>
      <c r="B1133" s="11" t="s">
        <v>29</v>
      </c>
      <c r="C1133" s="11" t="n">
        <v>2024</v>
      </c>
      <c r="D1133" s="11" t="n">
        <v>1</v>
      </c>
      <c r="E1133" s="11" t="s">
        <v>99</v>
      </c>
      <c r="F1133" s="11" t="s">
        <v>159</v>
      </c>
      <c r="G1133" s="11" t="n">
        <v>12</v>
      </c>
      <c r="H1133" s="12" t="s">
        <v>1318</v>
      </c>
    </row>
    <row r="1134" customFormat="false" ht="15" hidden="false" customHeight="false" outlineLevel="0" collapsed="false">
      <c r="A1134" s="11" t="s">
        <v>1293</v>
      </c>
      <c r="B1134" s="11" t="s">
        <v>29</v>
      </c>
      <c r="C1134" s="11" t="n">
        <v>2024</v>
      </c>
      <c r="D1134" s="11" t="n">
        <v>2</v>
      </c>
      <c r="E1134" s="11" t="s">
        <v>102</v>
      </c>
      <c r="F1134" s="11" t="s">
        <v>161</v>
      </c>
      <c r="G1134" s="11" t="n">
        <v>12</v>
      </c>
      <c r="H1134" s="12" t="s">
        <v>1319</v>
      </c>
    </row>
    <row r="1135" customFormat="false" ht="15" hidden="false" customHeight="false" outlineLevel="0" collapsed="false">
      <c r="A1135" s="11" t="s">
        <v>1293</v>
      </c>
      <c r="B1135" s="11" t="s">
        <v>29</v>
      </c>
      <c r="C1135" s="11" t="n">
        <v>2024</v>
      </c>
      <c r="D1135" s="11" t="n">
        <v>3</v>
      </c>
      <c r="E1135" s="11" t="s">
        <v>105</v>
      </c>
      <c r="F1135" s="11" t="s">
        <v>163</v>
      </c>
      <c r="G1135" s="11" t="n">
        <v>12</v>
      </c>
      <c r="H1135" s="12" t="s">
        <v>1320</v>
      </c>
    </row>
    <row r="1136" customFormat="false" ht="15" hidden="false" customHeight="false" outlineLevel="0" collapsed="false">
      <c r="A1136" s="11" t="s">
        <v>1293</v>
      </c>
      <c r="B1136" s="11" t="s">
        <v>29</v>
      </c>
      <c r="C1136" s="11" t="n">
        <v>2024</v>
      </c>
      <c r="D1136" s="11" t="n">
        <v>4</v>
      </c>
      <c r="E1136" s="11" t="s">
        <v>108</v>
      </c>
      <c r="F1136" s="11" t="s">
        <v>165</v>
      </c>
      <c r="G1136" s="11" t="n">
        <v>16</v>
      </c>
      <c r="H1136" s="12" t="s">
        <v>1321</v>
      </c>
    </row>
    <row r="1137" customFormat="false" ht="15" hidden="false" customHeight="false" outlineLevel="0" collapsed="false">
      <c r="A1137" s="11" t="s">
        <v>1293</v>
      </c>
      <c r="B1137" s="11" t="s">
        <v>29</v>
      </c>
      <c r="C1137" s="11" t="n">
        <v>2024</v>
      </c>
      <c r="D1137" s="11" t="n">
        <v>5</v>
      </c>
      <c r="E1137" s="11" t="s">
        <v>111</v>
      </c>
      <c r="F1137" s="11" t="s">
        <v>167</v>
      </c>
      <c r="G1137" s="11" t="n">
        <v>16</v>
      </c>
      <c r="H1137" s="12" t="s">
        <v>1322</v>
      </c>
    </row>
    <row r="1138" customFormat="false" ht="15" hidden="false" customHeight="false" outlineLevel="0" collapsed="false">
      <c r="A1138" s="11" t="s">
        <v>1293</v>
      </c>
      <c r="B1138" s="11" t="s">
        <v>29</v>
      </c>
      <c r="C1138" s="11" t="n">
        <v>2024</v>
      </c>
      <c r="D1138" s="11" t="n">
        <v>6</v>
      </c>
      <c r="E1138" s="11" t="s">
        <v>114</v>
      </c>
      <c r="F1138" s="11" t="s">
        <v>169</v>
      </c>
      <c r="G1138" s="11" t="n">
        <v>16</v>
      </c>
      <c r="H1138" s="12" t="s">
        <v>1323</v>
      </c>
    </row>
    <row r="1139" customFormat="false" ht="15" hidden="false" customHeight="false" outlineLevel="0" collapsed="false">
      <c r="A1139" s="11" t="s">
        <v>1293</v>
      </c>
      <c r="B1139" s="11" t="s">
        <v>29</v>
      </c>
      <c r="C1139" s="11" t="n">
        <v>2024</v>
      </c>
      <c r="D1139" s="11" t="n">
        <v>7</v>
      </c>
      <c r="E1139" s="11" t="s">
        <v>117</v>
      </c>
      <c r="F1139" s="11" t="s">
        <v>171</v>
      </c>
      <c r="G1139" s="11" t="n">
        <v>12</v>
      </c>
      <c r="H1139" s="12" t="s">
        <v>1324</v>
      </c>
    </row>
    <row r="1140" customFormat="false" ht="15" hidden="false" customHeight="false" outlineLevel="0" collapsed="false">
      <c r="A1140" s="11" t="s">
        <v>1293</v>
      </c>
      <c r="B1140" s="11" t="s">
        <v>29</v>
      </c>
      <c r="C1140" s="11" t="n">
        <v>2024</v>
      </c>
      <c r="D1140" s="11" t="n">
        <v>8</v>
      </c>
      <c r="E1140" s="11" t="s">
        <v>120</v>
      </c>
      <c r="F1140" s="11" t="s">
        <v>173</v>
      </c>
      <c r="G1140" s="11" t="n">
        <v>12</v>
      </c>
      <c r="H1140" s="12" t="s">
        <v>1325</v>
      </c>
    </row>
    <row r="1141" customFormat="false" ht="15" hidden="false" customHeight="false" outlineLevel="0" collapsed="false">
      <c r="A1141" s="11" t="s">
        <v>1293</v>
      </c>
      <c r="B1141" s="11" t="s">
        <v>29</v>
      </c>
      <c r="C1141" s="11" t="n">
        <v>2024</v>
      </c>
      <c r="D1141" s="11" t="n">
        <v>9</v>
      </c>
      <c r="E1141" s="11" t="s">
        <v>123</v>
      </c>
      <c r="F1141" s="11" t="s">
        <v>175</v>
      </c>
      <c r="G1141" s="11" t="n">
        <v>12</v>
      </c>
      <c r="H1141" s="12" t="s">
        <v>1326</v>
      </c>
    </row>
    <row r="1142" customFormat="false" ht="15" hidden="false" customHeight="false" outlineLevel="0" collapsed="false">
      <c r="A1142" s="11" t="s">
        <v>1293</v>
      </c>
      <c r="B1142" s="11" t="s">
        <v>29</v>
      </c>
      <c r="C1142" s="11" t="n">
        <v>2024</v>
      </c>
      <c r="D1142" s="11" t="n">
        <v>10</v>
      </c>
      <c r="E1142" s="11" t="s">
        <v>126</v>
      </c>
      <c r="F1142" s="11" t="s">
        <v>177</v>
      </c>
      <c r="G1142" s="11" t="n">
        <v>12</v>
      </c>
      <c r="H1142" s="12" t="s">
        <v>1327</v>
      </c>
    </row>
    <row r="1143" customFormat="false" ht="15" hidden="false" customHeight="false" outlineLevel="0" collapsed="false">
      <c r="A1143" s="11" t="s">
        <v>1293</v>
      </c>
      <c r="B1143" s="11" t="s">
        <v>29</v>
      </c>
      <c r="C1143" s="11" t="n">
        <v>2024</v>
      </c>
      <c r="D1143" s="11" t="n">
        <v>11</v>
      </c>
      <c r="E1143" s="11" t="s">
        <v>129</v>
      </c>
      <c r="F1143" s="11" t="s">
        <v>179</v>
      </c>
      <c r="G1143" s="11" t="n">
        <v>12</v>
      </c>
      <c r="H1143" s="12" t="s">
        <v>1328</v>
      </c>
    </row>
    <row r="1144" customFormat="false" ht="15" hidden="false" customHeight="false" outlineLevel="0" collapsed="false">
      <c r="A1144" s="11" t="s">
        <v>1293</v>
      </c>
      <c r="B1144" s="11" t="s">
        <v>29</v>
      </c>
      <c r="C1144" s="11" t="n">
        <v>2024</v>
      </c>
      <c r="D1144" s="11" t="n">
        <v>12</v>
      </c>
      <c r="E1144" s="11" t="s">
        <v>132</v>
      </c>
      <c r="F1144" s="11" t="s">
        <v>181</v>
      </c>
      <c r="G1144" s="11" t="n">
        <v>12</v>
      </c>
      <c r="H1144" s="12" t="s">
        <v>1329</v>
      </c>
    </row>
    <row r="1145" customFormat="false" ht="15" hidden="false" customHeight="false" outlineLevel="0" collapsed="false">
      <c r="A1145" s="11" t="s">
        <v>1293</v>
      </c>
      <c r="B1145" s="11" t="s">
        <v>29</v>
      </c>
      <c r="C1145" s="11" t="n">
        <v>2025</v>
      </c>
      <c r="D1145" s="11" t="n">
        <v>1</v>
      </c>
      <c r="E1145" s="11" t="s">
        <v>99</v>
      </c>
      <c r="F1145" s="11" t="s">
        <v>183</v>
      </c>
      <c r="G1145" s="11" t="n">
        <v>8</v>
      </c>
      <c r="H1145" s="12" t="s">
        <v>1330</v>
      </c>
    </row>
    <row r="1146" customFormat="false" ht="15" hidden="false" customHeight="false" outlineLevel="0" collapsed="false">
      <c r="A1146" s="11" t="s">
        <v>1293</v>
      </c>
      <c r="B1146" s="11" t="s">
        <v>29</v>
      </c>
      <c r="C1146" s="11" t="n">
        <v>2025</v>
      </c>
      <c r="D1146" s="11" t="n">
        <v>2</v>
      </c>
      <c r="E1146" s="11" t="s">
        <v>102</v>
      </c>
      <c r="F1146" s="11" t="s">
        <v>185</v>
      </c>
      <c r="G1146" s="11" t="n">
        <v>12</v>
      </c>
      <c r="H1146" s="12" t="s">
        <v>1331</v>
      </c>
    </row>
    <row r="1147" customFormat="false" ht="15" hidden="false" customHeight="false" outlineLevel="0" collapsed="false">
      <c r="A1147" s="11" t="s">
        <v>1293</v>
      </c>
      <c r="B1147" s="11" t="s">
        <v>29</v>
      </c>
      <c r="C1147" s="11" t="n">
        <v>2025</v>
      </c>
      <c r="D1147" s="11" t="n">
        <v>3</v>
      </c>
      <c r="E1147" s="11" t="s">
        <v>105</v>
      </c>
      <c r="F1147" s="11" t="s">
        <v>187</v>
      </c>
      <c r="G1147" s="11" t="n">
        <v>12</v>
      </c>
      <c r="H1147" s="12" t="s">
        <v>1332</v>
      </c>
    </row>
    <row r="1148" customFormat="false" ht="15" hidden="false" customHeight="false" outlineLevel="0" collapsed="false">
      <c r="A1148" s="11" t="s">
        <v>1293</v>
      </c>
      <c r="B1148" s="11" t="s">
        <v>29</v>
      </c>
      <c r="C1148" s="11" t="n">
        <v>2025</v>
      </c>
      <c r="D1148" s="11" t="n">
        <v>4</v>
      </c>
      <c r="E1148" s="11" t="s">
        <v>108</v>
      </c>
      <c r="F1148" s="11" t="s">
        <v>189</v>
      </c>
      <c r="G1148" s="11" t="n">
        <v>16</v>
      </c>
      <c r="H1148" s="12" t="s">
        <v>1333</v>
      </c>
    </row>
    <row r="1149" customFormat="false" ht="15" hidden="false" customHeight="false" outlineLevel="0" collapsed="false">
      <c r="A1149" s="11" t="s">
        <v>1293</v>
      </c>
      <c r="B1149" s="11" t="s">
        <v>29</v>
      </c>
      <c r="C1149" s="11" t="n">
        <v>2025</v>
      </c>
      <c r="D1149" s="11" t="n">
        <v>5</v>
      </c>
      <c r="E1149" s="11" t="s">
        <v>111</v>
      </c>
      <c r="F1149" s="11" t="s">
        <v>191</v>
      </c>
      <c r="G1149" s="11" t="n">
        <v>16</v>
      </c>
      <c r="H1149" s="12" t="s">
        <v>1334</v>
      </c>
    </row>
    <row r="1150" customFormat="false" ht="15" hidden="false" customHeight="false" outlineLevel="0" collapsed="false">
      <c r="A1150" s="11" t="s">
        <v>1293</v>
      </c>
      <c r="B1150" s="11" t="s">
        <v>29</v>
      </c>
      <c r="C1150" s="11" t="n">
        <v>2025</v>
      </c>
      <c r="D1150" s="11" t="n">
        <v>6</v>
      </c>
      <c r="E1150" s="11" t="s">
        <v>114</v>
      </c>
      <c r="F1150" s="11" t="s">
        <v>193</v>
      </c>
      <c r="G1150" s="11" t="n">
        <v>12</v>
      </c>
      <c r="H1150" s="12" t="s">
        <v>1335</v>
      </c>
    </row>
    <row r="1151" customFormat="false" ht="15" hidden="false" customHeight="false" outlineLevel="0" collapsed="false">
      <c r="A1151" s="11" t="s">
        <v>1293</v>
      </c>
      <c r="B1151" s="11" t="s">
        <v>29</v>
      </c>
      <c r="C1151" s="11" t="n">
        <v>2025</v>
      </c>
      <c r="D1151" s="11" t="n">
        <v>7</v>
      </c>
      <c r="E1151" s="11" t="s">
        <v>117</v>
      </c>
      <c r="F1151" s="11" t="s">
        <v>195</v>
      </c>
      <c r="G1151" s="11" t="n">
        <v>12</v>
      </c>
      <c r="H1151" s="12" t="s">
        <v>1336</v>
      </c>
    </row>
    <row r="1152" customFormat="false" ht="15" hidden="false" customHeight="false" outlineLevel="0" collapsed="false">
      <c r="A1152" s="11" t="s">
        <v>1293</v>
      </c>
      <c r="B1152" s="11" t="s">
        <v>29</v>
      </c>
      <c r="C1152" s="11" t="n">
        <v>2025</v>
      </c>
      <c r="D1152" s="11" t="n">
        <v>8</v>
      </c>
      <c r="E1152" s="11" t="s">
        <v>120</v>
      </c>
      <c r="F1152" s="11" t="s">
        <v>197</v>
      </c>
      <c r="G1152" s="11" t="n">
        <v>16</v>
      </c>
      <c r="H1152" s="12" t="s">
        <v>1337</v>
      </c>
    </row>
    <row r="1153" customFormat="false" ht="15" hidden="false" customHeight="false" outlineLevel="0" collapsed="false">
      <c r="A1153" s="11" t="s">
        <v>1293</v>
      </c>
      <c r="B1153" s="11" t="s">
        <v>29</v>
      </c>
      <c r="C1153" s="11" t="n">
        <v>2025</v>
      </c>
      <c r="D1153" s="11" t="n">
        <v>9</v>
      </c>
      <c r="E1153" s="11" t="s">
        <v>123</v>
      </c>
      <c r="F1153" s="11" t="s">
        <v>199</v>
      </c>
      <c r="G1153" s="11" t="n">
        <v>12</v>
      </c>
      <c r="H1153" s="12" t="s">
        <v>1338</v>
      </c>
    </row>
    <row r="1154" customFormat="false" ht="15" hidden="false" customHeight="false" outlineLevel="0" collapsed="false">
      <c r="A1154" s="11" t="s">
        <v>1293</v>
      </c>
      <c r="B1154" s="11" t="s">
        <v>29</v>
      </c>
      <c r="C1154" s="11" t="n">
        <v>2025</v>
      </c>
      <c r="D1154" s="11" t="n">
        <v>10</v>
      </c>
      <c r="E1154" s="11" t="s">
        <v>126</v>
      </c>
      <c r="F1154" s="11" t="s">
        <v>201</v>
      </c>
      <c r="G1154" s="11" t="n">
        <v>16</v>
      </c>
      <c r="H1154" s="12" t="s">
        <v>1339</v>
      </c>
    </row>
    <row r="1155" customFormat="false" ht="15" hidden="false" customHeight="false" outlineLevel="0" collapsed="false">
      <c r="A1155" s="11" t="s">
        <v>1293</v>
      </c>
      <c r="B1155" s="11" t="s">
        <v>29</v>
      </c>
      <c r="C1155" s="11" t="n">
        <v>2025</v>
      </c>
      <c r="D1155" s="11" t="n">
        <v>11</v>
      </c>
      <c r="E1155" s="11" t="s">
        <v>129</v>
      </c>
      <c r="F1155" s="11" t="s">
        <v>203</v>
      </c>
      <c r="G1155" s="11" t="n">
        <v>12</v>
      </c>
      <c r="H1155" s="12" t="s">
        <v>1340</v>
      </c>
    </row>
    <row r="1156" customFormat="false" ht="15" hidden="false" customHeight="false" outlineLevel="0" collapsed="false">
      <c r="A1156" s="11" t="s">
        <v>1293</v>
      </c>
      <c r="B1156" s="11" t="s">
        <v>29</v>
      </c>
      <c r="C1156" s="11" t="n">
        <v>2025</v>
      </c>
      <c r="D1156" s="11" t="n">
        <v>12</v>
      </c>
      <c r="E1156" s="11" t="s">
        <v>132</v>
      </c>
      <c r="F1156" s="11" t="s">
        <v>205</v>
      </c>
      <c r="G1156" s="11" t="n">
        <v>12</v>
      </c>
      <c r="H1156" s="12" t="s">
        <v>1341</v>
      </c>
    </row>
    <row r="1157" customFormat="false" ht="15" hidden="false" customHeight="false" outlineLevel="0" collapsed="false">
      <c r="A1157" s="11" t="s">
        <v>1293</v>
      </c>
      <c r="B1157" s="11" t="s">
        <v>29</v>
      </c>
      <c r="C1157" s="11" t="n">
        <v>2026</v>
      </c>
      <c r="D1157" s="11" t="n">
        <v>1</v>
      </c>
      <c r="E1157" s="11" t="s">
        <v>99</v>
      </c>
      <c r="F1157" s="11" t="s">
        <v>207</v>
      </c>
      <c r="G1157" s="11" t="n">
        <v>12</v>
      </c>
      <c r="H1157" s="12" t="s">
        <v>1342</v>
      </c>
    </row>
    <row r="1158" customFormat="false" ht="15" hidden="false" customHeight="false" outlineLevel="0" collapsed="false">
      <c r="A1158" s="11" t="s">
        <v>1293</v>
      </c>
      <c r="B1158" s="11" t="s">
        <v>29</v>
      </c>
      <c r="C1158" s="11" t="n">
        <v>2026</v>
      </c>
      <c r="D1158" s="11" t="n">
        <v>2</v>
      </c>
      <c r="E1158" s="11" t="s">
        <v>102</v>
      </c>
      <c r="F1158" s="11" t="s">
        <v>209</v>
      </c>
      <c r="G1158" s="11" t="n">
        <v>12</v>
      </c>
      <c r="H1158" s="12" t="s">
        <v>1343</v>
      </c>
    </row>
    <row r="1159" customFormat="false" ht="15" hidden="false" customHeight="false" outlineLevel="0" collapsed="false">
      <c r="A1159" s="11" t="s">
        <v>1293</v>
      </c>
      <c r="B1159" s="11" t="s">
        <v>29</v>
      </c>
      <c r="C1159" s="11" t="n">
        <v>2026</v>
      </c>
      <c r="D1159" s="11" t="n">
        <v>3</v>
      </c>
      <c r="E1159" s="11" t="s">
        <v>105</v>
      </c>
      <c r="F1159" s="11" t="s">
        <v>211</v>
      </c>
      <c r="G1159" s="11" t="n">
        <v>12</v>
      </c>
      <c r="H1159" s="12" t="s">
        <v>1344</v>
      </c>
    </row>
    <row r="1160" customFormat="false" ht="15" hidden="false" customHeight="false" outlineLevel="0" collapsed="false">
      <c r="A1160" s="11" t="s">
        <v>1293</v>
      </c>
      <c r="B1160" s="11" t="s">
        <v>29</v>
      </c>
      <c r="C1160" s="11" t="n">
        <v>2026</v>
      </c>
      <c r="D1160" s="11" t="n">
        <v>4</v>
      </c>
      <c r="E1160" s="11" t="s">
        <v>108</v>
      </c>
      <c r="F1160" s="11" t="s">
        <v>213</v>
      </c>
      <c r="G1160" s="11" t="n">
        <v>12</v>
      </c>
      <c r="H1160" s="12" t="s">
        <v>1345</v>
      </c>
    </row>
    <row r="1161" customFormat="false" ht="15" hidden="false" customHeight="false" outlineLevel="0" collapsed="false">
      <c r="A1161" s="11" t="s">
        <v>1346</v>
      </c>
      <c r="B1161" s="11" t="s">
        <v>30</v>
      </c>
      <c r="C1161" s="11" t="n">
        <v>2022</v>
      </c>
      <c r="D1161" s="11" t="n">
        <v>1</v>
      </c>
      <c r="E1161" s="11" t="s">
        <v>99</v>
      </c>
      <c r="F1161" s="11" t="s">
        <v>100</v>
      </c>
      <c r="G1161" s="11" t="n">
        <v>20</v>
      </c>
      <c r="H1161" s="12" t="s">
        <v>1347</v>
      </c>
    </row>
    <row r="1162" customFormat="false" ht="15" hidden="false" customHeight="false" outlineLevel="0" collapsed="false">
      <c r="A1162" s="11" t="s">
        <v>1346</v>
      </c>
      <c r="B1162" s="11" t="s">
        <v>30</v>
      </c>
      <c r="C1162" s="11" t="n">
        <v>2022</v>
      </c>
      <c r="D1162" s="11" t="n">
        <v>2</v>
      </c>
      <c r="E1162" s="11" t="s">
        <v>102</v>
      </c>
      <c r="F1162" s="11" t="s">
        <v>103</v>
      </c>
      <c r="G1162" s="11" t="n">
        <v>20</v>
      </c>
      <c r="H1162" s="12" t="s">
        <v>1348</v>
      </c>
    </row>
    <row r="1163" customFormat="false" ht="15" hidden="false" customHeight="false" outlineLevel="0" collapsed="false">
      <c r="A1163" s="11" t="s">
        <v>1346</v>
      </c>
      <c r="B1163" s="11" t="s">
        <v>30</v>
      </c>
      <c r="C1163" s="11" t="n">
        <v>2022</v>
      </c>
      <c r="D1163" s="11" t="n">
        <v>3</v>
      </c>
      <c r="E1163" s="11" t="s">
        <v>105</v>
      </c>
      <c r="F1163" s="11" t="s">
        <v>106</v>
      </c>
      <c r="G1163" s="11" t="n">
        <v>24</v>
      </c>
      <c r="H1163" s="12" t="s">
        <v>1349</v>
      </c>
    </row>
    <row r="1164" customFormat="false" ht="15" hidden="false" customHeight="false" outlineLevel="0" collapsed="false">
      <c r="A1164" s="11" t="s">
        <v>1346</v>
      </c>
      <c r="B1164" s="11" t="s">
        <v>30</v>
      </c>
      <c r="C1164" s="11" t="n">
        <v>2022</v>
      </c>
      <c r="D1164" s="11" t="n">
        <v>4</v>
      </c>
      <c r="E1164" s="11" t="s">
        <v>108</v>
      </c>
      <c r="F1164" s="11" t="s">
        <v>109</v>
      </c>
      <c r="G1164" s="11" t="n">
        <v>28</v>
      </c>
      <c r="H1164" s="12" t="s">
        <v>1350</v>
      </c>
    </row>
    <row r="1165" customFormat="false" ht="15" hidden="false" customHeight="false" outlineLevel="0" collapsed="false">
      <c r="A1165" s="11" t="s">
        <v>1346</v>
      </c>
      <c r="B1165" s="11" t="s">
        <v>30</v>
      </c>
      <c r="C1165" s="11" t="n">
        <v>2022</v>
      </c>
      <c r="D1165" s="11" t="n">
        <v>5</v>
      </c>
      <c r="E1165" s="11" t="s">
        <v>111</v>
      </c>
      <c r="F1165" s="11" t="s">
        <v>112</v>
      </c>
      <c r="G1165" s="11" t="n">
        <v>28</v>
      </c>
      <c r="H1165" s="12" t="s">
        <v>1351</v>
      </c>
    </row>
    <row r="1166" customFormat="false" ht="15" hidden="false" customHeight="false" outlineLevel="0" collapsed="false">
      <c r="A1166" s="11" t="s">
        <v>1346</v>
      </c>
      <c r="B1166" s="11" t="s">
        <v>30</v>
      </c>
      <c r="C1166" s="11" t="n">
        <v>2022</v>
      </c>
      <c r="D1166" s="11" t="n">
        <v>6</v>
      </c>
      <c r="E1166" s="11" t="s">
        <v>114</v>
      </c>
      <c r="F1166" s="11" t="s">
        <v>115</v>
      </c>
      <c r="G1166" s="11" t="n">
        <v>28</v>
      </c>
      <c r="H1166" s="12" t="s">
        <v>1352</v>
      </c>
    </row>
    <row r="1167" customFormat="false" ht="15" hidden="false" customHeight="false" outlineLevel="0" collapsed="false">
      <c r="A1167" s="11" t="s">
        <v>1346</v>
      </c>
      <c r="B1167" s="11" t="s">
        <v>30</v>
      </c>
      <c r="C1167" s="11" t="n">
        <v>2022</v>
      </c>
      <c r="D1167" s="11" t="n">
        <v>7</v>
      </c>
      <c r="E1167" s="11" t="s">
        <v>117</v>
      </c>
      <c r="F1167" s="11" t="s">
        <v>118</v>
      </c>
      <c r="G1167" s="11" t="n">
        <v>20</v>
      </c>
      <c r="H1167" s="12" t="s">
        <v>1353</v>
      </c>
    </row>
    <row r="1168" customFormat="false" ht="15" hidden="false" customHeight="false" outlineLevel="0" collapsed="false">
      <c r="A1168" s="11" t="s">
        <v>1346</v>
      </c>
      <c r="B1168" s="11" t="s">
        <v>30</v>
      </c>
      <c r="C1168" s="11" t="n">
        <v>2022</v>
      </c>
      <c r="D1168" s="11" t="n">
        <v>8</v>
      </c>
      <c r="E1168" s="11" t="s">
        <v>120</v>
      </c>
      <c r="F1168" s="11" t="s">
        <v>121</v>
      </c>
      <c r="G1168" s="11" t="n">
        <v>20</v>
      </c>
      <c r="H1168" s="12" t="s">
        <v>1354</v>
      </c>
    </row>
    <row r="1169" customFormat="false" ht="15" hidden="false" customHeight="false" outlineLevel="0" collapsed="false">
      <c r="A1169" s="11" t="s">
        <v>1346</v>
      </c>
      <c r="B1169" s="11" t="s">
        <v>30</v>
      </c>
      <c r="C1169" s="11" t="n">
        <v>2022</v>
      </c>
      <c r="D1169" s="11" t="n">
        <v>9</v>
      </c>
      <c r="E1169" s="11" t="s">
        <v>123</v>
      </c>
      <c r="F1169" s="11" t="s">
        <v>124</v>
      </c>
      <c r="G1169" s="11" t="n">
        <v>24</v>
      </c>
      <c r="H1169" s="12" t="s">
        <v>1355</v>
      </c>
    </row>
    <row r="1170" customFormat="false" ht="15" hidden="false" customHeight="false" outlineLevel="0" collapsed="false">
      <c r="A1170" s="11" t="s">
        <v>1346</v>
      </c>
      <c r="B1170" s="11" t="s">
        <v>30</v>
      </c>
      <c r="C1170" s="11" t="n">
        <v>2022</v>
      </c>
      <c r="D1170" s="11" t="n">
        <v>10</v>
      </c>
      <c r="E1170" s="11" t="s">
        <v>126</v>
      </c>
      <c r="F1170" s="11" t="s">
        <v>127</v>
      </c>
      <c r="G1170" s="11" t="n">
        <v>24</v>
      </c>
      <c r="H1170" s="12" t="s">
        <v>1356</v>
      </c>
    </row>
    <row r="1171" customFormat="false" ht="15" hidden="false" customHeight="false" outlineLevel="0" collapsed="false">
      <c r="A1171" s="11" t="s">
        <v>1346</v>
      </c>
      <c r="B1171" s="11" t="s">
        <v>30</v>
      </c>
      <c r="C1171" s="11" t="n">
        <v>2022</v>
      </c>
      <c r="D1171" s="11" t="n">
        <v>11</v>
      </c>
      <c r="E1171" s="11" t="s">
        <v>129</v>
      </c>
      <c r="F1171" s="11" t="s">
        <v>130</v>
      </c>
      <c r="G1171" s="11" t="n">
        <v>20</v>
      </c>
      <c r="H1171" s="12" t="s">
        <v>1357</v>
      </c>
    </row>
    <row r="1172" customFormat="false" ht="15" hidden="false" customHeight="false" outlineLevel="0" collapsed="false">
      <c r="A1172" s="11" t="s">
        <v>1346</v>
      </c>
      <c r="B1172" s="11" t="s">
        <v>30</v>
      </c>
      <c r="C1172" s="11" t="n">
        <v>2022</v>
      </c>
      <c r="D1172" s="11" t="n">
        <v>12</v>
      </c>
      <c r="E1172" s="11" t="s">
        <v>132</v>
      </c>
      <c r="F1172" s="11" t="s">
        <v>133</v>
      </c>
      <c r="G1172" s="11" t="n">
        <v>24</v>
      </c>
      <c r="H1172" s="12" t="s">
        <v>1358</v>
      </c>
    </row>
    <row r="1173" customFormat="false" ht="15" hidden="false" customHeight="false" outlineLevel="0" collapsed="false">
      <c r="A1173" s="11" t="s">
        <v>1346</v>
      </c>
      <c r="B1173" s="11" t="s">
        <v>30</v>
      </c>
      <c r="C1173" s="11" t="n">
        <v>2023</v>
      </c>
      <c r="D1173" s="11" t="n">
        <v>1</v>
      </c>
      <c r="E1173" s="11" t="s">
        <v>99</v>
      </c>
      <c r="F1173" s="11" t="s">
        <v>135</v>
      </c>
      <c r="G1173" s="11" t="n">
        <v>20</v>
      </c>
      <c r="H1173" s="12" t="s">
        <v>1359</v>
      </c>
    </row>
    <row r="1174" customFormat="false" ht="15" hidden="false" customHeight="false" outlineLevel="0" collapsed="false">
      <c r="A1174" s="11" t="s">
        <v>1346</v>
      </c>
      <c r="B1174" s="11" t="s">
        <v>30</v>
      </c>
      <c r="C1174" s="11" t="n">
        <v>2023</v>
      </c>
      <c r="D1174" s="11" t="n">
        <v>2</v>
      </c>
      <c r="E1174" s="11" t="s">
        <v>102</v>
      </c>
      <c r="F1174" s="11" t="s">
        <v>137</v>
      </c>
      <c r="G1174" s="11" t="n">
        <v>20</v>
      </c>
      <c r="H1174" s="12" t="s">
        <v>1360</v>
      </c>
    </row>
    <row r="1175" customFormat="false" ht="15" hidden="false" customHeight="false" outlineLevel="0" collapsed="false">
      <c r="A1175" s="11" t="s">
        <v>1346</v>
      </c>
      <c r="B1175" s="11" t="s">
        <v>30</v>
      </c>
      <c r="C1175" s="11" t="n">
        <v>2023</v>
      </c>
      <c r="D1175" s="11" t="n">
        <v>3</v>
      </c>
      <c r="E1175" s="11" t="s">
        <v>105</v>
      </c>
      <c r="F1175" s="11" t="s">
        <v>139</v>
      </c>
      <c r="G1175" s="11" t="n">
        <v>24</v>
      </c>
      <c r="H1175" s="12" t="s">
        <v>1361</v>
      </c>
    </row>
    <row r="1176" customFormat="false" ht="15" hidden="false" customHeight="false" outlineLevel="0" collapsed="false">
      <c r="A1176" s="11" t="s">
        <v>1346</v>
      </c>
      <c r="B1176" s="11" t="s">
        <v>30</v>
      </c>
      <c r="C1176" s="11" t="n">
        <v>2023</v>
      </c>
      <c r="D1176" s="11" t="n">
        <v>4</v>
      </c>
      <c r="E1176" s="11" t="s">
        <v>108</v>
      </c>
      <c r="F1176" s="11" t="s">
        <v>141</v>
      </c>
      <c r="G1176" s="11" t="n">
        <v>24</v>
      </c>
      <c r="H1176" s="12" t="s">
        <v>1362</v>
      </c>
    </row>
    <row r="1177" customFormat="false" ht="15" hidden="false" customHeight="false" outlineLevel="0" collapsed="false">
      <c r="A1177" s="11" t="s">
        <v>1346</v>
      </c>
      <c r="B1177" s="11" t="s">
        <v>30</v>
      </c>
      <c r="C1177" s="11" t="n">
        <v>2023</v>
      </c>
      <c r="D1177" s="11" t="n">
        <v>5</v>
      </c>
      <c r="E1177" s="11" t="s">
        <v>111</v>
      </c>
      <c r="F1177" s="11" t="s">
        <v>143</v>
      </c>
      <c r="G1177" s="11" t="n">
        <v>28</v>
      </c>
      <c r="H1177" s="12" t="s">
        <v>1363</v>
      </c>
    </row>
    <row r="1178" customFormat="false" ht="15" hidden="false" customHeight="false" outlineLevel="0" collapsed="false">
      <c r="A1178" s="11" t="s">
        <v>1346</v>
      </c>
      <c r="B1178" s="11" t="s">
        <v>30</v>
      </c>
      <c r="C1178" s="11" t="n">
        <v>2023</v>
      </c>
      <c r="D1178" s="11" t="n">
        <v>6</v>
      </c>
      <c r="E1178" s="11" t="s">
        <v>114</v>
      </c>
      <c r="F1178" s="11" t="s">
        <v>145</v>
      </c>
      <c r="G1178" s="11" t="n">
        <v>28</v>
      </c>
      <c r="H1178" s="12" t="s">
        <v>1364</v>
      </c>
    </row>
    <row r="1179" customFormat="false" ht="15" hidden="false" customHeight="false" outlineLevel="0" collapsed="false">
      <c r="A1179" s="11" t="s">
        <v>1346</v>
      </c>
      <c r="B1179" s="11" t="s">
        <v>30</v>
      </c>
      <c r="C1179" s="11" t="n">
        <v>2023</v>
      </c>
      <c r="D1179" s="11" t="n">
        <v>7</v>
      </c>
      <c r="E1179" s="11" t="s">
        <v>117</v>
      </c>
      <c r="F1179" s="11" t="s">
        <v>147</v>
      </c>
      <c r="G1179" s="11" t="n">
        <v>28</v>
      </c>
      <c r="H1179" s="12" t="s">
        <v>1365</v>
      </c>
    </row>
    <row r="1180" customFormat="false" ht="15" hidden="false" customHeight="false" outlineLevel="0" collapsed="false">
      <c r="A1180" s="11" t="s">
        <v>1346</v>
      </c>
      <c r="B1180" s="11" t="s">
        <v>30</v>
      </c>
      <c r="C1180" s="11" t="n">
        <v>2023</v>
      </c>
      <c r="D1180" s="11" t="n">
        <v>8</v>
      </c>
      <c r="E1180" s="11" t="s">
        <v>120</v>
      </c>
      <c r="F1180" s="11" t="s">
        <v>149</v>
      </c>
      <c r="G1180" s="11" t="n">
        <v>24</v>
      </c>
      <c r="H1180" s="12" t="s">
        <v>1366</v>
      </c>
    </row>
    <row r="1181" customFormat="false" ht="15" hidden="false" customHeight="false" outlineLevel="0" collapsed="false">
      <c r="A1181" s="11" t="s">
        <v>1346</v>
      </c>
      <c r="B1181" s="11" t="s">
        <v>30</v>
      </c>
      <c r="C1181" s="11" t="n">
        <v>2023</v>
      </c>
      <c r="D1181" s="11" t="n">
        <v>9</v>
      </c>
      <c r="E1181" s="11" t="s">
        <v>123</v>
      </c>
      <c r="F1181" s="11" t="s">
        <v>151</v>
      </c>
      <c r="G1181" s="11" t="n">
        <v>28</v>
      </c>
      <c r="H1181" s="12" t="s">
        <v>1367</v>
      </c>
    </row>
    <row r="1182" customFormat="false" ht="15" hidden="false" customHeight="false" outlineLevel="0" collapsed="false">
      <c r="A1182" s="11" t="s">
        <v>1346</v>
      </c>
      <c r="B1182" s="11" t="s">
        <v>30</v>
      </c>
      <c r="C1182" s="11" t="n">
        <v>2023</v>
      </c>
      <c r="D1182" s="11" t="n">
        <v>10</v>
      </c>
      <c r="E1182" s="11" t="s">
        <v>126</v>
      </c>
      <c r="F1182" s="11" t="s">
        <v>153</v>
      </c>
      <c r="G1182" s="11" t="n">
        <v>20</v>
      </c>
      <c r="H1182" s="12" t="s">
        <v>1368</v>
      </c>
    </row>
    <row r="1183" customFormat="false" ht="15" hidden="false" customHeight="false" outlineLevel="0" collapsed="false">
      <c r="A1183" s="11" t="s">
        <v>1346</v>
      </c>
      <c r="B1183" s="11" t="s">
        <v>30</v>
      </c>
      <c r="C1183" s="11" t="n">
        <v>2023</v>
      </c>
      <c r="D1183" s="11" t="n">
        <v>11</v>
      </c>
      <c r="E1183" s="11" t="s">
        <v>129</v>
      </c>
      <c r="F1183" s="11" t="s">
        <v>155</v>
      </c>
      <c r="G1183" s="11" t="n">
        <v>24</v>
      </c>
      <c r="H1183" s="12" t="s">
        <v>1369</v>
      </c>
    </row>
    <row r="1184" customFormat="false" ht="15" hidden="false" customHeight="false" outlineLevel="0" collapsed="false">
      <c r="A1184" s="11" t="s">
        <v>1346</v>
      </c>
      <c r="B1184" s="11" t="s">
        <v>30</v>
      </c>
      <c r="C1184" s="11" t="n">
        <v>2023</v>
      </c>
      <c r="D1184" s="11" t="n">
        <v>12</v>
      </c>
      <c r="E1184" s="11" t="s">
        <v>132</v>
      </c>
      <c r="F1184" s="11" t="s">
        <v>157</v>
      </c>
      <c r="G1184" s="11" t="n">
        <v>24</v>
      </c>
      <c r="H1184" s="12" t="s">
        <v>1370</v>
      </c>
    </row>
    <row r="1185" customFormat="false" ht="15" hidden="false" customHeight="false" outlineLevel="0" collapsed="false">
      <c r="A1185" s="11" t="s">
        <v>1346</v>
      </c>
      <c r="B1185" s="11" t="s">
        <v>30</v>
      </c>
      <c r="C1185" s="11" t="n">
        <v>2024</v>
      </c>
      <c r="D1185" s="11" t="n">
        <v>1</v>
      </c>
      <c r="E1185" s="11" t="s">
        <v>99</v>
      </c>
      <c r="F1185" s="11" t="s">
        <v>159</v>
      </c>
      <c r="G1185" s="11" t="n">
        <v>20</v>
      </c>
      <c r="H1185" s="12" t="s">
        <v>1371</v>
      </c>
    </row>
    <row r="1186" customFormat="false" ht="15" hidden="false" customHeight="false" outlineLevel="0" collapsed="false">
      <c r="A1186" s="11" t="s">
        <v>1346</v>
      </c>
      <c r="B1186" s="11" t="s">
        <v>30</v>
      </c>
      <c r="C1186" s="11" t="n">
        <v>2024</v>
      </c>
      <c r="D1186" s="11" t="n">
        <v>2</v>
      </c>
      <c r="E1186" s="11" t="s">
        <v>102</v>
      </c>
      <c r="F1186" s="11" t="s">
        <v>161</v>
      </c>
      <c r="G1186" s="11" t="n">
        <v>20</v>
      </c>
      <c r="H1186" s="12" t="s">
        <v>1372</v>
      </c>
    </row>
    <row r="1187" customFormat="false" ht="15" hidden="false" customHeight="false" outlineLevel="0" collapsed="false">
      <c r="A1187" s="11" t="s">
        <v>1346</v>
      </c>
      <c r="B1187" s="11" t="s">
        <v>30</v>
      </c>
      <c r="C1187" s="11" t="n">
        <v>2024</v>
      </c>
      <c r="D1187" s="11" t="n">
        <v>3</v>
      </c>
      <c r="E1187" s="11" t="s">
        <v>105</v>
      </c>
      <c r="F1187" s="11" t="s">
        <v>163</v>
      </c>
      <c r="G1187" s="11" t="n">
        <v>24</v>
      </c>
      <c r="H1187" s="12" t="s">
        <v>1373</v>
      </c>
    </row>
    <row r="1188" customFormat="false" ht="15" hidden="false" customHeight="false" outlineLevel="0" collapsed="false">
      <c r="A1188" s="11" t="s">
        <v>1346</v>
      </c>
      <c r="B1188" s="11" t="s">
        <v>30</v>
      </c>
      <c r="C1188" s="11" t="n">
        <v>2024</v>
      </c>
      <c r="D1188" s="11" t="n">
        <v>4</v>
      </c>
      <c r="E1188" s="11" t="s">
        <v>108</v>
      </c>
      <c r="F1188" s="11" t="s">
        <v>165</v>
      </c>
      <c r="G1188" s="11" t="n">
        <v>24</v>
      </c>
      <c r="H1188" s="12" t="s">
        <v>1374</v>
      </c>
    </row>
    <row r="1189" customFormat="false" ht="15" hidden="false" customHeight="false" outlineLevel="0" collapsed="false">
      <c r="A1189" s="11" t="s">
        <v>1346</v>
      </c>
      <c r="B1189" s="11" t="s">
        <v>30</v>
      </c>
      <c r="C1189" s="11" t="n">
        <v>2024</v>
      </c>
      <c r="D1189" s="11" t="n">
        <v>5</v>
      </c>
      <c r="E1189" s="11" t="s">
        <v>111</v>
      </c>
      <c r="F1189" s="11" t="s">
        <v>167</v>
      </c>
      <c r="G1189" s="11" t="n">
        <v>28</v>
      </c>
      <c r="H1189" s="12" t="s">
        <v>1375</v>
      </c>
    </row>
    <row r="1190" customFormat="false" ht="15" hidden="false" customHeight="false" outlineLevel="0" collapsed="false">
      <c r="A1190" s="11" t="s">
        <v>1346</v>
      </c>
      <c r="B1190" s="11" t="s">
        <v>30</v>
      </c>
      <c r="C1190" s="11" t="n">
        <v>2024</v>
      </c>
      <c r="D1190" s="11" t="n">
        <v>6</v>
      </c>
      <c r="E1190" s="11" t="s">
        <v>114</v>
      </c>
      <c r="F1190" s="11" t="s">
        <v>169</v>
      </c>
      <c r="G1190" s="11" t="n">
        <v>24</v>
      </c>
      <c r="H1190" s="12" t="s">
        <v>1376</v>
      </c>
    </row>
    <row r="1191" customFormat="false" ht="15" hidden="false" customHeight="false" outlineLevel="0" collapsed="false">
      <c r="A1191" s="11" t="s">
        <v>1346</v>
      </c>
      <c r="B1191" s="11" t="s">
        <v>30</v>
      </c>
      <c r="C1191" s="11" t="n">
        <v>2024</v>
      </c>
      <c r="D1191" s="11" t="n">
        <v>7</v>
      </c>
      <c r="E1191" s="11" t="s">
        <v>117</v>
      </c>
      <c r="F1191" s="11" t="s">
        <v>171</v>
      </c>
      <c r="G1191" s="11" t="n">
        <v>20</v>
      </c>
      <c r="H1191" s="12" t="s">
        <v>1377</v>
      </c>
    </row>
    <row r="1192" customFormat="false" ht="15" hidden="false" customHeight="false" outlineLevel="0" collapsed="false">
      <c r="A1192" s="11" t="s">
        <v>1346</v>
      </c>
      <c r="B1192" s="11" t="s">
        <v>30</v>
      </c>
      <c r="C1192" s="11" t="n">
        <v>2024</v>
      </c>
      <c r="D1192" s="11" t="n">
        <v>8</v>
      </c>
      <c r="E1192" s="11" t="s">
        <v>120</v>
      </c>
      <c r="F1192" s="11" t="s">
        <v>173</v>
      </c>
      <c r="G1192" s="11" t="n">
        <v>20</v>
      </c>
      <c r="H1192" s="12" t="s">
        <v>1378</v>
      </c>
    </row>
    <row r="1193" customFormat="false" ht="15" hidden="false" customHeight="false" outlineLevel="0" collapsed="false">
      <c r="A1193" s="11" t="s">
        <v>1346</v>
      </c>
      <c r="B1193" s="11" t="s">
        <v>30</v>
      </c>
      <c r="C1193" s="11" t="n">
        <v>2024</v>
      </c>
      <c r="D1193" s="11" t="n">
        <v>9</v>
      </c>
      <c r="E1193" s="11" t="s">
        <v>123</v>
      </c>
      <c r="F1193" s="11" t="s">
        <v>175</v>
      </c>
      <c r="G1193" s="11" t="n">
        <v>24</v>
      </c>
      <c r="H1193" s="12" t="s">
        <v>1379</v>
      </c>
    </row>
    <row r="1194" customFormat="false" ht="15" hidden="false" customHeight="false" outlineLevel="0" collapsed="false">
      <c r="A1194" s="11" t="s">
        <v>1346</v>
      </c>
      <c r="B1194" s="11" t="s">
        <v>30</v>
      </c>
      <c r="C1194" s="11" t="n">
        <v>2024</v>
      </c>
      <c r="D1194" s="11" t="n">
        <v>10</v>
      </c>
      <c r="E1194" s="11" t="s">
        <v>126</v>
      </c>
      <c r="F1194" s="11" t="s">
        <v>177</v>
      </c>
      <c r="G1194" s="11" t="n">
        <v>24</v>
      </c>
      <c r="H1194" s="12" t="s">
        <v>1380</v>
      </c>
    </row>
    <row r="1195" customFormat="false" ht="15" hidden="false" customHeight="false" outlineLevel="0" collapsed="false">
      <c r="A1195" s="11" t="s">
        <v>1346</v>
      </c>
      <c r="B1195" s="11" t="s">
        <v>30</v>
      </c>
      <c r="C1195" s="11" t="n">
        <v>2024</v>
      </c>
      <c r="D1195" s="11" t="n">
        <v>11</v>
      </c>
      <c r="E1195" s="11" t="s">
        <v>129</v>
      </c>
      <c r="F1195" s="11" t="s">
        <v>179</v>
      </c>
      <c r="G1195" s="11" t="n">
        <v>20</v>
      </c>
      <c r="H1195" s="12" t="s">
        <v>1381</v>
      </c>
    </row>
    <row r="1196" customFormat="false" ht="15" hidden="false" customHeight="false" outlineLevel="0" collapsed="false">
      <c r="A1196" s="11" t="s">
        <v>1346</v>
      </c>
      <c r="B1196" s="11" t="s">
        <v>30</v>
      </c>
      <c r="C1196" s="11" t="n">
        <v>2024</v>
      </c>
      <c r="D1196" s="11" t="n">
        <v>12</v>
      </c>
      <c r="E1196" s="11" t="s">
        <v>132</v>
      </c>
      <c r="F1196" s="11" t="s">
        <v>181</v>
      </c>
      <c r="G1196" s="11" t="n">
        <v>28</v>
      </c>
      <c r="H1196" s="12" t="s">
        <v>1382</v>
      </c>
    </row>
    <row r="1197" customFormat="false" ht="15" hidden="false" customHeight="false" outlineLevel="0" collapsed="false">
      <c r="A1197" s="11" t="s">
        <v>1346</v>
      </c>
      <c r="B1197" s="11" t="s">
        <v>30</v>
      </c>
      <c r="C1197" s="11" t="n">
        <v>2025</v>
      </c>
      <c r="D1197" s="11" t="n">
        <v>1</v>
      </c>
      <c r="E1197" s="11" t="s">
        <v>99</v>
      </c>
      <c r="F1197" s="11" t="s">
        <v>183</v>
      </c>
      <c r="G1197" s="11" t="n">
        <v>20</v>
      </c>
      <c r="H1197" s="12" t="s">
        <v>1383</v>
      </c>
    </row>
    <row r="1198" customFormat="false" ht="15" hidden="false" customHeight="false" outlineLevel="0" collapsed="false">
      <c r="A1198" s="11" t="s">
        <v>1346</v>
      </c>
      <c r="B1198" s="11" t="s">
        <v>30</v>
      </c>
      <c r="C1198" s="11" t="n">
        <v>2025</v>
      </c>
      <c r="D1198" s="11" t="n">
        <v>2</v>
      </c>
      <c r="E1198" s="11" t="s">
        <v>102</v>
      </c>
      <c r="F1198" s="11" t="s">
        <v>185</v>
      </c>
      <c r="G1198" s="11" t="n">
        <v>20</v>
      </c>
      <c r="H1198" s="12" t="s">
        <v>1384</v>
      </c>
    </row>
    <row r="1199" customFormat="false" ht="15" hidden="false" customHeight="false" outlineLevel="0" collapsed="false">
      <c r="A1199" s="11" t="s">
        <v>1346</v>
      </c>
      <c r="B1199" s="11" t="s">
        <v>30</v>
      </c>
      <c r="C1199" s="11" t="n">
        <v>2025</v>
      </c>
      <c r="D1199" s="11" t="n">
        <v>3</v>
      </c>
      <c r="E1199" s="11" t="s">
        <v>105</v>
      </c>
      <c r="F1199" s="11" t="s">
        <v>187</v>
      </c>
      <c r="G1199" s="11" t="n">
        <v>20</v>
      </c>
      <c r="H1199" s="12" t="s">
        <v>1385</v>
      </c>
    </row>
    <row r="1200" customFormat="false" ht="15" hidden="false" customHeight="false" outlineLevel="0" collapsed="false">
      <c r="A1200" s="11" t="s">
        <v>1346</v>
      </c>
      <c r="B1200" s="11" t="s">
        <v>30</v>
      </c>
      <c r="C1200" s="11" t="n">
        <v>2025</v>
      </c>
      <c r="D1200" s="11" t="n">
        <v>4</v>
      </c>
      <c r="E1200" s="11" t="s">
        <v>108</v>
      </c>
      <c r="F1200" s="11" t="s">
        <v>189</v>
      </c>
      <c r="G1200" s="11" t="n">
        <v>20</v>
      </c>
      <c r="H1200" s="12" t="s">
        <v>1385</v>
      </c>
    </row>
    <row r="1201" customFormat="false" ht="15" hidden="false" customHeight="false" outlineLevel="0" collapsed="false">
      <c r="A1201" s="11" t="s">
        <v>1346</v>
      </c>
      <c r="B1201" s="11" t="s">
        <v>30</v>
      </c>
      <c r="C1201" s="11" t="n">
        <v>2025</v>
      </c>
      <c r="D1201" s="11" t="n">
        <v>5</v>
      </c>
      <c r="E1201" s="11" t="s">
        <v>111</v>
      </c>
      <c r="F1201" s="11" t="s">
        <v>191</v>
      </c>
      <c r="G1201" s="11" t="n">
        <v>28</v>
      </c>
      <c r="H1201" s="12" t="s">
        <v>1386</v>
      </c>
    </row>
    <row r="1202" customFormat="false" ht="15" hidden="false" customHeight="false" outlineLevel="0" collapsed="false">
      <c r="A1202" s="11" t="s">
        <v>1346</v>
      </c>
      <c r="B1202" s="11" t="s">
        <v>30</v>
      </c>
      <c r="C1202" s="11" t="n">
        <v>2025</v>
      </c>
      <c r="D1202" s="11" t="n">
        <v>6</v>
      </c>
      <c r="E1202" s="11" t="s">
        <v>114</v>
      </c>
      <c r="F1202" s="11" t="s">
        <v>193</v>
      </c>
      <c r="G1202" s="11" t="n">
        <v>24</v>
      </c>
      <c r="H1202" s="12" t="s">
        <v>1387</v>
      </c>
    </row>
    <row r="1203" customFormat="false" ht="15" hidden="false" customHeight="false" outlineLevel="0" collapsed="false">
      <c r="A1203" s="11" t="s">
        <v>1346</v>
      </c>
      <c r="B1203" s="11" t="s">
        <v>30</v>
      </c>
      <c r="C1203" s="11" t="n">
        <v>2025</v>
      </c>
      <c r="D1203" s="11" t="n">
        <v>7</v>
      </c>
      <c r="E1203" s="11" t="s">
        <v>117</v>
      </c>
      <c r="F1203" s="11" t="s">
        <v>195</v>
      </c>
      <c r="G1203" s="11" t="n">
        <v>24</v>
      </c>
      <c r="H1203" s="12" t="s">
        <v>1388</v>
      </c>
    </row>
    <row r="1204" customFormat="false" ht="15" hidden="false" customHeight="false" outlineLevel="0" collapsed="false">
      <c r="A1204" s="11" t="s">
        <v>1346</v>
      </c>
      <c r="B1204" s="11" t="s">
        <v>30</v>
      </c>
      <c r="C1204" s="11" t="n">
        <v>2025</v>
      </c>
      <c r="D1204" s="11" t="n">
        <v>8</v>
      </c>
      <c r="E1204" s="11" t="s">
        <v>120</v>
      </c>
      <c r="F1204" s="11" t="s">
        <v>197</v>
      </c>
      <c r="G1204" s="11" t="n">
        <v>24</v>
      </c>
      <c r="H1204" s="12" t="s">
        <v>1389</v>
      </c>
    </row>
    <row r="1205" customFormat="false" ht="15" hidden="false" customHeight="false" outlineLevel="0" collapsed="false">
      <c r="A1205" s="11" t="s">
        <v>1346</v>
      </c>
      <c r="B1205" s="11" t="s">
        <v>30</v>
      </c>
      <c r="C1205" s="11" t="n">
        <v>2025</v>
      </c>
      <c r="D1205" s="11" t="n">
        <v>9</v>
      </c>
      <c r="E1205" s="11" t="s">
        <v>123</v>
      </c>
      <c r="F1205" s="11" t="s">
        <v>199</v>
      </c>
      <c r="G1205" s="11" t="n">
        <v>24</v>
      </c>
      <c r="H1205" s="12" t="s">
        <v>1390</v>
      </c>
    </row>
    <row r="1206" customFormat="false" ht="15" hidden="false" customHeight="false" outlineLevel="0" collapsed="false">
      <c r="A1206" s="11" t="s">
        <v>1346</v>
      </c>
      <c r="B1206" s="11" t="s">
        <v>30</v>
      </c>
      <c r="C1206" s="11" t="n">
        <v>2025</v>
      </c>
      <c r="D1206" s="11" t="n">
        <v>10</v>
      </c>
      <c r="E1206" s="11" t="s">
        <v>126</v>
      </c>
      <c r="F1206" s="11" t="s">
        <v>201</v>
      </c>
      <c r="G1206" s="11" t="n">
        <v>24</v>
      </c>
      <c r="H1206" s="12" t="s">
        <v>1391</v>
      </c>
    </row>
    <row r="1207" customFormat="false" ht="15" hidden="false" customHeight="false" outlineLevel="0" collapsed="false">
      <c r="A1207" s="11" t="s">
        <v>1346</v>
      </c>
      <c r="B1207" s="11" t="s">
        <v>30</v>
      </c>
      <c r="C1207" s="11" t="n">
        <v>2025</v>
      </c>
      <c r="D1207" s="11" t="n">
        <v>11</v>
      </c>
      <c r="E1207" s="11" t="s">
        <v>129</v>
      </c>
      <c r="F1207" s="11" t="s">
        <v>203</v>
      </c>
      <c r="G1207" s="11" t="n">
        <v>24</v>
      </c>
      <c r="H1207" s="12" t="s">
        <v>1392</v>
      </c>
    </row>
    <row r="1208" customFormat="false" ht="15" hidden="false" customHeight="false" outlineLevel="0" collapsed="false">
      <c r="A1208" s="11" t="s">
        <v>1346</v>
      </c>
      <c r="B1208" s="11" t="s">
        <v>30</v>
      </c>
      <c r="C1208" s="11" t="n">
        <v>2025</v>
      </c>
      <c r="D1208" s="11" t="n">
        <v>12</v>
      </c>
      <c r="E1208" s="11" t="s">
        <v>132</v>
      </c>
      <c r="F1208" s="11" t="s">
        <v>205</v>
      </c>
      <c r="G1208" s="11" t="n">
        <v>24</v>
      </c>
      <c r="H1208" s="12" t="s">
        <v>1393</v>
      </c>
    </row>
    <row r="1209" customFormat="false" ht="15" hidden="false" customHeight="false" outlineLevel="0" collapsed="false">
      <c r="A1209" s="11" t="s">
        <v>1346</v>
      </c>
      <c r="B1209" s="11" t="s">
        <v>30</v>
      </c>
      <c r="C1209" s="11" t="n">
        <v>2026</v>
      </c>
      <c r="D1209" s="11" t="n">
        <v>1</v>
      </c>
      <c r="E1209" s="11" t="s">
        <v>99</v>
      </c>
      <c r="F1209" s="11" t="s">
        <v>207</v>
      </c>
      <c r="G1209" s="11" t="n">
        <v>20</v>
      </c>
      <c r="H1209" s="12" t="s">
        <v>1394</v>
      </c>
    </row>
    <row r="1210" customFormat="false" ht="15" hidden="false" customHeight="false" outlineLevel="0" collapsed="false">
      <c r="A1210" s="11" t="s">
        <v>1346</v>
      </c>
      <c r="B1210" s="11" t="s">
        <v>30</v>
      </c>
      <c r="C1210" s="11" t="n">
        <v>2026</v>
      </c>
      <c r="D1210" s="11" t="n">
        <v>2</v>
      </c>
      <c r="E1210" s="11" t="s">
        <v>102</v>
      </c>
      <c r="F1210" s="11" t="s">
        <v>209</v>
      </c>
      <c r="G1210" s="11" t="n">
        <v>20</v>
      </c>
      <c r="H1210" s="12" t="s">
        <v>1395</v>
      </c>
    </row>
    <row r="1211" customFormat="false" ht="15" hidden="false" customHeight="false" outlineLevel="0" collapsed="false">
      <c r="A1211" s="11" t="s">
        <v>1346</v>
      </c>
      <c r="B1211" s="11" t="s">
        <v>30</v>
      </c>
      <c r="C1211" s="11" t="n">
        <v>2026</v>
      </c>
      <c r="D1211" s="11" t="n">
        <v>3</v>
      </c>
      <c r="E1211" s="11" t="s">
        <v>105</v>
      </c>
      <c r="F1211" s="11" t="s">
        <v>211</v>
      </c>
      <c r="G1211" s="11" t="n">
        <v>24</v>
      </c>
      <c r="H1211" s="12" t="s">
        <v>1396</v>
      </c>
    </row>
    <row r="1212" customFormat="false" ht="15" hidden="false" customHeight="false" outlineLevel="0" collapsed="false">
      <c r="A1212" s="11" t="s">
        <v>1346</v>
      </c>
      <c r="B1212" s="11" t="s">
        <v>30</v>
      </c>
      <c r="C1212" s="11" t="n">
        <v>2026</v>
      </c>
      <c r="D1212" s="11" t="n">
        <v>4</v>
      </c>
      <c r="E1212" s="11" t="s">
        <v>108</v>
      </c>
      <c r="F1212" s="11" t="s">
        <v>213</v>
      </c>
      <c r="G1212" s="11" t="n">
        <v>28</v>
      </c>
      <c r="H1212" s="12" t="s">
        <v>1397</v>
      </c>
    </row>
    <row r="1213" customFormat="false" ht="15" hidden="false" customHeight="false" outlineLevel="0" collapsed="false">
      <c r="A1213" s="11" t="s">
        <v>1346</v>
      </c>
      <c r="B1213" s="11" t="s">
        <v>30</v>
      </c>
      <c r="C1213" s="11" t="n">
        <v>2026</v>
      </c>
      <c r="D1213" s="11" t="n">
        <v>5</v>
      </c>
      <c r="E1213" s="11" t="s">
        <v>111</v>
      </c>
      <c r="F1213" s="11" t="s">
        <v>215</v>
      </c>
      <c r="G1213" s="11" t="n">
        <v>28</v>
      </c>
      <c r="H1213" s="12" t="s">
        <v>1398</v>
      </c>
    </row>
    <row r="1214" customFormat="false" ht="15" hidden="false" customHeight="false" outlineLevel="0" collapsed="false">
      <c r="A1214" s="11" t="s">
        <v>1399</v>
      </c>
      <c r="B1214" s="11" t="s">
        <v>32</v>
      </c>
      <c r="C1214" s="11" t="n">
        <v>2022</v>
      </c>
      <c r="D1214" s="11" t="n">
        <v>1</v>
      </c>
      <c r="E1214" s="11" t="s">
        <v>99</v>
      </c>
      <c r="F1214" s="11" t="s">
        <v>100</v>
      </c>
      <c r="G1214" s="11" t="n">
        <v>12</v>
      </c>
      <c r="H1214" s="12" t="s">
        <v>1400</v>
      </c>
    </row>
    <row r="1215" customFormat="false" ht="15" hidden="false" customHeight="false" outlineLevel="0" collapsed="false">
      <c r="A1215" s="11" t="s">
        <v>1399</v>
      </c>
      <c r="B1215" s="11" t="s">
        <v>32</v>
      </c>
      <c r="C1215" s="11" t="n">
        <v>2022</v>
      </c>
      <c r="D1215" s="11" t="n">
        <v>2</v>
      </c>
      <c r="E1215" s="11" t="s">
        <v>102</v>
      </c>
      <c r="F1215" s="11" t="s">
        <v>103</v>
      </c>
      <c r="G1215" s="11" t="n">
        <v>12</v>
      </c>
      <c r="H1215" s="12" t="s">
        <v>1401</v>
      </c>
    </row>
    <row r="1216" customFormat="false" ht="15" hidden="false" customHeight="false" outlineLevel="0" collapsed="false">
      <c r="A1216" s="11" t="s">
        <v>1399</v>
      </c>
      <c r="B1216" s="11" t="s">
        <v>32</v>
      </c>
      <c r="C1216" s="11" t="n">
        <v>2022</v>
      </c>
      <c r="D1216" s="11" t="n">
        <v>3</v>
      </c>
      <c r="E1216" s="11" t="s">
        <v>105</v>
      </c>
      <c r="F1216" s="11" t="s">
        <v>106</v>
      </c>
      <c r="G1216" s="11" t="n">
        <v>16</v>
      </c>
      <c r="H1216" s="12" t="s">
        <v>1402</v>
      </c>
    </row>
    <row r="1217" customFormat="false" ht="15" hidden="false" customHeight="false" outlineLevel="0" collapsed="false">
      <c r="A1217" s="11" t="s">
        <v>1399</v>
      </c>
      <c r="B1217" s="11" t="s">
        <v>32</v>
      </c>
      <c r="C1217" s="11" t="n">
        <v>2022</v>
      </c>
      <c r="D1217" s="11" t="n">
        <v>4</v>
      </c>
      <c r="E1217" s="11" t="s">
        <v>108</v>
      </c>
      <c r="F1217" s="11" t="s">
        <v>109</v>
      </c>
      <c r="G1217" s="11" t="n">
        <v>20</v>
      </c>
      <c r="H1217" s="12" t="s">
        <v>1403</v>
      </c>
    </row>
    <row r="1218" customFormat="false" ht="15" hidden="false" customHeight="false" outlineLevel="0" collapsed="false">
      <c r="A1218" s="11" t="s">
        <v>1399</v>
      </c>
      <c r="B1218" s="11" t="s">
        <v>32</v>
      </c>
      <c r="C1218" s="11" t="n">
        <v>2022</v>
      </c>
      <c r="D1218" s="11" t="n">
        <v>5</v>
      </c>
      <c r="E1218" s="11" t="s">
        <v>111</v>
      </c>
      <c r="F1218" s="11" t="s">
        <v>112</v>
      </c>
      <c r="G1218" s="11" t="n">
        <v>20</v>
      </c>
      <c r="H1218" s="12" t="s">
        <v>1404</v>
      </c>
    </row>
    <row r="1219" customFormat="false" ht="15" hidden="false" customHeight="false" outlineLevel="0" collapsed="false">
      <c r="A1219" s="11" t="s">
        <v>1399</v>
      </c>
      <c r="B1219" s="11" t="s">
        <v>32</v>
      </c>
      <c r="C1219" s="11" t="n">
        <v>2022</v>
      </c>
      <c r="D1219" s="11" t="n">
        <v>6</v>
      </c>
      <c r="E1219" s="11" t="s">
        <v>114</v>
      </c>
      <c r="F1219" s="11" t="s">
        <v>115</v>
      </c>
      <c r="G1219" s="11" t="n">
        <v>20</v>
      </c>
      <c r="H1219" s="12" t="s">
        <v>1405</v>
      </c>
    </row>
    <row r="1220" customFormat="false" ht="15" hidden="false" customHeight="false" outlineLevel="0" collapsed="false">
      <c r="A1220" s="11" t="s">
        <v>1399</v>
      </c>
      <c r="B1220" s="11" t="s">
        <v>32</v>
      </c>
      <c r="C1220" s="11" t="n">
        <v>2022</v>
      </c>
      <c r="D1220" s="11" t="n">
        <v>7</v>
      </c>
      <c r="E1220" s="11" t="s">
        <v>117</v>
      </c>
      <c r="F1220" s="11" t="s">
        <v>118</v>
      </c>
      <c r="G1220" s="11" t="n">
        <v>16</v>
      </c>
      <c r="H1220" s="12" t="s">
        <v>1406</v>
      </c>
    </row>
    <row r="1221" customFormat="false" ht="15" hidden="false" customHeight="false" outlineLevel="0" collapsed="false">
      <c r="A1221" s="11" t="s">
        <v>1399</v>
      </c>
      <c r="B1221" s="11" t="s">
        <v>32</v>
      </c>
      <c r="C1221" s="11" t="n">
        <v>2022</v>
      </c>
      <c r="D1221" s="11" t="n">
        <v>8</v>
      </c>
      <c r="E1221" s="11" t="s">
        <v>120</v>
      </c>
      <c r="F1221" s="11" t="s">
        <v>121</v>
      </c>
      <c r="G1221" s="11" t="n">
        <v>16</v>
      </c>
      <c r="H1221" s="12" t="s">
        <v>1407</v>
      </c>
    </row>
    <row r="1222" customFormat="false" ht="15" hidden="false" customHeight="false" outlineLevel="0" collapsed="false">
      <c r="A1222" s="11" t="s">
        <v>1399</v>
      </c>
      <c r="B1222" s="11" t="s">
        <v>32</v>
      </c>
      <c r="C1222" s="11" t="n">
        <v>2022</v>
      </c>
      <c r="D1222" s="11" t="n">
        <v>9</v>
      </c>
      <c r="E1222" s="11" t="s">
        <v>123</v>
      </c>
      <c r="F1222" s="11" t="s">
        <v>124</v>
      </c>
      <c r="G1222" s="11" t="n">
        <v>16</v>
      </c>
      <c r="H1222" s="12" t="s">
        <v>1408</v>
      </c>
    </row>
    <row r="1223" customFormat="false" ht="15" hidden="false" customHeight="false" outlineLevel="0" collapsed="false">
      <c r="A1223" s="11" t="s">
        <v>1399</v>
      </c>
      <c r="B1223" s="11" t="s">
        <v>32</v>
      </c>
      <c r="C1223" s="11" t="n">
        <v>2022</v>
      </c>
      <c r="D1223" s="11" t="n">
        <v>10</v>
      </c>
      <c r="E1223" s="11" t="s">
        <v>126</v>
      </c>
      <c r="F1223" s="11" t="s">
        <v>127</v>
      </c>
      <c r="G1223" s="11" t="n">
        <v>20</v>
      </c>
      <c r="H1223" s="12" t="s">
        <v>1409</v>
      </c>
    </row>
    <row r="1224" customFormat="false" ht="15" hidden="false" customHeight="false" outlineLevel="0" collapsed="false">
      <c r="A1224" s="11" t="s">
        <v>1399</v>
      </c>
      <c r="B1224" s="11" t="s">
        <v>32</v>
      </c>
      <c r="C1224" s="11" t="n">
        <v>2022</v>
      </c>
      <c r="D1224" s="11" t="n">
        <v>11</v>
      </c>
      <c r="E1224" s="11" t="s">
        <v>129</v>
      </c>
      <c r="F1224" s="11" t="s">
        <v>130</v>
      </c>
      <c r="G1224" s="11" t="n">
        <v>16</v>
      </c>
      <c r="H1224" s="12" t="s">
        <v>1410</v>
      </c>
    </row>
    <row r="1225" customFormat="false" ht="15" hidden="false" customHeight="false" outlineLevel="0" collapsed="false">
      <c r="A1225" s="11" t="s">
        <v>1399</v>
      </c>
      <c r="B1225" s="11" t="s">
        <v>32</v>
      </c>
      <c r="C1225" s="11" t="n">
        <v>2022</v>
      </c>
      <c r="D1225" s="11" t="n">
        <v>12</v>
      </c>
      <c r="E1225" s="11" t="s">
        <v>132</v>
      </c>
      <c r="F1225" s="11" t="s">
        <v>133</v>
      </c>
      <c r="G1225" s="11" t="n">
        <v>20</v>
      </c>
      <c r="H1225" s="12" t="s">
        <v>1411</v>
      </c>
    </row>
    <row r="1226" customFormat="false" ht="15" hidden="false" customHeight="false" outlineLevel="0" collapsed="false">
      <c r="A1226" s="11" t="s">
        <v>1399</v>
      </c>
      <c r="B1226" s="11" t="s">
        <v>32</v>
      </c>
      <c r="C1226" s="11" t="n">
        <v>2023</v>
      </c>
      <c r="D1226" s="11" t="n">
        <v>1</v>
      </c>
      <c r="E1226" s="11" t="s">
        <v>99</v>
      </c>
      <c r="F1226" s="11" t="s">
        <v>135</v>
      </c>
      <c r="G1226" s="11" t="n">
        <v>12</v>
      </c>
      <c r="H1226" s="12" t="s">
        <v>1412</v>
      </c>
    </row>
    <row r="1227" customFormat="false" ht="15" hidden="false" customHeight="false" outlineLevel="0" collapsed="false">
      <c r="A1227" s="11" t="s">
        <v>1399</v>
      </c>
      <c r="B1227" s="11" t="s">
        <v>32</v>
      </c>
      <c r="C1227" s="11" t="n">
        <v>2023</v>
      </c>
      <c r="D1227" s="11" t="n">
        <v>2</v>
      </c>
      <c r="E1227" s="11" t="s">
        <v>102</v>
      </c>
      <c r="F1227" s="11" t="s">
        <v>137</v>
      </c>
      <c r="G1227" s="11" t="n">
        <v>12</v>
      </c>
      <c r="H1227" s="12" t="s">
        <v>1413</v>
      </c>
    </row>
    <row r="1228" customFormat="false" ht="15" hidden="false" customHeight="false" outlineLevel="0" collapsed="false">
      <c r="A1228" s="11" t="s">
        <v>1399</v>
      </c>
      <c r="B1228" s="11" t="s">
        <v>32</v>
      </c>
      <c r="C1228" s="11" t="n">
        <v>2023</v>
      </c>
      <c r="D1228" s="11" t="n">
        <v>3</v>
      </c>
      <c r="E1228" s="11" t="s">
        <v>105</v>
      </c>
      <c r="F1228" s="11" t="s">
        <v>139</v>
      </c>
      <c r="G1228" s="11" t="n">
        <v>12</v>
      </c>
      <c r="H1228" s="12" t="s">
        <v>1414</v>
      </c>
    </row>
    <row r="1229" customFormat="false" ht="15" hidden="false" customHeight="false" outlineLevel="0" collapsed="false">
      <c r="A1229" s="11" t="s">
        <v>1399</v>
      </c>
      <c r="B1229" s="11" t="s">
        <v>32</v>
      </c>
      <c r="C1229" s="11" t="n">
        <v>2023</v>
      </c>
      <c r="D1229" s="11" t="n">
        <v>4</v>
      </c>
      <c r="E1229" s="11" t="s">
        <v>108</v>
      </c>
      <c r="F1229" s="11" t="s">
        <v>141</v>
      </c>
      <c r="G1229" s="11" t="n">
        <v>16</v>
      </c>
      <c r="H1229" s="12" t="s">
        <v>1415</v>
      </c>
    </row>
    <row r="1230" customFormat="false" ht="15" hidden="false" customHeight="false" outlineLevel="0" collapsed="false">
      <c r="A1230" s="11" t="s">
        <v>1399</v>
      </c>
      <c r="B1230" s="11" t="s">
        <v>32</v>
      </c>
      <c r="C1230" s="11" t="n">
        <v>2023</v>
      </c>
      <c r="D1230" s="11" t="n">
        <v>5</v>
      </c>
      <c r="E1230" s="11" t="s">
        <v>111</v>
      </c>
      <c r="F1230" s="11" t="s">
        <v>143</v>
      </c>
      <c r="G1230" s="11" t="n">
        <v>20</v>
      </c>
      <c r="H1230" s="12" t="s">
        <v>1416</v>
      </c>
    </row>
    <row r="1231" customFormat="false" ht="15" hidden="false" customHeight="false" outlineLevel="0" collapsed="false">
      <c r="A1231" s="11" t="s">
        <v>1399</v>
      </c>
      <c r="B1231" s="11" t="s">
        <v>32</v>
      </c>
      <c r="C1231" s="11" t="n">
        <v>2023</v>
      </c>
      <c r="D1231" s="11" t="n">
        <v>6</v>
      </c>
      <c r="E1231" s="11" t="s">
        <v>114</v>
      </c>
      <c r="F1231" s="11" t="s">
        <v>145</v>
      </c>
      <c r="G1231" s="11" t="n">
        <v>20</v>
      </c>
      <c r="H1231" s="12" t="s">
        <v>1417</v>
      </c>
    </row>
    <row r="1232" customFormat="false" ht="15" hidden="false" customHeight="false" outlineLevel="0" collapsed="false">
      <c r="A1232" s="11" t="s">
        <v>1399</v>
      </c>
      <c r="B1232" s="11" t="s">
        <v>32</v>
      </c>
      <c r="C1232" s="11" t="n">
        <v>2023</v>
      </c>
      <c r="D1232" s="11" t="n">
        <v>7</v>
      </c>
      <c r="E1232" s="11" t="s">
        <v>117</v>
      </c>
      <c r="F1232" s="11" t="s">
        <v>147</v>
      </c>
      <c r="G1232" s="11" t="n">
        <v>20</v>
      </c>
      <c r="H1232" s="12" t="s">
        <v>1418</v>
      </c>
    </row>
    <row r="1233" customFormat="false" ht="15" hidden="false" customHeight="false" outlineLevel="0" collapsed="false">
      <c r="A1233" s="11" t="s">
        <v>1399</v>
      </c>
      <c r="B1233" s="11" t="s">
        <v>32</v>
      </c>
      <c r="C1233" s="11" t="n">
        <v>2023</v>
      </c>
      <c r="D1233" s="11" t="n">
        <v>8</v>
      </c>
      <c r="E1233" s="11" t="s">
        <v>120</v>
      </c>
      <c r="F1233" s="11" t="s">
        <v>149</v>
      </c>
      <c r="G1233" s="11" t="n">
        <v>16</v>
      </c>
      <c r="H1233" s="12" t="s">
        <v>1419</v>
      </c>
    </row>
    <row r="1234" customFormat="false" ht="15" hidden="false" customHeight="false" outlineLevel="0" collapsed="false">
      <c r="A1234" s="11" t="s">
        <v>1399</v>
      </c>
      <c r="B1234" s="11" t="s">
        <v>32</v>
      </c>
      <c r="C1234" s="11" t="n">
        <v>2023</v>
      </c>
      <c r="D1234" s="11" t="n">
        <v>9</v>
      </c>
      <c r="E1234" s="11" t="s">
        <v>123</v>
      </c>
      <c r="F1234" s="11" t="s">
        <v>151</v>
      </c>
      <c r="G1234" s="11" t="n">
        <v>20</v>
      </c>
      <c r="H1234" s="12" t="s">
        <v>1420</v>
      </c>
    </row>
    <row r="1235" customFormat="false" ht="15" hidden="false" customHeight="false" outlineLevel="0" collapsed="false">
      <c r="A1235" s="11" t="s">
        <v>1399</v>
      </c>
      <c r="B1235" s="11" t="s">
        <v>32</v>
      </c>
      <c r="C1235" s="11" t="n">
        <v>2023</v>
      </c>
      <c r="D1235" s="11" t="n">
        <v>10</v>
      </c>
      <c r="E1235" s="11" t="s">
        <v>126</v>
      </c>
      <c r="F1235" s="11" t="s">
        <v>153</v>
      </c>
      <c r="G1235" s="11" t="n">
        <v>16</v>
      </c>
      <c r="H1235" s="12" t="s">
        <v>1421</v>
      </c>
    </row>
    <row r="1236" customFormat="false" ht="15" hidden="false" customHeight="false" outlineLevel="0" collapsed="false">
      <c r="A1236" s="11" t="s">
        <v>1399</v>
      </c>
      <c r="B1236" s="11" t="s">
        <v>32</v>
      </c>
      <c r="C1236" s="11" t="n">
        <v>2023</v>
      </c>
      <c r="D1236" s="11" t="n">
        <v>11</v>
      </c>
      <c r="E1236" s="11" t="s">
        <v>129</v>
      </c>
      <c r="F1236" s="11" t="s">
        <v>155</v>
      </c>
      <c r="G1236" s="11" t="n">
        <v>16</v>
      </c>
      <c r="H1236" s="12" t="s">
        <v>1422</v>
      </c>
    </row>
    <row r="1237" customFormat="false" ht="15" hidden="false" customHeight="false" outlineLevel="0" collapsed="false">
      <c r="A1237" s="11" t="s">
        <v>1399</v>
      </c>
      <c r="B1237" s="11" t="s">
        <v>32</v>
      </c>
      <c r="C1237" s="11" t="n">
        <v>2023</v>
      </c>
      <c r="D1237" s="11" t="n">
        <v>12</v>
      </c>
      <c r="E1237" s="11" t="s">
        <v>132</v>
      </c>
      <c r="F1237" s="11" t="s">
        <v>157</v>
      </c>
      <c r="G1237" s="11" t="n">
        <v>16</v>
      </c>
      <c r="H1237" s="12" t="s">
        <v>1423</v>
      </c>
    </row>
    <row r="1238" customFormat="false" ht="15" hidden="false" customHeight="false" outlineLevel="0" collapsed="false">
      <c r="A1238" s="11" t="s">
        <v>1399</v>
      </c>
      <c r="B1238" s="11" t="s">
        <v>32</v>
      </c>
      <c r="C1238" s="11" t="n">
        <v>2024</v>
      </c>
      <c r="D1238" s="11" t="n">
        <v>1</v>
      </c>
      <c r="E1238" s="11" t="s">
        <v>99</v>
      </c>
      <c r="F1238" s="11" t="s">
        <v>159</v>
      </c>
      <c r="G1238" s="11" t="n">
        <v>16</v>
      </c>
      <c r="H1238" s="12" t="s">
        <v>1424</v>
      </c>
    </row>
    <row r="1239" customFormat="false" ht="15" hidden="false" customHeight="false" outlineLevel="0" collapsed="false">
      <c r="A1239" s="11" t="s">
        <v>1399</v>
      </c>
      <c r="B1239" s="11" t="s">
        <v>32</v>
      </c>
      <c r="C1239" s="11" t="n">
        <v>2024</v>
      </c>
      <c r="D1239" s="11" t="n">
        <v>2</v>
      </c>
      <c r="E1239" s="11" t="s">
        <v>102</v>
      </c>
      <c r="F1239" s="11" t="s">
        <v>161</v>
      </c>
      <c r="G1239" s="11" t="n">
        <v>12</v>
      </c>
      <c r="H1239" s="12" t="s">
        <v>1425</v>
      </c>
    </row>
    <row r="1240" customFormat="false" ht="15" hidden="false" customHeight="false" outlineLevel="0" collapsed="false">
      <c r="A1240" s="11" t="s">
        <v>1399</v>
      </c>
      <c r="B1240" s="11" t="s">
        <v>32</v>
      </c>
      <c r="C1240" s="11" t="n">
        <v>2024</v>
      </c>
      <c r="D1240" s="11" t="n">
        <v>3</v>
      </c>
      <c r="E1240" s="11" t="s">
        <v>105</v>
      </c>
      <c r="F1240" s="11" t="s">
        <v>163</v>
      </c>
      <c r="G1240" s="11" t="n">
        <v>16</v>
      </c>
      <c r="H1240" s="12" t="s">
        <v>1426</v>
      </c>
    </row>
    <row r="1241" customFormat="false" ht="15" hidden="false" customHeight="false" outlineLevel="0" collapsed="false">
      <c r="A1241" s="11" t="s">
        <v>1399</v>
      </c>
      <c r="B1241" s="11" t="s">
        <v>32</v>
      </c>
      <c r="C1241" s="11" t="n">
        <v>2024</v>
      </c>
      <c r="D1241" s="11" t="n">
        <v>4</v>
      </c>
      <c r="E1241" s="11" t="s">
        <v>108</v>
      </c>
      <c r="F1241" s="11" t="s">
        <v>165</v>
      </c>
      <c r="G1241" s="11" t="n">
        <v>20</v>
      </c>
      <c r="H1241" s="12" t="s">
        <v>1427</v>
      </c>
    </row>
    <row r="1242" customFormat="false" ht="15" hidden="false" customHeight="false" outlineLevel="0" collapsed="false">
      <c r="A1242" s="11" t="s">
        <v>1399</v>
      </c>
      <c r="B1242" s="11" t="s">
        <v>32</v>
      </c>
      <c r="C1242" s="11" t="n">
        <v>2024</v>
      </c>
      <c r="D1242" s="11" t="n">
        <v>5</v>
      </c>
      <c r="E1242" s="11" t="s">
        <v>111</v>
      </c>
      <c r="F1242" s="11" t="s">
        <v>167</v>
      </c>
      <c r="G1242" s="11" t="n">
        <v>20</v>
      </c>
      <c r="H1242" s="12" t="s">
        <v>1428</v>
      </c>
    </row>
    <row r="1243" customFormat="false" ht="15" hidden="false" customHeight="false" outlineLevel="0" collapsed="false">
      <c r="A1243" s="11" t="s">
        <v>1399</v>
      </c>
      <c r="B1243" s="11" t="s">
        <v>32</v>
      </c>
      <c r="C1243" s="11" t="n">
        <v>2024</v>
      </c>
      <c r="D1243" s="11" t="n">
        <v>6</v>
      </c>
      <c r="E1243" s="11" t="s">
        <v>114</v>
      </c>
      <c r="F1243" s="11" t="s">
        <v>169</v>
      </c>
      <c r="G1243" s="11" t="n">
        <v>16</v>
      </c>
      <c r="H1243" s="12" t="s">
        <v>1429</v>
      </c>
    </row>
    <row r="1244" customFormat="false" ht="15" hidden="false" customHeight="false" outlineLevel="0" collapsed="false">
      <c r="A1244" s="11" t="s">
        <v>1399</v>
      </c>
      <c r="B1244" s="11" t="s">
        <v>32</v>
      </c>
      <c r="C1244" s="11" t="n">
        <v>2024</v>
      </c>
      <c r="D1244" s="11" t="n">
        <v>7</v>
      </c>
      <c r="E1244" s="11" t="s">
        <v>117</v>
      </c>
      <c r="F1244" s="11" t="s">
        <v>171</v>
      </c>
      <c r="G1244" s="11" t="n">
        <v>16</v>
      </c>
      <c r="H1244" s="12" t="s">
        <v>1430</v>
      </c>
    </row>
    <row r="1245" customFormat="false" ht="15" hidden="false" customHeight="false" outlineLevel="0" collapsed="false">
      <c r="A1245" s="11" t="s">
        <v>1399</v>
      </c>
      <c r="B1245" s="11" t="s">
        <v>32</v>
      </c>
      <c r="C1245" s="11" t="n">
        <v>2024</v>
      </c>
      <c r="D1245" s="11" t="n">
        <v>8</v>
      </c>
      <c r="E1245" s="11" t="s">
        <v>120</v>
      </c>
      <c r="F1245" s="11" t="s">
        <v>173</v>
      </c>
      <c r="G1245" s="11" t="n">
        <v>12</v>
      </c>
      <c r="H1245" s="12" t="s">
        <v>1431</v>
      </c>
    </row>
    <row r="1246" customFormat="false" ht="15" hidden="false" customHeight="false" outlineLevel="0" collapsed="false">
      <c r="A1246" s="11" t="s">
        <v>1399</v>
      </c>
      <c r="B1246" s="11" t="s">
        <v>32</v>
      </c>
      <c r="C1246" s="11" t="n">
        <v>2024</v>
      </c>
      <c r="D1246" s="11" t="n">
        <v>9</v>
      </c>
      <c r="E1246" s="11" t="s">
        <v>123</v>
      </c>
      <c r="F1246" s="11" t="s">
        <v>175</v>
      </c>
      <c r="G1246" s="11" t="n">
        <v>16</v>
      </c>
      <c r="H1246" s="12" t="s">
        <v>1432</v>
      </c>
    </row>
    <row r="1247" customFormat="false" ht="15" hidden="false" customHeight="false" outlineLevel="0" collapsed="false">
      <c r="A1247" s="11" t="s">
        <v>1399</v>
      </c>
      <c r="B1247" s="11" t="s">
        <v>32</v>
      </c>
      <c r="C1247" s="11" t="n">
        <v>2024</v>
      </c>
      <c r="D1247" s="11" t="n">
        <v>10</v>
      </c>
      <c r="E1247" s="11" t="s">
        <v>126</v>
      </c>
      <c r="F1247" s="11" t="s">
        <v>177</v>
      </c>
      <c r="G1247" s="11" t="n">
        <v>16</v>
      </c>
      <c r="H1247" s="12" t="s">
        <v>1433</v>
      </c>
    </row>
    <row r="1248" customFormat="false" ht="15" hidden="false" customHeight="false" outlineLevel="0" collapsed="false">
      <c r="A1248" s="11" t="s">
        <v>1399</v>
      </c>
      <c r="B1248" s="11" t="s">
        <v>32</v>
      </c>
      <c r="C1248" s="11" t="n">
        <v>2024</v>
      </c>
      <c r="D1248" s="11" t="n">
        <v>11</v>
      </c>
      <c r="E1248" s="11" t="s">
        <v>129</v>
      </c>
      <c r="F1248" s="11" t="s">
        <v>179</v>
      </c>
      <c r="G1248" s="11" t="n">
        <v>16</v>
      </c>
      <c r="H1248" s="12" t="s">
        <v>1434</v>
      </c>
    </row>
    <row r="1249" customFormat="false" ht="15" hidden="false" customHeight="false" outlineLevel="0" collapsed="false">
      <c r="A1249" s="11" t="s">
        <v>1399</v>
      </c>
      <c r="B1249" s="11" t="s">
        <v>32</v>
      </c>
      <c r="C1249" s="11" t="n">
        <v>2024</v>
      </c>
      <c r="D1249" s="11" t="n">
        <v>12</v>
      </c>
      <c r="E1249" s="11" t="s">
        <v>132</v>
      </c>
      <c r="F1249" s="11" t="s">
        <v>181</v>
      </c>
      <c r="G1249" s="11" t="n">
        <v>16</v>
      </c>
      <c r="H1249" s="12" t="s">
        <v>1435</v>
      </c>
    </row>
    <row r="1250" customFormat="false" ht="15" hidden="false" customHeight="false" outlineLevel="0" collapsed="false">
      <c r="A1250" s="11" t="s">
        <v>1399</v>
      </c>
      <c r="B1250" s="11" t="s">
        <v>32</v>
      </c>
      <c r="C1250" s="11" t="n">
        <v>2025</v>
      </c>
      <c r="D1250" s="11" t="n">
        <v>1</v>
      </c>
      <c r="E1250" s="11" t="s">
        <v>99</v>
      </c>
      <c r="F1250" s="11" t="s">
        <v>183</v>
      </c>
      <c r="G1250" s="11" t="n">
        <v>12</v>
      </c>
      <c r="H1250" s="12" t="s">
        <v>1436</v>
      </c>
    </row>
    <row r="1251" customFormat="false" ht="15" hidden="false" customHeight="false" outlineLevel="0" collapsed="false">
      <c r="A1251" s="11" t="s">
        <v>1399</v>
      </c>
      <c r="B1251" s="11" t="s">
        <v>32</v>
      </c>
      <c r="C1251" s="11" t="n">
        <v>2025</v>
      </c>
      <c r="D1251" s="11" t="n">
        <v>2</v>
      </c>
      <c r="E1251" s="11" t="s">
        <v>102</v>
      </c>
      <c r="F1251" s="11" t="s">
        <v>185</v>
      </c>
      <c r="G1251" s="11" t="n">
        <v>12</v>
      </c>
      <c r="H1251" s="12" t="s">
        <v>1437</v>
      </c>
    </row>
    <row r="1252" customFormat="false" ht="15" hidden="false" customHeight="false" outlineLevel="0" collapsed="false">
      <c r="A1252" s="11" t="s">
        <v>1399</v>
      </c>
      <c r="B1252" s="11" t="s">
        <v>32</v>
      </c>
      <c r="C1252" s="11" t="n">
        <v>2025</v>
      </c>
      <c r="D1252" s="11" t="n">
        <v>3</v>
      </c>
      <c r="E1252" s="11" t="s">
        <v>105</v>
      </c>
      <c r="F1252" s="11" t="s">
        <v>187</v>
      </c>
      <c r="G1252" s="11" t="n">
        <v>12</v>
      </c>
      <c r="H1252" s="12" t="s">
        <v>1438</v>
      </c>
    </row>
    <row r="1253" customFormat="false" ht="15" hidden="false" customHeight="false" outlineLevel="0" collapsed="false">
      <c r="A1253" s="11" t="s">
        <v>1399</v>
      </c>
      <c r="B1253" s="11" t="s">
        <v>32</v>
      </c>
      <c r="C1253" s="11" t="n">
        <v>2025</v>
      </c>
      <c r="D1253" s="11" t="n">
        <v>4</v>
      </c>
      <c r="E1253" s="11" t="s">
        <v>108</v>
      </c>
      <c r="F1253" s="11" t="s">
        <v>189</v>
      </c>
      <c r="G1253" s="11" t="n">
        <v>20</v>
      </c>
      <c r="H1253" s="12" t="s">
        <v>1439</v>
      </c>
    </row>
    <row r="1254" customFormat="false" ht="15" hidden="false" customHeight="false" outlineLevel="0" collapsed="false">
      <c r="A1254" s="11" t="s">
        <v>1399</v>
      </c>
      <c r="B1254" s="11" t="s">
        <v>32</v>
      </c>
      <c r="C1254" s="11" t="n">
        <v>2025</v>
      </c>
      <c r="D1254" s="11" t="n">
        <v>5</v>
      </c>
      <c r="E1254" s="11" t="s">
        <v>111</v>
      </c>
      <c r="F1254" s="11" t="s">
        <v>191</v>
      </c>
      <c r="G1254" s="11" t="n">
        <v>20</v>
      </c>
      <c r="H1254" s="12" t="s">
        <v>1440</v>
      </c>
    </row>
    <row r="1255" customFormat="false" ht="15" hidden="false" customHeight="false" outlineLevel="0" collapsed="false">
      <c r="A1255" s="11" t="s">
        <v>1399</v>
      </c>
      <c r="B1255" s="11" t="s">
        <v>32</v>
      </c>
      <c r="C1255" s="11" t="n">
        <v>2025</v>
      </c>
      <c r="D1255" s="11" t="n">
        <v>6</v>
      </c>
      <c r="E1255" s="11" t="s">
        <v>114</v>
      </c>
      <c r="F1255" s="11" t="s">
        <v>193</v>
      </c>
      <c r="G1255" s="11" t="n">
        <v>16</v>
      </c>
      <c r="H1255" s="12" t="s">
        <v>1441</v>
      </c>
    </row>
    <row r="1256" customFormat="false" ht="15" hidden="false" customHeight="false" outlineLevel="0" collapsed="false">
      <c r="A1256" s="11" t="s">
        <v>1399</v>
      </c>
      <c r="B1256" s="11" t="s">
        <v>32</v>
      </c>
      <c r="C1256" s="11" t="n">
        <v>2025</v>
      </c>
      <c r="D1256" s="11" t="n">
        <v>7</v>
      </c>
      <c r="E1256" s="11" t="s">
        <v>117</v>
      </c>
      <c r="F1256" s="11" t="s">
        <v>195</v>
      </c>
      <c r="G1256" s="11" t="n">
        <v>16</v>
      </c>
      <c r="H1256" s="12" t="s">
        <v>1442</v>
      </c>
    </row>
    <row r="1257" customFormat="false" ht="15" hidden="false" customHeight="false" outlineLevel="0" collapsed="false">
      <c r="A1257" s="11" t="s">
        <v>1399</v>
      </c>
      <c r="B1257" s="11" t="s">
        <v>32</v>
      </c>
      <c r="C1257" s="11" t="n">
        <v>2025</v>
      </c>
      <c r="D1257" s="11" t="n">
        <v>8</v>
      </c>
      <c r="E1257" s="11" t="s">
        <v>120</v>
      </c>
      <c r="F1257" s="11" t="s">
        <v>197</v>
      </c>
      <c r="G1257" s="11" t="n">
        <v>20</v>
      </c>
      <c r="H1257" s="12" t="s">
        <v>1443</v>
      </c>
    </row>
    <row r="1258" customFormat="false" ht="15" hidden="false" customHeight="false" outlineLevel="0" collapsed="false">
      <c r="A1258" s="11" t="s">
        <v>1399</v>
      </c>
      <c r="B1258" s="11" t="s">
        <v>32</v>
      </c>
      <c r="C1258" s="11" t="n">
        <v>2025</v>
      </c>
      <c r="D1258" s="11" t="n">
        <v>9</v>
      </c>
      <c r="E1258" s="11" t="s">
        <v>123</v>
      </c>
      <c r="F1258" s="11" t="s">
        <v>199</v>
      </c>
      <c r="G1258" s="11" t="n">
        <v>16</v>
      </c>
      <c r="H1258" s="12" t="s">
        <v>1444</v>
      </c>
    </row>
    <row r="1259" customFormat="false" ht="15" hidden="false" customHeight="false" outlineLevel="0" collapsed="false">
      <c r="A1259" s="11" t="s">
        <v>1399</v>
      </c>
      <c r="B1259" s="11" t="s">
        <v>32</v>
      </c>
      <c r="C1259" s="11" t="n">
        <v>2025</v>
      </c>
      <c r="D1259" s="11" t="n">
        <v>10</v>
      </c>
      <c r="E1259" s="11" t="s">
        <v>126</v>
      </c>
      <c r="F1259" s="11" t="s">
        <v>201</v>
      </c>
      <c r="G1259" s="11" t="n">
        <v>16</v>
      </c>
      <c r="H1259" s="12" t="s">
        <v>1445</v>
      </c>
    </row>
    <row r="1260" customFormat="false" ht="15" hidden="false" customHeight="false" outlineLevel="0" collapsed="false">
      <c r="A1260" s="11" t="s">
        <v>1399</v>
      </c>
      <c r="B1260" s="11" t="s">
        <v>32</v>
      </c>
      <c r="C1260" s="11" t="n">
        <v>2025</v>
      </c>
      <c r="D1260" s="11" t="n">
        <v>11</v>
      </c>
      <c r="E1260" s="11" t="s">
        <v>129</v>
      </c>
      <c r="F1260" s="11" t="s">
        <v>203</v>
      </c>
      <c r="G1260" s="11" t="n">
        <v>16</v>
      </c>
      <c r="H1260" s="12" t="s">
        <v>1446</v>
      </c>
    </row>
    <row r="1261" customFormat="false" ht="15" hidden="false" customHeight="false" outlineLevel="0" collapsed="false">
      <c r="A1261" s="11" t="s">
        <v>1399</v>
      </c>
      <c r="B1261" s="11" t="s">
        <v>32</v>
      </c>
      <c r="C1261" s="11" t="n">
        <v>2025</v>
      </c>
      <c r="D1261" s="11" t="n">
        <v>12</v>
      </c>
      <c r="E1261" s="11" t="s">
        <v>132</v>
      </c>
      <c r="F1261" s="11" t="s">
        <v>205</v>
      </c>
      <c r="G1261" s="11" t="n">
        <v>12</v>
      </c>
      <c r="H1261" s="12" t="s">
        <v>1447</v>
      </c>
    </row>
    <row r="1262" customFormat="false" ht="15" hidden="false" customHeight="false" outlineLevel="0" collapsed="false">
      <c r="A1262" s="11" t="s">
        <v>1399</v>
      </c>
      <c r="B1262" s="11" t="s">
        <v>32</v>
      </c>
      <c r="C1262" s="11" t="n">
        <v>2026</v>
      </c>
      <c r="D1262" s="11" t="n">
        <v>1</v>
      </c>
      <c r="E1262" s="11" t="s">
        <v>99</v>
      </c>
      <c r="F1262" s="11" t="s">
        <v>207</v>
      </c>
      <c r="G1262" s="11" t="n">
        <v>16</v>
      </c>
      <c r="H1262" s="12" t="s">
        <v>1448</v>
      </c>
    </row>
    <row r="1263" customFormat="false" ht="15" hidden="false" customHeight="false" outlineLevel="0" collapsed="false">
      <c r="A1263" s="11" t="s">
        <v>1399</v>
      </c>
      <c r="B1263" s="11" t="s">
        <v>32</v>
      </c>
      <c r="C1263" s="11" t="n">
        <v>2026</v>
      </c>
      <c r="D1263" s="11" t="n">
        <v>2</v>
      </c>
      <c r="E1263" s="11" t="s">
        <v>102</v>
      </c>
      <c r="F1263" s="11" t="s">
        <v>209</v>
      </c>
      <c r="G1263" s="11" t="n">
        <v>12</v>
      </c>
      <c r="H1263" s="12" t="s">
        <v>1449</v>
      </c>
    </row>
    <row r="1264" customFormat="false" ht="15" hidden="false" customHeight="false" outlineLevel="0" collapsed="false">
      <c r="A1264" s="11" t="s">
        <v>1399</v>
      </c>
      <c r="B1264" s="11" t="s">
        <v>32</v>
      </c>
      <c r="C1264" s="11" t="n">
        <v>2026</v>
      </c>
      <c r="D1264" s="11" t="n">
        <v>3</v>
      </c>
      <c r="E1264" s="11" t="s">
        <v>105</v>
      </c>
      <c r="F1264" s="11" t="s">
        <v>211</v>
      </c>
      <c r="G1264" s="11" t="n">
        <v>12</v>
      </c>
      <c r="H1264" s="12" t="s">
        <v>1450</v>
      </c>
    </row>
    <row r="1265" customFormat="false" ht="15" hidden="false" customHeight="false" outlineLevel="0" collapsed="false">
      <c r="A1265" s="11" t="s">
        <v>1399</v>
      </c>
      <c r="B1265" s="11" t="s">
        <v>32</v>
      </c>
      <c r="C1265" s="11" t="n">
        <v>2026</v>
      </c>
      <c r="D1265" s="11" t="n">
        <v>4</v>
      </c>
      <c r="E1265" s="11" t="s">
        <v>108</v>
      </c>
      <c r="F1265" s="11" t="s">
        <v>213</v>
      </c>
      <c r="G1265" s="11" t="n">
        <v>16</v>
      </c>
      <c r="H1265" s="12" t="s">
        <v>1451</v>
      </c>
    </row>
    <row r="1266" customFormat="false" ht="15" hidden="false" customHeight="false" outlineLevel="0" collapsed="false">
      <c r="A1266" s="11" t="s">
        <v>1399</v>
      </c>
      <c r="B1266" s="11" t="s">
        <v>32</v>
      </c>
      <c r="C1266" s="11" t="n">
        <v>2026</v>
      </c>
      <c r="D1266" s="11" t="n">
        <v>5</v>
      </c>
      <c r="E1266" s="11" t="s">
        <v>111</v>
      </c>
      <c r="F1266" s="11" t="s">
        <v>215</v>
      </c>
      <c r="G1266" s="11" t="n">
        <v>16</v>
      </c>
      <c r="H1266" s="12" t="s">
        <v>1452</v>
      </c>
    </row>
    <row r="1267" customFormat="false" ht="15" hidden="false" customHeight="false" outlineLevel="0" collapsed="false">
      <c r="A1267" s="11" t="s">
        <v>1453</v>
      </c>
      <c r="B1267" s="11" t="s">
        <v>33</v>
      </c>
      <c r="C1267" s="11" t="n">
        <v>2022</v>
      </c>
      <c r="D1267" s="11" t="n">
        <v>1</v>
      </c>
      <c r="E1267" s="11" t="s">
        <v>99</v>
      </c>
      <c r="F1267" s="11" t="s">
        <v>100</v>
      </c>
      <c r="G1267" s="11" t="n">
        <v>12</v>
      </c>
      <c r="H1267" s="12" t="s">
        <v>1454</v>
      </c>
    </row>
    <row r="1268" customFormat="false" ht="15" hidden="false" customHeight="false" outlineLevel="0" collapsed="false">
      <c r="A1268" s="11" t="s">
        <v>1453</v>
      </c>
      <c r="B1268" s="11" t="s">
        <v>33</v>
      </c>
      <c r="C1268" s="11" t="n">
        <v>2022</v>
      </c>
      <c r="D1268" s="11" t="n">
        <v>2</v>
      </c>
      <c r="E1268" s="11" t="s">
        <v>102</v>
      </c>
      <c r="F1268" s="11" t="s">
        <v>103</v>
      </c>
      <c r="G1268" s="11" t="n">
        <v>12</v>
      </c>
      <c r="H1268" s="12" t="s">
        <v>1455</v>
      </c>
    </row>
    <row r="1269" customFormat="false" ht="15" hidden="false" customHeight="false" outlineLevel="0" collapsed="false">
      <c r="A1269" s="11" t="s">
        <v>1453</v>
      </c>
      <c r="B1269" s="11" t="s">
        <v>33</v>
      </c>
      <c r="C1269" s="11" t="n">
        <v>2022</v>
      </c>
      <c r="D1269" s="11" t="n">
        <v>3</v>
      </c>
      <c r="E1269" s="11" t="s">
        <v>105</v>
      </c>
      <c r="F1269" s="11" t="s">
        <v>106</v>
      </c>
      <c r="G1269" s="11" t="n">
        <v>12</v>
      </c>
      <c r="H1269" s="12" t="s">
        <v>1456</v>
      </c>
    </row>
    <row r="1270" customFormat="false" ht="15" hidden="false" customHeight="false" outlineLevel="0" collapsed="false">
      <c r="A1270" s="11" t="s">
        <v>1453</v>
      </c>
      <c r="B1270" s="11" t="s">
        <v>33</v>
      </c>
      <c r="C1270" s="11" t="n">
        <v>2022</v>
      </c>
      <c r="D1270" s="11" t="n">
        <v>4</v>
      </c>
      <c r="E1270" s="11" t="s">
        <v>108</v>
      </c>
      <c r="F1270" s="11" t="s">
        <v>109</v>
      </c>
      <c r="G1270" s="11" t="n">
        <v>16</v>
      </c>
      <c r="H1270" s="12" t="s">
        <v>1457</v>
      </c>
    </row>
    <row r="1271" customFormat="false" ht="15" hidden="false" customHeight="false" outlineLevel="0" collapsed="false">
      <c r="A1271" s="11" t="s">
        <v>1453</v>
      </c>
      <c r="B1271" s="11" t="s">
        <v>33</v>
      </c>
      <c r="C1271" s="11" t="n">
        <v>2022</v>
      </c>
      <c r="D1271" s="11" t="n">
        <v>5</v>
      </c>
      <c r="E1271" s="11" t="s">
        <v>111</v>
      </c>
      <c r="F1271" s="11" t="s">
        <v>112</v>
      </c>
      <c r="G1271" s="11" t="n">
        <v>16</v>
      </c>
      <c r="H1271" s="12" t="s">
        <v>1458</v>
      </c>
    </row>
    <row r="1272" customFormat="false" ht="15" hidden="false" customHeight="false" outlineLevel="0" collapsed="false">
      <c r="A1272" s="11" t="s">
        <v>1453</v>
      </c>
      <c r="B1272" s="11" t="s">
        <v>33</v>
      </c>
      <c r="C1272" s="11" t="n">
        <v>2022</v>
      </c>
      <c r="D1272" s="11" t="n">
        <v>6</v>
      </c>
      <c r="E1272" s="11" t="s">
        <v>114</v>
      </c>
      <c r="F1272" s="11" t="s">
        <v>115</v>
      </c>
      <c r="G1272" s="11" t="n">
        <v>16</v>
      </c>
      <c r="H1272" s="12" t="s">
        <v>1459</v>
      </c>
    </row>
    <row r="1273" customFormat="false" ht="15" hidden="false" customHeight="false" outlineLevel="0" collapsed="false">
      <c r="A1273" s="11" t="s">
        <v>1453</v>
      </c>
      <c r="B1273" s="11" t="s">
        <v>33</v>
      </c>
      <c r="C1273" s="11" t="n">
        <v>2022</v>
      </c>
      <c r="D1273" s="11" t="n">
        <v>7</v>
      </c>
      <c r="E1273" s="11" t="s">
        <v>117</v>
      </c>
      <c r="F1273" s="11" t="s">
        <v>118</v>
      </c>
      <c r="G1273" s="11" t="n">
        <v>12</v>
      </c>
      <c r="H1273" s="12" t="s">
        <v>1460</v>
      </c>
    </row>
    <row r="1274" customFormat="false" ht="15" hidden="false" customHeight="false" outlineLevel="0" collapsed="false">
      <c r="A1274" s="11" t="s">
        <v>1453</v>
      </c>
      <c r="B1274" s="11" t="s">
        <v>33</v>
      </c>
      <c r="C1274" s="11" t="n">
        <v>2022</v>
      </c>
      <c r="D1274" s="11" t="n">
        <v>8</v>
      </c>
      <c r="E1274" s="11" t="s">
        <v>120</v>
      </c>
      <c r="F1274" s="11" t="s">
        <v>121</v>
      </c>
      <c r="G1274" s="11" t="n">
        <v>12</v>
      </c>
      <c r="H1274" s="12" t="s">
        <v>1461</v>
      </c>
    </row>
    <row r="1275" customFormat="false" ht="15" hidden="false" customHeight="false" outlineLevel="0" collapsed="false">
      <c r="A1275" s="11" t="s">
        <v>1453</v>
      </c>
      <c r="B1275" s="11" t="s">
        <v>33</v>
      </c>
      <c r="C1275" s="11" t="n">
        <v>2022</v>
      </c>
      <c r="D1275" s="11" t="n">
        <v>9</v>
      </c>
      <c r="E1275" s="11" t="s">
        <v>123</v>
      </c>
      <c r="F1275" s="11" t="s">
        <v>124</v>
      </c>
      <c r="G1275" s="11" t="n">
        <v>16</v>
      </c>
      <c r="H1275" s="12" t="s">
        <v>1462</v>
      </c>
    </row>
    <row r="1276" customFormat="false" ht="15" hidden="false" customHeight="false" outlineLevel="0" collapsed="false">
      <c r="A1276" s="11" t="s">
        <v>1453</v>
      </c>
      <c r="B1276" s="11" t="s">
        <v>33</v>
      </c>
      <c r="C1276" s="11" t="n">
        <v>2022</v>
      </c>
      <c r="D1276" s="11" t="n">
        <v>10</v>
      </c>
      <c r="E1276" s="11" t="s">
        <v>126</v>
      </c>
      <c r="F1276" s="11" t="s">
        <v>127</v>
      </c>
      <c r="G1276" s="11" t="n">
        <v>20</v>
      </c>
      <c r="H1276" s="12" t="s">
        <v>1463</v>
      </c>
    </row>
    <row r="1277" customFormat="false" ht="15" hidden="false" customHeight="false" outlineLevel="0" collapsed="false">
      <c r="A1277" s="11" t="s">
        <v>1453</v>
      </c>
      <c r="B1277" s="11" t="s">
        <v>33</v>
      </c>
      <c r="C1277" s="11" t="n">
        <v>2022</v>
      </c>
      <c r="D1277" s="11" t="n">
        <v>11</v>
      </c>
      <c r="E1277" s="11" t="s">
        <v>129</v>
      </c>
      <c r="F1277" s="11" t="s">
        <v>130</v>
      </c>
      <c r="G1277" s="11" t="n">
        <v>16</v>
      </c>
      <c r="H1277" s="12" t="s">
        <v>1464</v>
      </c>
    </row>
    <row r="1278" customFormat="false" ht="15" hidden="false" customHeight="false" outlineLevel="0" collapsed="false">
      <c r="A1278" s="11" t="s">
        <v>1453</v>
      </c>
      <c r="B1278" s="11" t="s">
        <v>33</v>
      </c>
      <c r="C1278" s="11" t="n">
        <v>2022</v>
      </c>
      <c r="D1278" s="11" t="n">
        <v>12</v>
      </c>
      <c r="E1278" s="11" t="s">
        <v>132</v>
      </c>
      <c r="F1278" s="11" t="s">
        <v>133</v>
      </c>
      <c r="G1278" s="11" t="n">
        <v>16</v>
      </c>
      <c r="H1278" s="12" t="s">
        <v>1465</v>
      </c>
    </row>
    <row r="1279" customFormat="false" ht="15" hidden="false" customHeight="false" outlineLevel="0" collapsed="false">
      <c r="A1279" s="11" t="s">
        <v>1453</v>
      </c>
      <c r="B1279" s="11" t="s">
        <v>33</v>
      </c>
      <c r="C1279" s="11" t="n">
        <v>2023</v>
      </c>
      <c r="D1279" s="11" t="n">
        <v>1</v>
      </c>
      <c r="E1279" s="11" t="s">
        <v>99</v>
      </c>
      <c r="F1279" s="11" t="s">
        <v>135</v>
      </c>
      <c r="G1279" s="11" t="n">
        <v>12</v>
      </c>
      <c r="H1279" s="12" t="s">
        <v>1466</v>
      </c>
    </row>
    <row r="1280" customFormat="false" ht="15" hidden="false" customHeight="false" outlineLevel="0" collapsed="false">
      <c r="A1280" s="11" t="s">
        <v>1453</v>
      </c>
      <c r="B1280" s="11" t="s">
        <v>33</v>
      </c>
      <c r="C1280" s="11" t="n">
        <v>2023</v>
      </c>
      <c r="D1280" s="11" t="n">
        <v>2</v>
      </c>
      <c r="E1280" s="11" t="s">
        <v>102</v>
      </c>
      <c r="F1280" s="11" t="s">
        <v>137</v>
      </c>
      <c r="G1280" s="11" t="n">
        <v>12</v>
      </c>
      <c r="H1280" s="12" t="s">
        <v>1467</v>
      </c>
    </row>
    <row r="1281" customFormat="false" ht="15" hidden="false" customHeight="false" outlineLevel="0" collapsed="false">
      <c r="A1281" s="11" t="s">
        <v>1453</v>
      </c>
      <c r="B1281" s="11" t="s">
        <v>33</v>
      </c>
      <c r="C1281" s="11" t="n">
        <v>2023</v>
      </c>
      <c r="D1281" s="11" t="n">
        <v>3</v>
      </c>
      <c r="E1281" s="11" t="s">
        <v>105</v>
      </c>
      <c r="F1281" s="11" t="s">
        <v>139</v>
      </c>
      <c r="G1281" s="11" t="n">
        <v>16</v>
      </c>
      <c r="H1281" s="12" t="s">
        <v>1468</v>
      </c>
    </row>
    <row r="1282" customFormat="false" ht="15" hidden="false" customHeight="false" outlineLevel="0" collapsed="false">
      <c r="A1282" s="11" t="s">
        <v>1453</v>
      </c>
      <c r="B1282" s="11" t="s">
        <v>33</v>
      </c>
      <c r="C1282" s="11" t="n">
        <v>2023</v>
      </c>
      <c r="D1282" s="11" t="n">
        <v>4</v>
      </c>
      <c r="E1282" s="11" t="s">
        <v>108</v>
      </c>
      <c r="F1282" s="11" t="s">
        <v>141</v>
      </c>
      <c r="G1282" s="11" t="n">
        <v>12</v>
      </c>
      <c r="H1282" s="12" t="s">
        <v>1469</v>
      </c>
    </row>
    <row r="1283" customFormat="false" ht="15" hidden="false" customHeight="false" outlineLevel="0" collapsed="false">
      <c r="A1283" s="11" t="s">
        <v>1453</v>
      </c>
      <c r="B1283" s="11" t="s">
        <v>33</v>
      </c>
      <c r="C1283" s="11" t="n">
        <v>2023</v>
      </c>
      <c r="D1283" s="11" t="n">
        <v>5</v>
      </c>
      <c r="E1283" s="11" t="s">
        <v>111</v>
      </c>
      <c r="F1283" s="11" t="s">
        <v>143</v>
      </c>
      <c r="G1283" s="11" t="n">
        <v>16</v>
      </c>
      <c r="H1283" s="12" t="s">
        <v>1470</v>
      </c>
    </row>
    <row r="1284" customFormat="false" ht="15" hidden="false" customHeight="false" outlineLevel="0" collapsed="false">
      <c r="A1284" s="11" t="s">
        <v>1453</v>
      </c>
      <c r="B1284" s="11" t="s">
        <v>33</v>
      </c>
      <c r="C1284" s="11" t="n">
        <v>2023</v>
      </c>
      <c r="D1284" s="11" t="n">
        <v>6</v>
      </c>
      <c r="E1284" s="11" t="s">
        <v>114</v>
      </c>
      <c r="F1284" s="11" t="s">
        <v>145</v>
      </c>
      <c r="G1284" s="11" t="n">
        <v>20</v>
      </c>
      <c r="H1284" s="12" t="s">
        <v>1471</v>
      </c>
    </row>
    <row r="1285" customFormat="false" ht="15" hidden="false" customHeight="false" outlineLevel="0" collapsed="false">
      <c r="A1285" s="11" t="s">
        <v>1453</v>
      </c>
      <c r="B1285" s="11" t="s">
        <v>33</v>
      </c>
      <c r="C1285" s="11" t="n">
        <v>2023</v>
      </c>
      <c r="D1285" s="11" t="n">
        <v>7</v>
      </c>
      <c r="E1285" s="11" t="s">
        <v>117</v>
      </c>
      <c r="F1285" s="11" t="s">
        <v>147</v>
      </c>
      <c r="G1285" s="11" t="n">
        <v>20</v>
      </c>
      <c r="H1285" s="12" t="s">
        <v>1472</v>
      </c>
    </row>
    <row r="1286" customFormat="false" ht="15" hidden="false" customHeight="false" outlineLevel="0" collapsed="false">
      <c r="A1286" s="11" t="s">
        <v>1453</v>
      </c>
      <c r="B1286" s="11" t="s">
        <v>33</v>
      </c>
      <c r="C1286" s="11" t="n">
        <v>2023</v>
      </c>
      <c r="D1286" s="11" t="n">
        <v>8</v>
      </c>
      <c r="E1286" s="11" t="s">
        <v>120</v>
      </c>
      <c r="F1286" s="11" t="s">
        <v>149</v>
      </c>
      <c r="G1286" s="11" t="n">
        <v>16</v>
      </c>
      <c r="H1286" s="12" t="s">
        <v>1473</v>
      </c>
    </row>
    <row r="1287" customFormat="false" ht="15" hidden="false" customHeight="false" outlineLevel="0" collapsed="false">
      <c r="A1287" s="11" t="s">
        <v>1453</v>
      </c>
      <c r="B1287" s="11" t="s">
        <v>33</v>
      </c>
      <c r="C1287" s="11" t="n">
        <v>2023</v>
      </c>
      <c r="D1287" s="11" t="n">
        <v>9</v>
      </c>
      <c r="E1287" s="11" t="s">
        <v>123</v>
      </c>
      <c r="F1287" s="11" t="s">
        <v>151</v>
      </c>
      <c r="G1287" s="11" t="n">
        <v>16</v>
      </c>
      <c r="H1287" s="12" t="s">
        <v>1474</v>
      </c>
    </row>
    <row r="1288" customFormat="false" ht="15" hidden="false" customHeight="false" outlineLevel="0" collapsed="false">
      <c r="A1288" s="11" t="s">
        <v>1453</v>
      </c>
      <c r="B1288" s="11" t="s">
        <v>33</v>
      </c>
      <c r="C1288" s="11" t="n">
        <v>2023</v>
      </c>
      <c r="D1288" s="11" t="n">
        <v>10</v>
      </c>
      <c r="E1288" s="11" t="s">
        <v>126</v>
      </c>
      <c r="F1288" s="11" t="s">
        <v>153</v>
      </c>
      <c r="G1288" s="11" t="n">
        <v>12</v>
      </c>
      <c r="H1288" s="12" t="s">
        <v>1475</v>
      </c>
    </row>
    <row r="1289" customFormat="false" ht="15" hidden="false" customHeight="false" outlineLevel="0" collapsed="false">
      <c r="A1289" s="11" t="s">
        <v>1453</v>
      </c>
      <c r="B1289" s="11" t="s">
        <v>33</v>
      </c>
      <c r="C1289" s="11" t="n">
        <v>2023</v>
      </c>
      <c r="D1289" s="11" t="n">
        <v>11</v>
      </c>
      <c r="E1289" s="11" t="s">
        <v>129</v>
      </c>
      <c r="F1289" s="11" t="s">
        <v>155</v>
      </c>
      <c r="G1289" s="11" t="n">
        <v>16</v>
      </c>
      <c r="H1289" s="12" t="s">
        <v>1476</v>
      </c>
    </row>
    <row r="1290" customFormat="false" ht="15" hidden="false" customHeight="false" outlineLevel="0" collapsed="false">
      <c r="A1290" s="11" t="s">
        <v>1453</v>
      </c>
      <c r="B1290" s="11" t="s">
        <v>33</v>
      </c>
      <c r="C1290" s="11" t="n">
        <v>2023</v>
      </c>
      <c r="D1290" s="11" t="n">
        <v>12</v>
      </c>
      <c r="E1290" s="11" t="s">
        <v>132</v>
      </c>
      <c r="F1290" s="11" t="s">
        <v>157</v>
      </c>
      <c r="G1290" s="11" t="n">
        <v>16</v>
      </c>
      <c r="H1290" s="12" t="s">
        <v>1477</v>
      </c>
    </row>
    <row r="1291" customFormat="false" ht="15" hidden="false" customHeight="false" outlineLevel="0" collapsed="false">
      <c r="A1291" s="11" t="s">
        <v>1453</v>
      </c>
      <c r="B1291" s="11" t="s">
        <v>33</v>
      </c>
      <c r="C1291" s="11" t="n">
        <v>2024</v>
      </c>
      <c r="D1291" s="11" t="n">
        <v>1</v>
      </c>
      <c r="E1291" s="11" t="s">
        <v>99</v>
      </c>
      <c r="F1291" s="11" t="s">
        <v>159</v>
      </c>
      <c r="G1291" s="11" t="n">
        <v>12</v>
      </c>
      <c r="H1291" s="12" t="s">
        <v>1478</v>
      </c>
    </row>
    <row r="1292" customFormat="false" ht="15" hidden="false" customHeight="false" outlineLevel="0" collapsed="false">
      <c r="A1292" s="11" t="s">
        <v>1453</v>
      </c>
      <c r="B1292" s="11" t="s">
        <v>33</v>
      </c>
      <c r="C1292" s="11" t="n">
        <v>2024</v>
      </c>
      <c r="D1292" s="11" t="n">
        <v>2</v>
      </c>
      <c r="E1292" s="11" t="s">
        <v>102</v>
      </c>
      <c r="F1292" s="11" t="s">
        <v>161</v>
      </c>
      <c r="G1292" s="11" t="n">
        <v>12</v>
      </c>
      <c r="H1292" s="12" t="s">
        <v>1479</v>
      </c>
    </row>
    <row r="1293" customFormat="false" ht="15" hidden="false" customHeight="false" outlineLevel="0" collapsed="false">
      <c r="A1293" s="11" t="s">
        <v>1453</v>
      </c>
      <c r="B1293" s="11" t="s">
        <v>33</v>
      </c>
      <c r="C1293" s="11" t="n">
        <v>2024</v>
      </c>
      <c r="D1293" s="11" t="n">
        <v>3</v>
      </c>
      <c r="E1293" s="11" t="s">
        <v>105</v>
      </c>
      <c r="F1293" s="11" t="s">
        <v>163</v>
      </c>
      <c r="G1293" s="11" t="n">
        <v>16</v>
      </c>
      <c r="H1293" s="12" t="s">
        <v>1480</v>
      </c>
    </row>
    <row r="1294" customFormat="false" ht="15" hidden="false" customHeight="false" outlineLevel="0" collapsed="false">
      <c r="A1294" s="11" t="s">
        <v>1453</v>
      </c>
      <c r="B1294" s="11" t="s">
        <v>33</v>
      </c>
      <c r="C1294" s="11" t="n">
        <v>2024</v>
      </c>
      <c r="D1294" s="11" t="n">
        <v>4</v>
      </c>
      <c r="E1294" s="11" t="s">
        <v>108</v>
      </c>
      <c r="F1294" s="11" t="s">
        <v>165</v>
      </c>
      <c r="G1294" s="11" t="n">
        <v>16</v>
      </c>
      <c r="H1294" s="12" t="s">
        <v>1481</v>
      </c>
    </row>
    <row r="1295" customFormat="false" ht="15" hidden="false" customHeight="false" outlineLevel="0" collapsed="false">
      <c r="A1295" s="11" t="s">
        <v>1453</v>
      </c>
      <c r="B1295" s="11" t="s">
        <v>33</v>
      </c>
      <c r="C1295" s="11" t="n">
        <v>2024</v>
      </c>
      <c r="D1295" s="11" t="n">
        <v>5</v>
      </c>
      <c r="E1295" s="11" t="s">
        <v>111</v>
      </c>
      <c r="F1295" s="11" t="s">
        <v>167</v>
      </c>
      <c r="G1295" s="11" t="n">
        <v>16</v>
      </c>
      <c r="H1295" s="12" t="s">
        <v>1482</v>
      </c>
    </row>
    <row r="1296" customFormat="false" ht="15" hidden="false" customHeight="false" outlineLevel="0" collapsed="false">
      <c r="A1296" s="11" t="s">
        <v>1453</v>
      </c>
      <c r="B1296" s="11" t="s">
        <v>33</v>
      </c>
      <c r="C1296" s="11" t="n">
        <v>2024</v>
      </c>
      <c r="D1296" s="11" t="n">
        <v>6</v>
      </c>
      <c r="E1296" s="11" t="s">
        <v>114</v>
      </c>
      <c r="F1296" s="11" t="s">
        <v>169</v>
      </c>
      <c r="G1296" s="11" t="n">
        <v>16</v>
      </c>
      <c r="H1296" s="12" t="s">
        <v>1483</v>
      </c>
    </row>
    <row r="1297" customFormat="false" ht="15" hidden="false" customHeight="false" outlineLevel="0" collapsed="false">
      <c r="A1297" s="11" t="s">
        <v>1453</v>
      </c>
      <c r="B1297" s="11" t="s">
        <v>33</v>
      </c>
      <c r="C1297" s="11" t="n">
        <v>2024</v>
      </c>
      <c r="D1297" s="11" t="n">
        <v>7</v>
      </c>
      <c r="E1297" s="11" t="s">
        <v>117</v>
      </c>
      <c r="F1297" s="11" t="s">
        <v>171</v>
      </c>
      <c r="G1297" s="11" t="n">
        <v>16</v>
      </c>
      <c r="H1297" s="12" t="s">
        <v>1484</v>
      </c>
    </row>
    <row r="1298" customFormat="false" ht="15" hidden="false" customHeight="false" outlineLevel="0" collapsed="false">
      <c r="A1298" s="11" t="s">
        <v>1453</v>
      </c>
      <c r="B1298" s="11" t="s">
        <v>33</v>
      </c>
      <c r="C1298" s="11" t="n">
        <v>2024</v>
      </c>
      <c r="D1298" s="11" t="n">
        <v>8</v>
      </c>
      <c r="E1298" s="11" t="s">
        <v>120</v>
      </c>
      <c r="F1298" s="11" t="s">
        <v>173</v>
      </c>
      <c r="G1298" s="11" t="n">
        <v>12</v>
      </c>
      <c r="H1298" s="12" t="s">
        <v>1485</v>
      </c>
    </row>
    <row r="1299" customFormat="false" ht="15" hidden="false" customHeight="false" outlineLevel="0" collapsed="false">
      <c r="A1299" s="11" t="s">
        <v>1453</v>
      </c>
      <c r="B1299" s="11" t="s">
        <v>33</v>
      </c>
      <c r="C1299" s="11" t="n">
        <v>2024</v>
      </c>
      <c r="D1299" s="11" t="n">
        <v>9</v>
      </c>
      <c r="E1299" s="11" t="s">
        <v>123</v>
      </c>
      <c r="F1299" s="11" t="s">
        <v>175</v>
      </c>
      <c r="G1299" s="11" t="n">
        <v>16</v>
      </c>
      <c r="H1299" s="12" t="s">
        <v>1486</v>
      </c>
    </row>
    <row r="1300" customFormat="false" ht="15" hidden="false" customHeight="false" outlineLevel="0" collapsed="false">
      <c r="A1300" s="11" t="s">
        <v>1453</v>
      </c>
      <c r="B1300" s="11" t="s">
        <v>33</v>
      </c>
      <c r="C1300" s="11" t="n">
        <v>2024</v>
      </c>
      <c r="D1300" s="11" t="n">
        <v>10</v>
      </c>
      <c r="E1300" s="11" t="s">
        <v>126</v>
      </c>
      <c r="F1300" s="11" t="s">
        <v>177</v>
      </c>
      <c r="G1300" s="11" t="n">
        <v>16</v>
      </c>
      <c r="H1300" s="12" t="s">
        <v>1487</v>
      </c>
    </row>
    <row r="1301" customFormat="false" ht="15" hidden="false" customHeight="false" outlineLevel="0" collapsed="false">
      <c r="A1301" s="11" t="s">
        <v>1453</v>
      </c>
      <c r="B1301" s="11" t="s">
        <v>33</v>
      </c>
      <c r="C1301" s="11" t="n">
        <v>2024</v>
      </c>
      <c r="D1301" s="11" t="n">
        <v>11</v>
      </c>
      <c r="E1301" s="11" t="s">
        <v>129</v>
      </c>
      <c r="F1301" s="11" t="s">
        <v>179</v>
      </c>
      <c r="G1301" s="11" t="n">
        <v>16</v>
      </c>
      <c r="H1301" s="12" t="s">
        <v>1488</v>
      </c>
    </row>
    <row r="1302" customFormat="false" ht="15" hidden="false" customHeight="false" outlineLevel="0" collapsed="false">
      <c r="A1302" s="11" t="s">
        <v>1453</v>
      </c>
      <c r="B1302" s="11" t="s">
        <v>33</v>
      </c>
      <c r="C1302" s="11" t="n">
        <v>2024</v>
      </c>
      <c r="D1302" s="11" t="n">
        <v>12</v>
      </c>
      <c r="E1302" s="11" t="s">
        <v>132</v>
      </c>
      <c r="F1302" s="11" t="s">
        <v>181</v>
      </c>
      <c r="G1302" s="11" t="n">
        <v>16</v>
      </c>
      <c r="H1302" s="12" t="s">
        <v>1489</v>
      </c>
    </row>
    <row r="1303" customFormat="false" ht="15" hidden="false" customHeight="false" outlineLevel="0" collapsed="false">
      <c r="A1303" s="11" t="s">
        <v>1453</v>
      </c>
      <c r="B1303" s="11" t="s">
        <v>33</v>
      </c>
      <c r="C1303" s="11" t="n">
        <v>2025</v>
      </c>
      <c r="D1303" s="11" t="n">
        <v>1</v>
      </c>
      <c r="E1303" s="11" t="s">
        <v>99</v>
      </c>
      <c r="F1303" s="11" t="s">
        <v>183</v>
      </c>
      <c r="G1303" s="11" t="n">
        <v>12</v>
      </c>
      <c r="H1303" s="12" t="s">
        <v>1490</v>
      </c>
    </row>
    <row r="1304" customFormat="false" ht="15" hidden="false" customHeight="false" outlineLevel="0" collapsed="false">
      <c r="A1304" s="11" t="s">
        <v>1453</v>
      </c>
      <c r="B1304" s="11" t="s">
        <v>33</v>
      </c>
      <c r="C1304" s="11" t="n">
        <v>2025</v>
      </c>
      <c r="D1304" s="11" t="n">
        <v>2</v>
      </c>
      <c r="E1304" s="11" t="s">
        <v>102</v>
      </c>
      <c r="F1304" s="11" t="s">
        <v>185</v>
      </c>
      <c r="G1304" s="11" t="n">
        <v>12</v>
      </c>
      <c r="H1304" s="12" t="s">
        <v>1491</v>
      </c>
    </row>
    <row r="1305" customFormat="false" ht="15" hidden="false" customHeight="false" outlineLevel="0" collapsed="false">
      <c r="A1305" s="11" t="s">
        <v>1453</v>
      </c>
      <c r="B1305" s="11" t="s">
        <v>33</v>
      </c>
      <c r="C1305" s="11" t="n">
        <v>2025</v>
      </c>
      <c r="D1305" s="11" t="n">
        <v>3</v>
      </c>
      <c r="E1305" s="11" t="s">
        <v>105</v>
      </c>
      <c r="F1305" s="11" t="s">
        <v>187</v>
      </c>
      <c r="G1305" s="11" t="n">
        <v>12</v>
      </c>
      <c r="H1305" s="12" t="s">
        <v>1492</v>
      </c>
    </row>
    <row r="1306" customFormat="false" ht="15" hidden="false" customHeight="false" outlineLevel="0" collapsed="false">
      <c r="A1306" s="11" t="s">
        <v>1453</v>
      </c>
      <c r="B1306" s="11" t="s">
        <v>33</v>
      </c>
      <c r="C1306" s="11" t="n">
        <v>2025</v>
      </c>
      <c r="D1306" s="11" t="n">
        <v>4</v>
      </c>
      <c r="E1306" s="11" t="s">
        <v>108</v>
      </c>
      <c r="F1306" s="11" t="s">
        <v>189</v>
      </c>
      <c r="G1306" s="11" t="n">
        <v>16</v>
      </c>
      <c r="H1306" s="12" t="s">
        <v>1493</v>
      </c>
    </row>
    <row r="1307" customFormat="false" ht="15" hidden="false" customHeight="false" outlineLevel="0" collapsed="false">
      <c r="A1307" s="11" t="s">
        <v>1453</v>
      </c>
      <c r="B1307" s="11" t="s">
        <v>33</v>
      </c>
      <c r="C1307" s="11" t="n">
        <v>2025</v>
      </c>
      <c r="D1307" s="11" t="n">
        <v>5</v>
      </c>
      <c r="E1307" s="11" t="s">
        <v>111</v>
      </c>
      <c r="F1307" s="11" t="s">
        <v>191</v>
      </c>
      <c r="G1307" s="11" t="n">
        <v>20</v>
      </c>
      <c r="H1307" s="12" t="s">
        <v>1494</v>
      </c>
    </row>
    <row r="1308" customFormat="false" ht="15" hidden="false" customHeight="false" outlineLevel="0" collapsed="false">
      <c r="A1308" s="11" t="s">
        <v>1453</v>
      </c>
      <c r="B1308" s="11" t="s">
        <v>33</v>
      </c>
      <c r="C1308" s="11" t="n">
        <v>2025</v>
      </c>
      <c r="D1308" s="11" t="n">
        <v>6</v>
      </c>
      <c r="E1308" s="11" t="s">
        <v>114</v>
      </c>
      <c r="F1308" s="11" t="s">
        <v>193</v>
      </c>
      <c r="G1308" s="11" t="n">
        <v>16</v>
      </c>
      <c r="H1308" s="12" t="s">
        <v>1495</v>
      </c>
    </row>
    <row r="1309" customFormat="false" ht="15" hidden="false" customHeight="false" outlineLevel="0" collapsed="false">
      <c r="A1309" s="11" t="s">
        <v>1453</v>
      </c>
      <c r="B1309" s="11" t="s">
        <v>33</v>
      </c>
      <c r="C1309" s="11" t="n">
        <v>2025</v>
      </c>
      <c r="D1309" s="11" t="n">
        <v>7</v>
      </c>
      <c r="E1309" s="11" t="s">
        <v>117</v>
      </c>
      <c r="F1309" s="11" t="s">
        <v>195</v>
      </c>
      <c r="G1309" s="11" t="n">
        <v>16</v>
      </c>
      <c r="H1309" s="12" t="s">
        <v>1496</v>
      </c>
    </row>
    <row r="1310" customFormat="false" ht="15" hidden="false" customHeight="false" outlineLevel="0" collapsed="false">
      <c r="A1310" s="11" t="s">
        <v>1453</v>
      </c>
      <c r="B1310" s="11" t="s">
        <v>33</v>
      </c>
      <c r="C1310" s="11" t="n">
        <v>2025</v>
      </c>
      <c r="D1310" s="11" t="n">
        <v>8</v>
      </c>
      <c r="E1310" s="11" t="s">
        <v>120</v>
      </c>
      <c r="F1310" s="11" t="s">
        <v>197</v>
      </c>
      <c r="G1310" s="11" t="n">
        <v>16</v>
      </c>
      <c r="H1310" s="12" t="s">
        <v>1497</v>
      </c>
    </row>
    <row r="1311" customFormat="false" ht="15" hidden="false" customHeight="false" outlineLevel="0" collapsed="false">
      <c r="A1311" s="11" t="s">
        <v>1453</v>
      </c>
      <c r="B1311" s="11" t="s">
        <v>33</v>
      </c>
      <c r="C1311" s="11" t="n">
        <v>2025</v>
      </c>
      <c r="D1311" s="11" t="n">
        <v>9</v>
      </c>
      <c r="E1311" s="11" t="s">
        <v>123</v>
      </c>
      <c r="F1311" s="11" t="s">
        <v>199</v>
      </c>
      <c r="G1311" s="11" t="n">
        <v>16</v>
      </c>
      <c r="H1311" s="12" t="s">
        <v>1498</v>
      </c>
    </row>
    <row r="1312" customFormat="false" ht="15" hidden="false" customHeight="false" outlineLevel="0" collapsed="false">
      <c r="A1312" s="11" t="s">
        <v>1453</v>
      </c>
      <c r="B1312" s="11" t="s">
        <v>33</v>
      </c>
      <c r="C1312" s="11" t="n">
        <v>2025</v>
      </c>
      <c r="D1312" s="11" t="n">
        <v>10</v>
      </c>
      <c r="E1312" s="11" t="s">
        <v>126</v>
      </c>
      <c r="F1312" s="11" t="s">
        <v>201</v>
      </c>
      <c r="G1312" s="11" t="n">
        <v>16</v>
      </c>
      <c r="H1312" s="12" t="s">
        <v>1499</v>
      </c>
    </row>
    <row r="1313" customFormat="false" ht="15" hidden="false" customHeight="false" outlineLevel="0" collapsed="false">
      <c r="A1313" s="11" t="s">
        <v>1453</v>
      </c>
      <c r="B1313" s="11" t="s">
        <v>33</v>
      </c>
      <c r="C1313" s="11" t="n">
        <v>2025</v>
      </c>
      <c r="D1313" s="11" t="n">
        <v>11</v>
      </c>
      <c r="E1313" s="11" t="s">
        <v>129</v>
      </c>
      <c r="F1313" s="11" t="s">
        <v>203</v>
      </c>
      <c r="G1313" s="11" t="n">
        <v>12</v>
      </c>
      <c r="H1313" s="12" t="s">
        <v>1500</v>
      </c>
    </row>
    <row r="1314" customFormat="false" ht="15" hidden="false" customHeight="false" outlineLevel="0" collapsed="false">
      <c r="A1314" s="11" t="s">
        <v>1453</v>
      </c>
      <c r="B1314" s="11" t="s">
        <v>33</v>
      </c>
      <c r="C1314" s="11" t="n">
        <v>2025</v>
      </c>
      <c r="D1314" s="11" t="n">
        <v>12</v>
      </c>
      <c r="E1314" s="11" t="s">
        <v>132</v>
      </c>
      <c r="F1314" s="11" t="s">
        <v>205</v>
      </c>
      <c r="G1314" s="11" t="n">
        <v>12</v>
      </c>
      <c r="H1314" s="12" t="s">
        <v>1501</v>
      </c>
    </row>
    <row r="1315" customFormat="false" ht="15" hidden="false" customHeight="false" outlineLevel="0" collapsed="false">
      <c r="A1315" s="11" t="s">
        <v>1453</v>
      </c>
      <c r="B1315" s="11" t="s">
        <v>33</v>
      </c>
      <c r="C1315" s="11" t="n">
        <v>2026</v>
      </c>
      <c r="D1315" s="11" t="n">
        <v>1</v>
      </c>
      <c r="E1315" s="11" t="s">
        <v>99</v>
      </c>
      <c r="F1315" s="11" t="s">
        <v>207</v>
      </c>
      <c r="G1315" s="11" t="n">
        <v>12</v>
      </c>
      <c r="H1315" s="12" t="s">
        <v>1502</v>
      </c>
    </row>
    <row r="1316" customFormat="false" ht="15" hidden="false" customHeight="false" outlineLevel="0" collapsed="false">
      <c r="A1316" s="11" t="s">
        <v>1453</v>
      </c>
      <c r="B1316" s="11" t="s">
        <v>33</v>
      </c>
      <c r="C1316" s="11" t="n">
        <v>2026</v>
      </c>
      <c r="D1316" s="11" t="n">
        <v>2</v>
      </c>
      <c r="E1316" s="11" t="s">
        <v>102</v>
      </c>
      <c r="F1316" s="11" t="s">
        <v>209</v>
      </c>
      <c r="G1316" s="11" t="n">
        <v>12</v>
      </c>
      <c r="H1316" s="12" t="s">
        <v>1503</v>
      </c>
    </row>
    <row r="1317" customFormat="false" ht="15" hidden="false" customHeight="false" outlineLevel="0" collapsed="false">
      <c r="A1317" s="11" t="s">
        <v>1453</v>
      </c>
      <c r="B1317" s="11" t="s">
        <v>33</v>
      </c>
      <c r="C1317" s="11" t="n">
        <v>2026</v>
      </c>
      <c r="D1317" s="11" t="n">
        <v>3</v>
      </c>
      <c r="E1317" s="11" t="s">
        <v>105</v>
      </c>
      <c r="F1317" s="11" t="s">
        <v>211</v>
      </c>
      <c r="G1317" s="11" t="n">
        <v>12</v>
      </c>
      <c r="H1317" s="12" t="s">
        <v>1504</v>
      </c>
    </row>
    <row r="1318" customFormat="false" ht="15" hidden="false" customHeight="false" outlineLevel="0" collapsed="false">
      <c r="A1318" s="11" t="s">
        <v>1453</v>
      </c>
      <c r="B1318" s="11" t="s">
        <v>33</v>
      </c>
      <c r="C1318" s="11" t="n">
        <v>2026</v>
      </c>
      <c r="D1318" s="11" t="n">
        <v>4</v>
      </c>
      <c r="E1318" s="11" t="s">
        <v>108</v>
      </c>
      <c r="F1318" s="11" t="s">
        <v>213</v>
      </c>
      <c r="G1318" s="11" t="n">
        <v>16</v>
      </c>
      <c r="H1318" s="12" t="s">
        <v>1505</v>
      </c>
    </row>
    <row r="1319" customFormat="false" ht="15" hidden="false" customHeight="false" outlineLevel="0" collapsed="false">
      <c r="A1319" s="11" t="s">
        <v>1453</v>
      </c>
      <c r="B1319" s="11" t="s">
        <v>33</v>
      </c>
      <c r="C1319" s="11" t="n">
        <v>2026</v>
      </c>
      <c r="D1319" s="11" t="n">
        <v>5</v>
      </c>
      <c r="E1319" s="11" t="s">
        <v>111</v>
      </c>
      <c r="F1319" s="11" t="s">
        <v>215</v>
      </c>
      <c r="G1319" s="11" t="n">
        <v>12</v>
      </c>
      <c r="H1319" s="12" t="s">
        <v>1506</v>
      </c>
    </row>
    <row r="1320" customFormat="false" ht="15" hidden="false" customHeight="false" outlineLevel="0" collapsed="false">
      <c r="A1320" s="11" t="s">
        <v>1507</v>
      </c>
      <c r="B1320" s="11" t="s">
        <v>34</v>
      </c>
      <c r="C1320" s="11" t="n">
        <v>2022</v>
      </c>
      <c r="D1320" s="11" t="n">
        <v>1</v>
      </c>
      <c r="E1320" s="11" t="s">
        <v>99</v>
      </c>
      <c r="F1320" s="11" t="s">
        <v>100</v>
      </c>
      <c r="G1320" s="11" t="n">
        <v>20</v>
      </c>
      <c r="H1320" s="12" t="s">
        <v>1508</v>
      </c>
    </row>
    <row r="1321" customFormat="false" ht="15" hidden="false" customHeight="false" outlineLevel="0" collapsed="false">
      <c r="A1321" s="11" t="s">
        <v>1507</v>
      </c>
      <c r="B1321" s="11" t="s">
        <v>34</v>
      </c>
      <c r="C1321" s="11" t="n">
        <v>2022</v>
      </c>
      <c r="D1321" s="11" t="n">
        <v>2</v>
      </c>
      <c r="E1321" s="11" t="s">
        <v>102</v>
      </c>
      <c r="F1321" s="11" t="s">
        <v>103</v>
      </c>
      <c r="G1321" s="11" t="n">
        <v>20</v>
      </c>
      <c r="H1321" s="12" t="s">
        <v>1509</v>
      </c>
    </row>
    <row r="1322" customFormat="false" ht="15" hidden="false" customHeight="false" outlineLevel="0" collapsed="false">
      <c r="A1322" s="11" t="s">
        <v>1507</v>
      </c>
      <c r="B1322" s="11" t="s">
        <v>34</v>
      </c>
      <c r="C1322" s="11" t="n">
        <v>2022</v>
      </c>
      <c r="D1322" s="11" t="n">
        <v>3</v>
      </c>
      <c r="E1322" s="11" t="s">
        <v>105</v>
      </c>
      <c r="F1322" s="11" t="s">
        <v>106</v>
      </c>
      <c r="G1322" s="11" t="n">
        <v>24</v>
      </c>
      <c r="H1322" s="12" t="s">
        <v>1510</v>
      </c>
    </row>
    <row r="1323" customFormat="false" ht="15" hidden="false" customHeight="false" outlineLevel="0" collapsed="false">
      <c r="A1323" s="11" t="s">
        <v>1507</v>
      </c>
      <c r="B1323" s="11" t="s">
        <v>34</v>
      </c>
      <c r="C1323" s="11" t="n">
        <v>2022</v>
      </c>
      <c r="D1323" s="11" t="n">
        <v>4</v>
      </c>
      <c r="E1323" s="11" t="s">
        <v>108</v>
      </c>
      <c r="F1323" s="11" t="s">
        <v>109</v>
      </c>
      <c r="G1323" s="11" t="n">
        <v>32</v>
      </c>
      <c r="H1323" s="12" t="s">
        <v>1511</v>
      </c>
    </row>
    <row r="1324" customFormat="false" ht="15" hidden="false" customHeight="false" outlineLevel="0" collapsed="false">
      <c r="A1324" s="11" t="s">
        <v>1507</v>
      </c>
      <c r="B1324" s="11" t="s">
        <v>34</v>
      </c>
      <c r="C1324" s="11" t="n">
        <v>2022</v>
      </c>
      <c r="D1324" s="11" t="n">
        <v>5</v>
      </c>
      <c r="E1324" s="11" t="s">
        <v>111</v>
      </c>
      <c r="F1324" s="11" t="s">
        <v>112</v>
      </c>
      <c r="G1324" s="11" t="n">
        <v>36</v>
      </c>
      <c r="H1324" s="12" t="s">
        <v>1512</v>
      </c>
    </row>
    <row r="1325" customFormat="false" ht="15" hidden="false" customHeight="false" outlineLevel="0" collapsed="false">
      <c r="A1325" s="11" t="s">
        <v>1507</v>
      </c>
      <c r="B1325" s="11" t="s">
        <v>34</v>
      </c>
      <c r="C1325" s="11" t="n">
        <v>2022</v>
      </c>
      <c r="D1325" s="11" t="n">
        <v>6</v>
      </c>
      <c r="E1325" s="11" t="s">
        <v>114</v>
      </c>
      <c r="F1325" s="11" t="s">
        <v>115</v>
      </c>
      <c r="G1325" s="11" t="n">
        <v>32</v>
      </c>
      <c r="H1325" s="12" t="s">
        <v>1513</v>
      </c>
    </row>
    <row r="1326" customFormat="false" ht="15" hidden="false" customHeight="false" outlineLevel="0" collapsed="false">
      <c r="A1326" s="11" t="s">
        <v>1507</v>
      </c>
      <c r="B1326" s="11" t="s">
        <v>34</v>
      </c>
      <c r="C1326" s="11" t="n">
        <v>2022</v>
      </c>
      <c r="D1326" s="11" t="n">
        <v>7</v>
      </c>
      <c r="E1326" s="11" t="s">
        <v>117</v>
      </c>
      <c r="F1326" s="11" t="s">
        <v>118</v>
      </c>
      <c r="G1326" s="11" t="n">
        <v>24</v>
      </c>
      <c r="H1326" s="12" t="s">
        <v>1514</v>
      </c>
    </row>
    <row r="1327" customFormat="false" ht="15" hidden="false" customHeight="false" outlineLevel="0" collapsed="false">
      <c r="A1327" s="11" t="s">
        <v>1507</v>
      </c>
      <c r="B1327" s="11" t="s">
        <v>34</v>
      </c>
      <c r="C1327" s="11" t="n">
        <v>2022</v>
      </c>
      <c r="D1327" s="11" t="n">
        <v>8</v>
      </c>
      <c r="E1327" s="11" t="s">
        <v>120</v>
      </c>
      <c r="F1327" s="11" t="s">
        <v>121</v>
      </c>
      <c r="G1327" s="11" t="n">
        <v>24</v>
      </c>
      <c r="H1327" s="12" t="s">
        <v>1515</v>
      </c>
    </row>
    <row r="1328" customFormat="false" ht="15" hidden="false" customHeight="false" outlineLevel="0" collapsed="false">
      <c r="A1328" s="11" t="s">
        <v>1507</v>
      </c>
      <c r="B1328" s="11" t="s">
        <v>34</v>
      </c>
      <c r="C1328" s="11" t="n">
        <v>2022</v>
      </c>
      <c r="D1328" s="11" t="n">
        <v>9</v>
      </c>
      <c r="E1328" s="11" t="s">
        <v>123</v>
      </c>
      <c r="F1328" s="11" t="s">
        <v>124</v>
      </c>
      <c r="G1328" s="11" t="n">
        <v>36</v>
      </c>
      <c r="H1328" s="12" t="s">
        <v>1516</v>
      </c>
    </row>
    <row r="1329" customFormat="false" ht="15" hidden="false" customHeight="false" outlineLevel="0" collapsed="false">
      <c r="A1329" s="11" t="s">
        <v>1507</v>
      </c>
      <c r="B1329" s="11" t="s">
        <v>34</v>
      </c>
      <c r="C1329" s="11" t="n">
        <v>2022</v>
      </c>
      <c r="D1329" s="11" t="n">
        <v>10</v>
      </c>
      <c r="E1329" s="11" t="s">
        <v>126</v>
      </c>
      <c r="F1329" s="11" t="s">
        <v>127</v>
      </c>
      <c r="G1329" s="11" t="n">
        <v>28</v>
      </c>
      <c r="H1329" s="12" t="s">
        <v>1517</v>
      </c>
    </row>
    <row r="1330" customFormat="false" ht="15" hidden="false" customHeight="false" outlineLevel="0" collapsed="false">
      <c r="A1330" s="11" t="s">
        <v>1507</v>
      </c>
      <c r="B1330" s="11" t="s">
        <v>34</v>
      </c>
      <c r="C1330" s="11" t="n">
        <v>2022</v>
      </c>
      <c r="D1330" s="11" t="n">
        <v>11</v>
      </c>
      <c r="E1330" s="11" t="s">
        <v>129</v>
      </c>
      <c r="F1330" s="11" t="s">
        <v>130</v>
      </c>
      <c r="G1330" s="11" t="n">
        <v>24</v>
      </c>
      <c r="H1330" s="12" t="s">
        <v>1518</v>
      </c>
    </row>
    <row r="1331" customFormat="false" ht="15" hidden="false" customHeight="false" outlineLevel="0" collapsed="false">
      <c r="A1331" s="11" t="s">
        <v>1507</v>
      </c>
      <c r="B1331" s="11" t="s">
        <v>34</v>
      </c>
      <c r="C1331" s="11" t="n">
        <v>2022</v>
      </c>
      <c r="D1331" s="11" t="n">
        <v>12</v>
      </c>
      <c r="E1331" s="11" t="s">
        <v>132</v>
      </c>
      <c r="F1331" s="11" t="s">
        <v>133</v>
      </c>
      <c r="G1331" s="11" t="n">
        <v>32</v>
      </c>
      <c r="H1331" s="12" t="s">
        <v>1519</v>
      </c>
    </row>
    <row r="1332" customFormat="false" ht="15" hidden="false" customHeight="false" outlineLevel="0" collapsed="false">
      <c r="A1332" s="11" t="s">
        <v>1507</v>
      </c>
      <c r="B1332" s="11" t="s">
        <v>34</v>
      </c>
      <c r="C1332" s="11" t="n">
        <v>2023</v>
      </c>
      <c r="D1332" s="11" t="n">
        <v>1</v>
      </c>
      <c r="E1332" s="11" t="s">
        <v>99</v>
      </c>
      <c r="F1332" s="11" t="s">
        <v>135</v>
      </c>
      <c r="G1332" s="11" t="n">
        <v>24</v>
      </c>
      <c r="H1332" s="12" t="s">
        <v>1520</v>
      </c>
    </row>
    <row r="1333" customFormat="false" ht="15" hidden="false" customHeight="false" outlineLevel="0" collapsed="false">
      <c r="A1333" s="11" t="s">
        <v>1507</v>
      </c>
      <c r="B1333" s="11" t="s">
        <v>34</v>
      </c>
      <c r="C1333" s="11" t="n">
        <v>2023</v>
      </c>
      <c r="D1333" s="11" t="n">
        <v>2</v>
      </c>
      <c r="E1333" s="11" t="s">
        <v>102</v>
      </c>
      <c r="F1333" s="11" t="s">
        <v>137</v>
      </c>
      <c r="G1333" s="11" t="n">
        <v>24</v>
      </c>
      <c r="H1333" s="12" t="s">
        <v>1521</v>
      </c>
    </row>
    <row r="1334" customFormat="false" ht="15" hidden="false" customHeight="false" outlineLevel="0" collapsed="false">
      <c r="A1334" s="11" t="s">
        <v>1507</v>
      </c>
      <c r="B1334" s="11" t="s">
        <v>34</v>
      </c>
      <c r="C1334" s="11" t="n">
        <v>2023</v>
      </c>
      <c r="D1334" s="11" t="n">
        <v>3</v>
      </c>
      <c r="E1334" s="11" t="s">
        <v>105</v>
      </c>
      <c r="F1334" s="11" t="s">
        <v>139</v>
      </c>
      <c r="G1334" s="11" t="n">
        <v>28</v>
      </c>
      <c r="H1334" s="12" t="s">
        <v>1522</v>
      </c>
    </row>
    <row r="1335" customFormat="false" ht="15" hidden="false" customHeight="false" outlineLevel="0" collapsed="false">
      <c r="A1335" s="11" t="s">
        <v>1507</v>
      </c>
      <c r="B1335" s="11" t="s">
        <v>34</v>
      </c>
      <c r="C1335" s="11" t="n">
        <v>2023</v>
      </c>
      <c r="D1335" s="11" t="n">
        <v>4</v>
      </c>
      <c r="E1335" s="11" t="s">
        <v>108</v>
      </c>
      <c r="F1335" s="11" t="s">
        <v>141</v>
      </c>
      <c r="G1335" s="11" t="n">
        <v>32</v>
      </c>
      <c r="H1335" s="12" t="s">
        <v>1523</v>
      </c>
    </row>
    <row r="1336" customFormat="false" ht="15" hidden="false" customHeight="false" outlineLevel="0" collapsed="false">
      <c r="A1336" s="11" t="s">
        <v>1507</v>
      </c>
      <c r="B1336" s="11" t="s">
        <v>34</v>
      </c>
      <c r="C1336" s="11" t="n">
        <v>2023</v>
      </c>
      <c r="D1336" s="11" t="n">
        <v>5</v>
      </c>
      <c r="E1336" s="11" t="s">
        <v>111</v>
      </c>
      <c r="F1336" s="11" t="s">
        <v>143</v>
      </c>
      <c r="G1336" s="11" t="n">
        <v>32</v>
      </c>
      <c r="H1336" s="12" t="s">
        <v>1524</v>
      </c>
    </row>
    <row r="1337" customFormat="false" ht="15" hidden="false" customHeight="false" outlineLevel="0" collapsed="false">
      <c r="A1337" s="11" t="s">
        <v>1507</v>
      </c>
      <c r="B1337" s="11" t="s">
        <v>34</v>
      </c>
      <c r="C1337" s="11" t="n">
        <v>2023</v>
      </c>
      <c r="D1337" s="11" t="n">
        <v>6</v>
      </c>
      <c r="E1337" s="11" t="s">
        <v>114</v>
      </c>
      <c r="F1337" s="11" t="s">
        <v>145</v>
      </c>
      <c r="G1337" s="11" t="n">
        <v>32</v>
      </c>
      <c r="H1337" s="12" t="s">
        <v>1525</v>
      </c>
    </row>
    <row r="1338" customFormat="false" ht="15" hidden="false" customHeight="false" outlineLevel="0" collapsed="false">
      <c r="A1338" s="11" t="s">
        <v>1507</v>
      </c>
      <c r="B1338" s="11" t="s">
        <v>34</v>
      </c>
      <c r="C1338" s="11" t="n">
        <v>2023</v>
      </c>
      <c r="D1338" s="11" t="n">
        <v>7</v>
      </c>
      <c r="E1338" s="11" t="s">
        <v>117</v>
      </c>
      <c r="F1338" s="11" t="s">
        <v>147</v>
      </c>
      <c r="G1338" s="11" t="n">
        <v>36</v>
      </c>
      <c r="H1338" s="12" t="s">
        <v>1526</v>
      </c>
    </row>
    <row r="1339" customFormat="false" ht="15" hidden="false" customHeight="false" outlineLevel="0" collapsed="false">
      <c r="A1339" s="11" t="s">
        <v>1507</v>
      </c>
      <c r="B1339" s="11" t="s">
        <v>34</v>
      </c>
      <c r="C1339" s="11" t="n">
        <v>2023</v>
      </c>
      <c r="D1339" s="11" t="n">
        <v>8</v>
      </c>
      <c r="E1339" s="11" t="s">
        <v>120</v>
      </c>
      <c r="F1339" s="11" t="s">
        <v>149</v>
      </c>
      <c r="G1339" s="11" t="n">
        <v>32</v>
      </c>
      <c r="H1339" s="12" t="s">
        <v>1527</v>
      </c>
    </row>
    <row r="1340" customFormat="false" ht="15" hidden="false" customHeight="false" outlineLevel="0" collapsed="false">
      <c r="A1340" s="11" t="s">
        <v>1507</v>
      </c>
      <c r="B1340" s="11" t="s">
        <v>34</v>
      </c>
      <c r="C1340" s="11" t="n">
        <v>2023</v>
      </c>
      <c r="D1340" s="11" t="n">
        <v>9</v>
      </c>
      <c r="E1340" s="11" t="s">
        <v>123</v>
      </c>
      <c r="F1340" s="11" t="s">
        <v>151</v>
      </c>
      <c r="G1340" s="11" t="n">
        <v>36</v>
      </c>
      <c r="H1340" s="12" t="s">
        <v>1528</v>
      </c>
    </row>
    <row r="1341" customFormat="false" ht="15" hidden="false" customHeight="false" outlineLevel="0" collapsed="false">
      <c r="A1341" s="11" t="s">
        <v>1507</v>
      </c>
      <c r="B1341" s="11" t="s">
        <v>34</v>
      </c>
      <c r="C1341" s="11" t="n">
        <v>2023</v>
      </c>
      <c r="D1341" s="11" t="n">
        <v>10</v>
      </c>
      <c r="E1341" s="11" t="s">
        <v>126</v>
      </c>
      <c r="F1341" s="11" t="s">
        <v>153</v>
      </c>
      <c r="G1341" s="11" t="n">
        <v>28</v>
      </c>
      <c r="H1341" s="12" t="s">
        <v>1529</v>
      </c>
    </row>
    <row r="1342" customFormat="false" ht="15" hidden="false" customHeight="false" outlineLevel="0" collapsed="false">
      <c r="A1342" s="11" t="s">
        <v>1507</v>
      </c>
      <c r="B1342" s="11" t="s">
        <v>34</v>
      </c>
      <c r="C1342" s="11" t="n">
        <v>2023</v>
      </c>
      <c r="D1342" s="11" t="n">
        <v>11</v>
      </c>
      <c r="E1342" s="11" t="s">
        <v>129</v>
      </c>
      <c r="F1342" s="11" t="s">
        <v>155</v>
      </c>
      <c r="G1342" s="11" t="n">
        <v>28</v>
      </c>
      <c r="H1342" s="12" t="s">
        <v>1530</v>
      </c>
    </row>
    <row r="1343" customFormat="false" ht="15" hidden="false" customHeight="false" outlineLevel="0" collapsed="false">
      <c r="A1343" s="11" t="s">
        <v>1507</v>
      </c>
      <c r="B1343" s="11" t="s">
        <v>34</v>
      </c>
      <c r="C1343" s="11" t="n">
        <v>2023</v>
      </c>
      <c r="D1343" s="11" t="n">
        <v>12</v>
      </c>
      <c r="E1343" s="11" t="s">
        <v>132</v>
      </c>
      <c r="F1343" s="11" t="s">
        <v>157</v>
      </c>
      <c r="G1343" s="11" t="n">
        <v>32</v>
      </c>
      <c r="H1343" s="12" t="s">
        <v>1531</v>
      </c>
    </row>
    <row r="1344" customFormat="false" ht="15" hidden="false" customHeight="false" outlineLevel="0" collapsed="false">
      <c r="A1344" s="11" t="s">
        <v>1507</v>
      </c>
      <c r="B1344" s="11" t="s">
        <v>34</v>
      </c>
      <c r="C1344" s="11" t="n">
        <v>2024</v>
      </c>
      <c r="D1344" s="11" t="n">
        <v>1</v>
      </c>
      <c r="E1344" s="11" t="s">
        <v>99</v>
      </c>
      <c r="F1344" s="11" t="s">
        <v>159</v>
      </c>
      <c r="G1344" s="11" t="n">
        <v>28</v>
      </c>
      <c r="H1344" s="12" t="s">
        <v>1532</v>
      </c>
    </row>
    <row r="1345" customFormat="false" ht="15" hidden="false" customHeight="false" outlineLevel="0" collapsed="false">
      <c r="A1345" s="11" t="s">
        <v>1507</v>
      </c>
      <c r="B1345" s="11" t="s">
        <v>34</v>
      </c>
      <c r="C1345" s="11" t="n">
        <v>2024</v>
      </c>
      <c r="D1345" s="11" t="n">
        <v>2</v>
      </c>
      <c r="E1345" s="11" t="s">
        <v>102</v>
      </c>
      <c r="F1345" s="11" t="s">
        <v>161</v>
      </c>
      <c r="G1345" s="11" t="n">
        <v>24</v>
      </c>
      <c r="H1345" s="12" t="s">
        <v>1533</v>
      </c>
    </row>
    <row r="1346" customFormat="false" ht="15" hidden="false" customHeight="false" outlineLevel="0" collapsed="false">
      <c r="A1346" s="11" t="s">
        <v>1507</v>
      </c>
      <c r="B1346" s="11" t="s">
        <v>34</v>
      </c>
      <c r="C1346" s="11" t="n">
        <v>2024</v>
      </c>
      <c r="D1346" s="11" t="n">
        <v>3</v>
      </c>
      <c r="E1346" s="11" t="s">
        <v>105</v>
      </c>
      <c r="F1346" s="11" t="s">
        <v>163</v>
      </c>
      <c r="G1346" s="11" t="n">
        <v>24</v>
      </c>
      <c r="H1346" s="12" t="s">
        <v>1534</v>
      </c>
    </row>
    <row r="1347" customFormat="false" ht="15" hidden="false" customHeight="false" outlineLevel="0" collapsed="false">
      <c r="A1347" s="11" t="s">
        <v>1507</v>
      </c>
      <c r="B1347" s="11" t="s">
        <v>34</v>
      </c>
      <c r="C1347" s="11" t="n">
        <v>2024</v>
      </c>
      <c r="D1347" s="11" t="n">
        <v>4</v>
      </c>
      <c r="E1347" s="11" t="s">
        <v>108</v>
      </c>
      <c r="F1347" s="11" t="s">
        <v>165</v>
      </c>
      <c r="G1347" s="11" t="n">
        <v>32</v>
      </c>
      <c r="H1347" s="12" t="s">
        <v>1535</v>
      </c>
    </row>
    <row r="1348" customFormat="false" ht="15" hidden="false" customHeight="false" outlineLevel="0" collapsed="false">
      <c r="A1348" s="11" t="s">
        <v>1507</v>
      </c>
      <c r="B1348" s="11" t="s">
        <v>34</v>
      </c>
      <c r="C1348" s="11" t="n">
        <v>2024</v>
      </c>
      <c r="D1348" s="11" t="n">
        <v>5</v>
      </c>
      <c r="E1348" s="11" t="s">
        <v>111</v>
      </c>
      <c r="F1348" s="11" t="s">
        <v>167</v>
      </c>
      <c r="G1348" s="11" t="n">
        <v>36</v>
      </c>
      <c r="H1348" s="12" t="s">
        <v>1536</v>
      </c>
    </row>
    <row r="1349" customFormat="false" ht="15" hidden="false" customHeight="false" outlineLevel="0" collapsed="false">
      <c r="A1349" s="11" t="s">
        <v>1507</v>
      </c>
      <c r="B1349" s="11" t="s">
        <v>34</v>
      </c>
      <c r="C1349" s="11" t="n">
        <v>2024</v>
      </c>
      <c r="D1349" s="11" t="n">
        <v>6</v>
      </c>
      <c r="E1349" s="11" t="s">
        <v>114</v>
      </c>
      <c r="F1349" s="11" t="s">
        <v>169</v>
      </c>
      <c r="G1349" s="11" t="n">
        <v>28</v>
      </c>
      <c r="H1349" s="12" t="s">
        <v>1537</v>
      </c>
    </row>
    <row r="1350" customFormat="false" ht="15" hidden="false" customHeight="false" outlineLevel="0" collapsed="false">
      <c r="A1350" s="11" t="s">
        <v>1507</v>
      </c>
      <c r="B1350" s="11" t="s">
        <v>34</v>
      </c>
      <c r="C1350" s="11" t="n">
        <v>2024</v>
      </c>
      <c r="D1350" s="11" t="n">
        <v>7</v>
      </c>
      <c r="E1350" s="11" t="s">
        <v>117</v>
      </c>
      <c r="F1350" s="11" t="s">
        <v>171</v>
      </c>
      <c r="G1350" s="11" t="n">
        <v>28</v>
      </c>
      <c r="H1350" s="12" t="s">
        <v>1538</v>
      </c>
    </row>
    <row r="1351" customFormat="false" ht="15" hidden="false" customHeight="false" outlineLevel="0" collapsed="false">
      <c r="A1351" s="11" t="s">
        <v>1507</v>
      </c>
      <c r="B1351" s="11" t="s">
        <v>34</v>
      </c>
      <c r="C1351" s="11" t="n">
        <v>2024</v>
      </c>
      <c r="D1351" s="11" t="n">
        <v>8</v>
      </c>
      <c r="E1351" s="11" t="s">
        <v>120</v>
      </c>
      <c r="F1351" s="11" t="s">
        <v>173</v>
      </c>
      <c r="G1351" s="11" t="n">
        <v>20</v>
      </c>
      <c r="H1351" s="12" t="s">
        <v>1539</v>
      </c>
    </row>
    <row r="1352" customFormat="false" ht="15" hidden="false" customHeight="false" outlineLevel="0" collapsed="false">
      <c r="A1352" s="11" t="s">
        <v>1507</v>
      </c>
      <c r="B1352" s="11" t="s">
        <v>34</v>
      </c>
      <c r="C1352" s="11" t="n">
        <v>2024</v>
      </c>
      <c r="D1352" s="11" t="n">
        <v>9</v>
      </c>
      <c r="E1352" s="11" t="s">
        <v>123</v>
      </c>
      <c r="F1352" s="11" t="s">
        <v>175</v>
      </c>
      <c r="G1352" s="11" t="n">
        <v>28</v>
      </c>
      <c r="H1352" s="12" t="s">
        <v>1540</v>
      </c>
    </row>
    <row r="1353" customFormat="false" ht="15" hidden="false" customHeight="false" outlineLevel="0" collapsed="false">
      <c r="A1353" s="11" t="s">
        <v>1507</v>
      </c>
      <c r="B1353" s="11" t="s">
        <v>34</v>
      </c>
      <c r="C1353" s="11" t="n">
        <v>2024</v>
      </c>
      <c r="D1353" s="11" t="n">
        <v>10</v>
      </c>
      <c r="E1353" s="11" t="s">
        <v>126</v>
      </c>
      <c r="F1353" s="11" t="s">
        <v>177</v>
      </c>
      <c r="G1353" s="11" t="n">
        <v>27</v>
      </c>
      <c r="H1353" s="12" t="s">
        <v>1541</v>
      </c>
    </row>
    <row r="1354" customFormat="false" ht="15" hidden="false" customHeight="false" outlineLevel="0" collapsed="false">
      <c r="A1354" s="11" t="s">
        <v>1507</v>
      </c>
      <c r="B1354" s="11" t="s">
        <v>34</v>
      </c>
      <c r="C1354" s="11" t="n">
        <v>2024</v>
      </c>
      <c r="D1354" s="11" t="n">
        <v>11</v>
      </c>
      <c r="E1354" s="11" t="s">
        <v>129</v>
      </c>
      <c r="F1354" s="11" t="s">
        <v>179</v>
      </c>
      <c r="G1354" s="11" t="n">
        <v>24</v>
      </c>
      <c r="H1354" s="12" t="s">
        <v>1542</v>
      </c>
    </row>
    <row r="1355" customFormat="false" ht="15" hidden="false" customHeight="false" outlineLevel="0" collapsed="false">
      <c r="A1355" s="11" t="s">
        <v>1507</v>
      </c>
      <c r="B1355" s="11" t="s">
        <v>34</v>
      </c>
      <c r="C1355" s="11" t="n">
        <v>2024</v>
      </c>
      <c r="D1355" s="11" t="n">
        <v>12</v>
      </c>
      <c r="E1355" s="11" t="s">
        <v>132</v>
      </c>
      <c r="F1355" s="11" t="s">
        <v>181</v>
      </c>
      <c r="G1355" s="11" t="n">
        <v>24</v>
      </c>
      <c r="H1355" s="12" t="s">
        <v>1543</v>
      </c>
    </row>
    <row r="1356" customFormat="false" ht="15" hidden="false" customHeight="false" outlineLevel="0" collapsed="false">
      <c r="A1356" s="11" t="s">
        <v>1507</v>
      </c>
      <c r="B1356" s="11" t="s">
        <v>34</v>
      </c>
      <c r="C1356" s="11" t="n">
        <v>2025</v>
      </c>
      <c r="D1356" s="11" t="n">
        <v>1</v>
      </c>
      <c r="E1356" s="11" t="s">
        <v>99</v>
      </c>
      <c r="F1356" s="11" t="s">
        <v>183</v>
      </c>
      <c r="G1356" s="11" t="n">
        <v>20</v>
      </c>
      <c r="H1356" s="12" t="s">
        <v>1544</v>
      </c>
    </row>
    <row r="1357" customFormat="false" ht="15" hidden="false" customHeight="false" outlineLevel="0" collapsed="false">
      <c r="A1357" s="11" t="s">
        <v>1507</v>
      </c>
      <c r="B1357" s="11" t="s">
        <v>34</v>
      </c>
      <c r="C1357" s="11" t="n">
        <v>2025</v>
      </c>
      <c r="D1357" s="11" t="n">
        <v>2</v>
      </c>
      <c r="E1357" s="11" t="s">
        <v>102</v>
      </c>
      <c r="F1357" s="11" t="s">
        <v>185</v>
      </c>
      <c r="G1357" s="11" t="n">
        <v>20</v>
      </c>
      <c r="H1357" s="12" t="s">
        <v>1545</v>
      </c>
    </row>
    <row r="1358" customFormat="false" ht="15" hidden="false" customHeight="false" outlineLevel="0" collapsed="false">
      <c r="A1358" s="11" t="s">
        <v>1507</v>
      </c>
      <c r="B1358" s="11" t="s">
        <v>34</v>
      </c>
      <c r="C1358" s="11" t="n">
        <v>2025</v>
      </c>
      <c r="D1358" s="11" t="n">
        <v>3</v>
      </c>
      <c r="E1358" s="11" t="s">
        <v>105</v>
      </c>
      <c r="F1358" s="11" t="s">
        <v>187</v>
      </c>
      <c r="G1358" s="11" t="n">
        <v>20</v>
      </c>
      <c r="H1358" s="12" t="s">
        <v>1546</v>
      </c>
    </row>
    <row r="1359" customFormat="false" ht="15" hidden="false" customHeight="false" outlineLevel="0" collapsed="false">
      <c r="A1359" s="11" t="s">
        <v>1507</v>
      </c>
      <c r="B1359" s="11" t="s">
        <v>34</v>
      </c>
      <c r="C1359" s="11" t="n">
        <v>2025</v>
      </c>
      <c r="D1359" s="11" t="n">
        <v>4</v>
      </c>
      <c r="E1359" s="11" t="s">
        <v>108</v>
      </c>
      <c r="F1359" s="11" t="s">
        <v>189</v>
      </c>
      <c r="G1359" s="11" t="n">
        <v>24</v>
      </c>
      <c r="H1359" s="12" t="s">
        <v>1547</v>
      </c>
    </row>
    <row r="1360" customFormat="false" ht="15" hidden="false" customHeight="false" outlineLevel="0" collapsed="false">
      <c r="A1360" s="11" t="s">
        <v>1507</v>
      </c>
      <c r="B1360" s="11" t="s">
        <v>34</v>
      </c>
      <c r="C1360" s="11" t="n">
        <v>2025</v>
      </c>
      <c r="D1360" s="11" t="n">
        <v>5</v>
      </c>
      <c r="E1360" s="11" t="s">
        <v>111</v>
      </c>
      <c r="F1360" s="11" t="s">
        <v>191</v>
      </c>
      <c r="G1360" s="11" t="n">
        <v>24</v>
      </c>
      <c r="H1360" s="12" t="s">
        <v>1548</v>
      </c>
    </row>
    <row r="1361" customFormat="false" ht="15" hidden="false" customHeight="false" outlineLevel="0" collapsed="false">
      <c r="A1361" s="11" t="s">
        <v>1507</v>
      </c>
      <c r="B1361" s="11" t="s">
        <v>34</v>
      </c>
      <c r="C1361" s="11" t="n">
        <v>2025</v>
      </c>
      <c r="D1361" s="11" t="n">
        <v>6</v>
      </c>
      <c r="E1361" s="11" t="s">
        <v>114</v>
      </c>
      <c r="F1361" s="11" t="s">
        <v>193</v>
      </c>
      <c r="G1361" s="11" t="n">
        <v>20</v>
      </c>
      <c r="H1361" s="12" t="s">
        <v>1549</v>
      </c>
    </row>
    <row r="1362" customFormat="false" ht="15" hidden="false" customHeight="false" outlineLevel="0" collapsed="false">
      <c r="A1362" s="11" t="s">
        <v>1507</v>
      </c>
      <c r="B1362" s="11" t="s">
        <v>34</v>
      </c>
      <c r="C1362" s="11" t="n">
        <v>2025</v>
      </c>
      <c r="D1362" s="11" t="n">
        <v>7</v>
      </c>
      <c r="E1362" s="11" t="s">
        <v>117</v>
      </c>
      <c r="F1362" s="11" t="s">
        <v>195</v>
      </c>
      <c r="G1362" s="11" t="n">
        <v>20</v>
      </c>
      <c r="H1362" s="12" t="s">
        <v>1550</v>
      </c>
    </row>
    <row r="1363" customFormat="false" ht="15" hidden="false" customHeight="false" outlineLevel="0" collapsed="false">
      <c r="A1363" s="11" t="s">
        <v>1507</v>
      </c>
      <c r="B1363" s="11" t="s">
        <v>34</v>
      </c>
      <c r="C1363" s="11" t="n">
        <v>2025</v>
      </c>
      <c r="D1363" s="11" t="n">
        <v>8</v>
      </c>
      <c r="E1363" s="11" t="s">
        <v>120</v>
      </c>
      <c r="F1363" s="11" t="s">
        <v>197</v>
      </c>
      <c r="G1363" s="11" t="n">
        <v>24</v>
      </c>
      <c r="H1363" s="12" t="s">
        <v>1551</v>
      </c>
    </row>
    <row r="1364" customFormat="false" ht="15" hidden="false" customHeight="false" outlineLevel="0" collapsed="false">
      <c r="A1364" s="11" t="s">
        <v>1507</v>
      </c>
      <c r="B1364" s="11" t="s">
        <v>34</v>
      </c>
      <c r="C1364" s="11" t="n">
        <v>2025</v>
      </c>
      <c r="D1364" s="11" t="n">
        <v>9</v>
      </c>
      <c r="E1364" s="11" t="s">
        <v>123</v>
      </c>
      <c r="F1364" s="11" t="s">
        <v>199</v>
      </c>
      <c r="G1364" s="11" t="n">
        <v>24</v>
      </c>
      <c r="H1364" s="12" t="s">
        <v>1552</v>
      </c>
    </row>
    <row r="1365" customFormat="false" ht="15" hidden="false" customHeight="false" outlineLevel="0" collapsed="false">
      <c r="A1365" s="11" t="s">
        <v>1507</v>
      </c>
      <c r="B1365" s="11" t="s">
        <v>34</v>
      </c>
      <c r="C1365" s="11" t="n">
        <v>2025</v>
      </c>
      <c r="D1365" s="11" t="n">
        <v>10</v>
      </c>
      <c r="E1365" s="11" t="s">
        <v>126</v>
      </c>
      <c r="F1365" s="11" t="s">
        <v>201</v>
      </c>
      <c r="G1365" s="11" t="n">
        <v>24</v>
      </c>
      <c r="H1365" s="12" t="s">
        <v>1553</v>
      </c>
    </row>
    <row r="1366" customFormat="false" ht="15" hidden="false" customHeight="false" outlineLevel="0" collapsed="false">
      <c r="A1366" s="11" t="s">
        <v>1507</v>
      </c>
      <c r="B1366" s="11" t="s">
        <v>34</v>
      </c>
      <c r="C1366" s="11" t="n">
        <v>2025</v>
      </c>
      <c r="D1366" s="11" t="n">
        <v>11</v>
      </c>
      <c r="E1366" s="11" t="s">
        <v>129</v>
      </c>
      <c r="F1366" s="11" t="s">
        <v>203</v>
      </c>
      <c r="G1366" s="11" t="n">
        <v>20</v>
      </c>
      <c r="H1366" s="12" t="s">
        <v>1554</v>
      </c>
    </row>
    <row r="1367" customFormat="false" ht="15" hidden="false" customHeight="false" outlineLevel="0" collapsed="false">
      <c r="A1367" s="11" t="s">
        <v>1507</v>
      </c>
      <c r="B1367" s="11" t="s">
        <v>34</v>
      </c>
      <c r="C1367" s="11" t="n">
        <v>2025</v>
      </c>
      <c r="D1367" s="11" t="n">
        <v>12</v>
      </c>
      <c r="E1367" s="11" t="s">
        <v>132</v>
      </c>
      <c r="F1367" s="11" t="s">
        <v>205</v>
      </c>
      <c r="G1367" s="11" t="n">
        <v>24</v>
      </c>
      <c r="H1367" s="12" t="s">
        <v>1555</v>
      </c>
    </row>
    <row r="1368" customFormat="false" ht="15" hidden="false" customHeight="false" outlineLevel="0" collapsed="false">
      <c r="A1368" s="11" t="s">
        <v>1507</v>
      </c>
      <c r="B1368" s="11" t="s">
        <v>34</v>
      </c>
      <c r="C1368" s="11" t="n">
        <v>2026</v>
      </c>
      <c r="D1368" s="11" t="n">
        <v>1</v>
      </c>
      <c r="E1368" s="11" t="s">
        <v>99</v>
      </c>
      <c r="F1368" s="11" t="s">
        <v>207</v>
      </c>
      <c r="G1368" s="11" t="n">
        <v>16</v>
      </c>
      <c r="H1368" s="12" t="s">
        <v>1556</v>
      </c>
    </row>
    <row r="1369" customFormat="false" ht="15" hidden="false" customHeight="false" outlineLevel="0" collapsed="false">
      <c r="A1369" s="11" t="s">
        <v>1507</v>
      </c>
      <c r="B1369" s="11" t="s">
        <v>34</v>
      </c>
      <c r="C1369" s="11" t="n">
        <v>2026</v>
      </c>
      <c r="D1369" s="11" t="n">
        <v>2</v>
      </c>
      <c r="E1369" s="11" t="s">
        <v>102</v>
      </c>
      <c r="F1369" s="11" t="s">
        <v>209</v>
      </c>
      <c r="G1369" s="11" t="n">
        <v>20</v>
      </c>
      <c r="H1369" s="12" t="s">
        <v>1557</v>
      </c>
    </row>
    <row r="1370" customFormat="false" ht="15" hidden="false" customHeight="false" outlineLevel="0" collapsed="false">
      <c r="A1370" s="11" t="s">
        <v>1507</v>
      </c>
      <c r="B1370" s="11" t="s">
        <v>34</v>
      </c>
      <c r="C1370" s="11" t="n">
        <v>2026</v>
      </c>
      <c r="D1370" s="11" t="n">
        <v>3</v>
      </c>
      <c r="E1370" s="11" t="s">
        <v>105</v>
      </c>
      <c r="F1370" s="11" t="s">
        <v>211</v>
      </c>
      <c r="G1370" s="11" t="n">
        <v>20</v>
      </c>
      <c r="H1370" s="12" t="s">
        <v>1558</v>
      </c>
    </row>
    <row r="1371" customFormat="false" ht="15" hidden="false" customHeight="false" outlineLevel="0" collapsed="false">
      <c r="A1371" s="11" t="s">
        <v>1507</v>
      </c>
      <c r="B1371" s="11" t="s">
        <v>34</v>
      </c>
      <c r="C1371" s="11" t="n">
        <v>2026</v>
      </c>
      <c r="D1371" s="11" t="n">
        <v>4</v>
      </c>
      <c r="E1371" s="11" t="s">
        <v>108</v>
      </c>
      <c r="F1371" s="11" t="s">
        <v>213</v>
      </c>
      <c r="G1371" s="11" t="n">
        <v>24</v>
      </c>
      <c r="H1371" s="12" t="s">
        <v>1559</v>
      </c>
    </row>
    <row r="1372" customFormat="false" ht="15" hidden="false" customHeight="false" outlineLevel="0" collapsed="false">
      <c r="A1372" s="11" t="s">
        <v>1507</v>
      </c>
      <c r="B1372" s="11" t="s">
        <v>34</v>
      </c>
      <c r="C1372" s="11" t="n">
        <v>2026</v>
      </c>
      <c r="D1372" s="11" t="n">
        <v>5</v>
      </c>
      <c r="E1372" s="11" t="s">
        <v>111</v>
      </c>
      <c r="F1372" s="11" t="s">
        <v>215</v>
      </c>
      <c r="G1372" s="11" t="n">
        <v>24</v>
      </c>
      <c r="H1372" s="12" t="s">
        <v>1560</v>
      </c>
    </row>
  </sheetData>
  <autoFilter ref="A1:H1372"/>
  <hyperlinks>
    <hyperlink ref="H2" r:id="rId1" display="https://rennamedia.com/wp-content/uploads/2021/12/BerkeleyHeightsJanuary2022.pdf"/>
    <hyperlink ref="H3" r:id="rId2" display="https://rennamedia.com/wp-content/uploads/2022/01/BerkeleyHeightsFebruary2022.pdf"/>
    <hyperlink ref="H4" r:id="rId3" display="https://rennamedia.com/wp-content/uploads/2022/02/BerkeleyHeightsMarch2022.pdf"/>
    <hyperlink ref="H5" r:id="rId4" display="https://rennamedia.com/wp-content/uploads/2022/03/BerkeleyHeightsApril2022.pdf"/>
    <hyperlink ref="H6" r:id="rId5" display="https://rennamedia.com/wp-content/uploads/2022/04/BerkeleyHeightsMay2022.pdf"/>
    <hyperlink ref="H7" r:id="rId6" display="https://rennamedia.com/wp-content/uploads/2022/05/BerkeleyHeightsJune2022.pdf"/>
    <hyperlink ref="H8" r:id="rId7" display="https://rennamedia.com/wp-content/uploads/2022/06/BerkeleyHeightsJuly2022.pdf"/>
    <hyperlink ref="H9" r:id="rId8" display="https://rennamedia.com/wp-content/uploads/2022/07/BerkeleyHeightsAugust2022.pdf"/>
    <hyperlink ref="H10" r:id="rId9" display="https://rennamedia.com/wp-content/uploads/2022/09/BerkeleyHeightsSeptember2022.pdf"/>
    <hyperlink ref="H11" r:id="rId10" display="https://rennamedia.com/wp-content/uploads/2022/10/BerkeleyHeightsOctober2022.pdf"/>
    <hyperlink ref="H12" r:id="rId11" display="https://rennamedia.com/wp-content/uploads/2022/11/BerkeleyHeightsNovember2022.pdf"/>
    <hyperlink ref="H13" r:id="rId12" display="https://rennamedia.com/wp-content/uploads/2022/11/BerkeleyHeightsDecember2022.pdf"/>
    <hyperlink ref="H14" r:id="rId13" display="https://rennamedia.com/wp-content/uploads/2022/12/BerkeleyHeightsJanuary2023.pdf"/>
    <hyperlink ref="H15" r:id="rId14" display="https://rennamedia.com/wp-content/uploads/2023/01/BerkeleyHeightsFebruary2023.pdf"/>
    <hyperlink ref="H16" r:id="rId15" display="https://rennamedia.com/wp-content/uploads/2023/02/BerkeleyHeightsMarch2023.pdf"/>
    <hyperlink ref="H17" r:id="rId16" display="https://rennamedia.com/wp-content/uploads/2023/03/BerkeleyHeightsApril2023.pdf"/>
    <hyperlink ref="H18" r:id="rId17" display="https://rennamedia.com/wp-content/uploads/2023/04/BerkeleyHeightsMay2023.pdf"/>
    <hyperlink ref="H19" r:id="rId18" display="https://rennamedia.com/wp-content/uploads/2023/05/BerkeleyHeightsJune2023.pdf"/>
    <hyperlink ref="H20" r:id="rId19" display="https://rennamedia.com/wp-content/uploads/2023/06/BerkeleyHeightsJuly2023.pdf"/>
    <hyperlink ref="H21" r:id="rId20" display="https://rennamedia.com/wp-content/uploads/2023/07/BerkeleyHeightsAug2023.pdf"/>
    <hyperlink ref="H22" r:id="rId21" display="https://rennamedia.com/wp-content/uploads/2023/08/BerkeleyHeightsSep2023.pdf"/>
    <hyperlink ref="H23" r:id="rId22" display="https://rennamedia.com/wp-content/uploads/2023/10/BerkeleyHeightsOct2023.pdf"/>
    <hyperlink ref="H24" r:id="rId23" display="https://rennamedia.com/wp-content/uploads/2023/10/BerkeleyHeightsNov2023.pdf"/>
    <hyperlink ref="H25" r:id="rId24" display="https://rennamedia.com/wp-content/uploads/2023/11/BerkeleyHeightsDec2023.pdf"/>
    <hyperlink ref="H26" r:id="rId25" display="https://rennamedia.com/wp-content/uploads/2023/12/BerkeleyHeightsJan2024.pdf"/>
    <hyperlink ref="H27" r:id="rId26" display="https://rennamedia.com/wp-content/uploads/2024/01/BerkeleyHeightsFeb2024.pdf"/>
    <hyperlink ref="H28" r:id="rId27" display="https://rennamedia.com/wp-content/uploads/2024/02/BerkeleyHeightsMar2024.pdf"/>
    <hyperlink ref="H29" r:id="rId28" display="https://rennamedia.com/wp-content/uploads/2024/03/BerkeleyHeightsApr2024.pdf"/>
    <hyperlink ref="H30" r:id="rId29" display="https://rennamedia.com/wp-content/uploads/2024/04/BerkeleyHeightsMay2024.pdf"/>
    <hyperlink ref="H31" r:id="rId30" display="https://rennamedia.com/wp-content/uploads/2024/05/BerkeleyHeightsJune2024.pdf"/>
    <hyperlink ref="H32" r:id="rId31" display="https://rennamedia.com/wp-content/uploads/2024/06/BerkeleyHeightsJuly2024.pdf"/>
    <hyperlink ref="H33" r:id="rId32" display="https://rennamedia.com/wp-content/uploads/2024/07/BerkeleyHeightsAugust2024.pdf"/>
    <hyperlink ref="H34" r:id="rId33" display="https://rennamedia.com/wp-content/uploads/2024/08/BerkeleyHeightsSeptember2024.pdf"/>
    <hyperlink ref="H35" r:id="rId34" display="https://rennamedia.com/wp-content/uploads/2024/09/BerkeleyHeightsOctober2024.pdf"/>
    <hyperlink ref="H36" r:id="rId35" display="https://rennamedia.com/wp-content/uploads/2024/10/BerkeleyHeightsNovember2024.pdf"/>
    <hyperlink ref="H37" r:id="rId36" display="https://rennamedia.com/wp-content/uploads/2024/11/BerkeleyHeightsDecember2024.pdf"/>
    <hyperlink ref="H38" r:id="rId37" display="https://rennamedia.com/wp-content/uploads/2024/12/BerkeleyHeightsJanuary2025.pdf"/>
    <hyperlink ref="H39" r:id="rId38" display="https://rennamedia.com/wp-content/uploads/2025/02/BerkeleyHeightsFebruary2025.pdf"/>
    <hyperlink ref="H40" r:id="rId39" display="https://rennamedia.com/wp-content/uploads/2025/02/BerkeleyHeightsMarch2025.pdf"/>
    <hyperlink ref="H41" r:id="rId40" display="https://rennamedia.com/wp-content/uploads/2025/03/BerkeleyHeightsApril2025.pdf"/>
    <hyperlink ref="H42" r:id="rId41" display="https://rennamedia.com/wp-content/uploads/2025/04/BerkeleyHeightsMay2025.pdf"/>
    <hyperlink ref="H43" r:id="rId42" display="https://rennamedia.com/wp-content/uploads/2025/05/BerkeleyHeightsJune2025.pdf"/>
    <hyperlink ref="H44" r:id="rId43" display="https://rennamedia.com/wp-content/uploads/2025/06/BerkeleyHeightsJuly2025.pdf"/>
    <hyperlink ref="H45" r:id="rId44" display="https://rennamedia.com/wp-content/uploads/2025/07/BerkeleyHeightsAugust2025.pdf"/>
    <hyperlink ref="H46" r:id="rId45" display="https://rennamedia.com/wp-content/uploads/2025/08/BerkeleyHeightsSeptember2025.pdf"/>
    <hyperlink ref="H47" r:id="rId46" display="https://rennamedia.com/wp-content/uploads/2025/09/BerkeleyHeightsOctober2025.pdf"/>
    <hyperlink ref="H48" r:id="rId47" display="https://rennamedia.com/wp-content/uploads/2025/10/BerkeleyHeightsNovember2025.pdf"/>
    <hyperlink ref="H49" r:id="rId48" display="https://rennamedia.com/wp-content/uploads/2025/11/BerkeleyHeightsDecember2025.pdf"/>
    <hyperlink ref="H50" r:id="rId49" display="https://rennamedia.com/wp-content/uploads/2025/12/BerkeleyHeightsJanuary2026.pdf"/>
    <hyperlink ref="H51" r:id="rId50" display="https://rennamedia.com/wp-content/uploads/2026/01/BerkeleyHeightsFebruary2026.pdf"/>
    <hyperlink ref="H52" r:id="rId51" display="https://rennamedia.com/wp-content/uploads/2026/02/BerkeleyHeightsMarch2026.pdf"/>
    <hyperlink ref="H53" r:id="rId52" display="https://rennamedia.com/wp-content/uploads/2026/03/BerkeleyHeightsApril2026.pdf"/>
    <hyperlink ref="H54" r:id="rId53" display="https://rennamedia.com/wp-content/uploads/2026/04/BerkeleyHeightsMay2026.pdf"/>
    <hyperlink ref="H55" r:id="rId54" display="https://rennamedia.com/wp-content/uploads/2021/12/ClarkJanuary2022.pdf"/>
    <hyperlink ref="H56" r:id="rId55" display="https://rennamedia.com/wp-content/uploads/2022/01/ClarkFebruary2022.pdf"/>
    <hyperlink ref="H57" r:id="rId56" display="https://rennamedia.com/wp-content/uploads/2022/02/ClarkMarch2022.pdf"/>
    <hyperlink ref="H58" r:id="rId57" display="https://rennamedia.com/wp-content/uploads/2022/03/ClarkApril2022.pdf"/>
    <hyperlink ref="H59" r:id="rId58" display="https://rennamedia.com/wp-content/uploads/2022/04/ClarkMay2022.pdf"/>
    <hyperlink ref="H60" r:id="rId59" display="https://rennamedia.com/wp-content/uploads/2022/05/ClarkJune2022.pdf"/>
    <hyperlink ref="H61" r:id="rId60" display="https://rennamedia.com/wp-content/uploads/2022/06/ClarkJuly2022.pdf"/>
    <hyperlink ref="H62" r:id="rId61" display="https://rennamedia.com/wp-content/uploads/2022/07/ChathamsAugust2022.pdf"/>
    <hyperlink ref="H63" r:id="rId62" display="https://rennamedia.com/wp-content/uploads/2022/09/ClarkSeptember2022.pdf"/>
    <hyperlink ref="H64" r:id="rId63" display="https://rennamedia.com/wp-content/uploads/2022/10/ClarkOctober2022.pdf"/>
    <hyperlink ref="H65" r:id="rId64" display="https://rennamedia.com/wp-content/uploads/2022/11/ClarkNovember2022.pdf"/>
    <hyperlink ref="H66" r:id="rId65" display="https://rennamedia.com/wp-content/uploads/2022/11/ClarkDecember2022.pdf"/>
    <hyperlink ref="H67" r:id="rId66" display="https://rennamedia.com/wp-content/uploads/2022/12/ClarkJanuary2023.pdf"/>
    <hyperlink ref="H68" r:id="rId67" display="https://rennamedia.com/wp-content/uploads/2023/01/ClarkFebruary2023.pdf"/>
    <hyperlink ref="H69" r:id="rId68" display="https://rennamedia.com/wp-content/uploads/2023/02/ClarkMarch2023.pdf"/>
    <hyperlink ref="H70" r:id="rId69" display="https://rennamedia.com/wp-content/uploads/2023/03/ClarkApril2023.pdf"/>
    <hyperlink ref="H71" r:id="rId70" display="https://rennamedia.com/wp-content/uploads/2023/04/ClarkMay2023.pdf"/>
    <hyperlink ref="H72" r:id="rId71" display="https://rennamedia.com/wp-content/uploads/2023/05/ClarkJune2023.pdf"/>
    <hyperlink ref="H73" r:id="rId72" display="https://rennamedia.com/wp-content/uploads/2023/06/ClarkJuly2023.pdf"/>
    <hyperlink ref="H74" r:id="rId73" display="https://rennamedia.com/wp-content/uploads/2023/07/ClarkAug2023.pdf"/>
    <hyperlink ref="H75" r:id="rId74" display="https://rennamedia.com/wp-content/uploads/2023/08/ClarkSep2023.pdf"/>
    <hyperlink ref="H76" r:id="rId75" display="https://rennamedia.com/wp-content/uploads/2023/09/ClarkOct2023.pdf"/>
    <hyperlink ref="H77" r:id="rId76" display="https://rennamedia.com/wp-content/uploads/2023/10/ClarkNov2023.pdf"/>
    <hyperlink ref="H78" r:id="rId77" display="https://rennamedia.com/wp-content/uploads/2023/11/ClarkDec2023.pdf"/>
    <hyperlink ref="H79" r:id="rId78" display="https://rennamedia.com/wp-content/uploads/2023/12/ClarkJan2024.pdf"/>
    <hyperlink ref="H80" r:id="rId79" display="https://rennamedia.com/wp-content/uploads/2024/01/ClarkFeb2024.pdf"/>
    <hyperlink ref="H81" r:id="rId80" display="https://rennamedia.com/wp-content/uploads/2024/02/ClarkMar2024.pdf"/>
    <hyperlink ref="H82" r:id="rId81" display="https://rennamedia.com/wp-content/uploads/2024/03/ClarkApr2024.pdf"/>
    <hyperlink ref="H83" r:id="rId82" display="https://rennamedia.com/wp-content/uploads/2024/04/ClarkMay2024.pdf"/>
    <hyperlink ref="H84" r:id="rId83" display="https://rennamedia.com/wp-content/uploads/2024/05/ClarkJune2024.pdf"/>
    <hyperlink ref="H85" r:id="rId84" display="https://rennamedia.com/wp-content/uploads/2024/06/ClarkJuly2024.pdf"/>
    <hyperlink ref="H86" r:id="rId85" display="https://rennamedia.com/wp-content/uploads/2024/07/ClarkAugust2024.pdf"/>
    <hyperlink ref="H87" r:id="rId86" display="https://rennamedia.com/wp-content/uploads/2024/08/ClarkSeptember2024.pdf"/>
    <hyperlink ref="H88" r:id="rId87" display="https://rennamedia.com/wp-content/uploads/2024/09/ClarkOctober2024.pdf"/>
    <hyperlink ref="H89" r:id="rId88" display="https://rennamedia.com/wp-content/uploads/2024/10/ClarkNovember2024.pdf"/>
    <hyperlink ref="H90" r:id="rId89" display="https://rennamedia.com/wp-content/uploads/2024/11/ClarkDecember2024.pdf"/>
    <hyperlink ref="H91" r:id="rId90" display="https://rennamedia.com/wp-content/uploads/2024/12/ClarkJanuary2025.pdf"/>
    <hyperlink ref="H92" r:id="rId91" display="https://rennamedia.com/wp-content/uploads/2025/02/ClarkFebruary2025.pdf"/>
    <hyperlink ref="H93" r:id="rId92" display="https://rennamedia.com/wp-content/uploads/2025/02/ClarkMarch2025.pdf"/>
    <hyperlink ref="H94" r:id="rId93" display="https://rennamedia.com/wp-content/uploads/2025/03/ClarkApril2025.pdf"/>
    <hyperlink ref="H95" r:id="rId94" display="https://rennamedia.com/wp-content/uploads/2025/04/ClarkMay2025.pdf"/>
    <hyperlink ref="H96" r:id="rId95" display="https://rennamedia.com/wp-content/uploads/2025/05/ClarkJune2025.pdf"/>
    <hyperlink ref="H97" r:id="rId96" display="https://rennamedia.com/wp-content/uploads/2025/06/ClarkJuly2025.pdf"/>
    <hyperlink ref="H98" r:id="rId97" display="https://rennamedia.com/wp-content/uploads/2025/07/ClarkAugust2025.pdf"/>
    <hyperlink ref="H99" r:id="rId98" display="https://rennamedia.com/wp-content/uploads/2025/08/ClarkSeptember2025.pdf"/>
    <hyperlink ref="H100" r:id="rId99" display="https://rennamedia.com/wp-content/uploads/2025/09/ClarkOctober2025.pdf"/>
    <hyperlink ref="H101" r:id="rId100" display="https://rennamedia.com/wp-content/uploads/2025/10/ClarkNovember2025.pdf"/>
    <hyperlink ref="H102" r:id="rId101" display="https://rennamedia.com/wp-content/uploads/2025/11/ClarkDecember2025.pdf"/>
    <hyperlink ref="H103" r:id="rId102" display="https://rennamedia.com/wp-content/uploads/2025/12/ClarkJanuary2026.pdf"/>
    <hyperlink ref="H104" r:id="rId103" display="https://rennamedia.com/wp-content/uploads/2026/01/ClarkFebruary2026.pdf"/>
    <hyperlink ref="H105" r:id="rId104" display="https://rennamedia.com/wp-content/uploads/2026/02/ClarkMarch2026.pdf"/>
    <hyperlink ref="H106" r:id="rId105" display="https://rennamedia.com/wp-content/uploads/2026/03/ClarkApril2026.pdf"/>
    <hyperlink ref="H107" r:id="rId106" display="https://rennamedia.com/wp-content/uploads/2026/04/ClarkMay2026.pdf"/>
    <hyperlink ref="H108" r:id="rId107" display="https://rennamedia.com/wp-content/uploads/2021/12/ChathamsJanuary2022.pdf"/>
    <hyperlink ref="H109" r:id="rId108" display="https://rennamedia.com/wp-content/uploads/2022/01/ChathamsFebruary2022i.pdf"/>
    <hyperlink ref="H110" r:id="rId109" display="https://rennamedia.com/wp-content/uploads/2022/02/ChathamsMarch2022.pdf"/>
    <hyperlink ref="H111" r:id="rId110" display="https://rennamedia.com/wp-content/uploads/2022/03/ChathamsApril2022.pdf"/>
    <hyperlink ref="H112" r:id="rId111" display="https://rennamedia.com/wp-content/uploads/2022/04/ChathamsMay2022.pdf"/>
    <hyperlink ref="H113" r:id="rId112" display="https://rennamedia.com/wp-content/uploads/2022/05/ChathamsJune2022.pdf"/>
    <hyperlink ref="H114" r:id="rId113" display="https://rennamedia.com/wp-content/uploads/2022/06/ChathamsJuly2022.pdf"/>
    <hyperlink ref="H115" r:id="rId114" display="https://rennamedia.com/wp-content/uploads/2022/07/ChathamsAugust2022.pdf"/>
    <hyperlink ref="H116" r:id="rId115" display="https://rennamedia.com/wp-content/uploads/2022/09/ChathamsSeptember2022.pdf"/>
    <hyperlink ref="H117" r:id="rId116" display="https://rennamedia.com/wp-content/uploads/2022/10/ChathamsOctober2022.pdf"/>
    <hyperlink ref="H118" r:id="rId117" display="https://rennamedia.com/wp-content/uploads/2022/11/ChathamsNovember2022.pdf"/>
    <hyperlink ref="H119" r:id="rId118" display="https://rennamedia.com/wp-content/uploads/2022/11/ChathamsDecember2022.pdf"/>
    <hyperlink ref="H120" r:id="rId119" display="https://rennamedia.com/wp-content/uploads/2022/12/ChathamsJanuary2023.pdf"/>
    <hyperlink ref="H121" r:id="rId120" display="https://rennamedia.com/wp-content/uploads/2023/01/ChathamsFebruary2023.pdf"/>
    <hyperlink ref="H122" r:id="rId121" display="https://rennamedia.com/wp-content/uploads/2023/02/ChathamsMarch2023.pdf"/>
    <hyperlink ref="H123" r:id="rId122" display="https://rennamedia.com/wp-content/uploads/2023/03/ChathamsApril2023.pdf"/>
    <hyperlink ref="H124" r:id="rId123" display="https://rennamedia.com/wp-content/uploads/2023/04/ChathamsMay2023.pdf"/>
    <hyperlink ref="H125" r:id="rId124" display="https://rennamedia.com/wp-content/uploads/2023/05/ChathamsJune2023.pdf"/>
    <hyperlink ref="H126" r:id="rId125" display="https://rennamedia.com/wp-content/uploads/2023/06/ChathamsJuly2023.pdf"/>
    <hyperlink ref="H127" r:id="rId126" display="https://rennamedia.com/wp-content/uploads/2023/07/ChathamsAug2023.pdf"/>
    <hyperlink ref="H128" r:id="rId127" display="https://rennamedia.com/wp-content/uploads/2023/08/ChathamsSep2023.pdf"/>
    <hyperlink ref="H129" r:id="rId128" display="https://rennamedia.com/wp-content/uploads/2023/09/ChathamsOct2023.pdf"/>
    <hyperlink ref="H130" r:id="rId129" display="https://rennamedia.com/wp-content/uploads/2023/10/ChathamsNov2023.pdf"/>
    <hyperlink ref="H131" r:id="rId130" display="https://rennamedia.com/wp-content/uploads/2023/11/ChathamsDec2023.pdf"/>
    <hyperlink ref="H132" r:id="rId131" display="https://rennamedia.com/wp-content/uploads/2023/12/ChathamsJan2024.pdf"/>
    <hyperlink ref="H133" r:id="rId132" display="https://rennamedia.com/wp-content/uploads/2024/01/ChathamsFeb2024.pdf"/>
    <hyperlink ref="H134" r:id="rId133" display="https://rennamedia.com/wp-content/uploads/2024/02/ChathamsMar2024.pdf"/>
    <hyperlink ref="H135" r:id="rId134" display="https://rennamedia.com/wp-content/uploads/2024/03/ChathamsApr2024.pdf"/>
    <hyperlink ref="H136" r:id="rId135" display="https://rennamedia.com/wp-content/uploads/2024/04/ChathamsMay2024.pdf"/>
    <hyperlink ref="H137" r:id="rId136" display="https://rennamedia.com/wp-content/uploads/2024/05/ChathamsJune2024.pdf"/>
    <hyperlink ref="H138" r:id="rId137" display="https://rennamedia.com/wp-content/uploads/2024/06/ChathamsJuly2024.pdf"/>
    <hyperlink ref="H139" r:id="rId138" display="https://rennamedia.com/wp-content/uploads/2024/07/ChathamsAugust2024.pdf"/>
    <hyperlink ref="H140" r:id="rId139" display="https://rennamedia.com/wp-content/uploads/2024/08/ChathamsSeptember2024.pdf"/>
    <hyperlink ref="H141" r:id="rId140" display="https://rennamedia.com/wp-content/uploads/2024/09/ChathamsOctober2024.pdf"/>
    <hyperlink ref="H142" r:id="rId141" display="https://rennamedia.com/wp-content/uploads/2024/10/ChathamsNovember2024.pdf"/>
    <hyperlink ref="H143" r:id="rId142" display="https://rennamedia.com/wp-content/uploads/2024/11/ChathamsDecember2024.pdf"/>
    <hyperlink ref="H144" r:id="rId143" display="https://rennamedia.com/wp-content/uploads/2024/12/ChathamsJanuary2025.pdf"/>
    <hyperlink ref="H145" r:id="rId144" display="https://rennamedia.com/wp-content/uploads/2025/02/ChathamsFebruary2025.pdf"/>
    <hyperlink ref="H146" r:id="rId145" display="https://rennamedia.com/wp-content/uploads/2025/02/ChathamsMarch2025.pdf"/>
    <hyperlink ref="H147" r:id="rId146" display="https://rennamedia.com/wp-content/uploads/2025/03/ChathamsApril2025.pdf"/>
    <hyperlink ref="H148" r:id="rId147" display="https://rennamedia.com/wp-content/uploads/2025/04/ChathamsMay2025.pdf"/>
    <hyperlink ref="H149" r:id="rId148" display="https://rennamedia.com/wp-content/uploads/2025/05/ChathamsJune2025.pdf"/>
    <hyperlink ref="H150" r:id="rId149" display="https://rennamedia.com/wp-content/uploads/2025/06/ChathamsJuly2025.pdf"/>
    <hyperlink ref="H151" r:id="rId150" display="https://rennamedia.com/wp-content/uploads/2025/07/ChathamsAugust2025.pdf"/>
    <hyperlink ref="H152" r:id="rId151" display="https://rennamedia.com/wp-content/uploads/2025/08/ChathamsSeptember2025.pdf"/>
    <hyperlink ref="H153" r:id="rId152" display="https://rennamedia.com/wp-content/uploads/2025/09/ChathamsOctober2025.pdf"/>
    <hyperlink ref="H154" r:id="rId153" display="https://rennamedia.com/wp-content/uploads/2025/10/ChathamsNovember2025.pdf"/>
    <hyperlink ref="H155" r:id="rId154" display="https://rennamedia.com/wp-content/uploads/2025/11/ChathamsDecember2025.pdf"/>
    <hyperlink ref="H156" r:id="rId155" display="https://rennamedia.com/wp-content/uploads/2025/12/ChathamsJanuary2026.pdf"/>
    <hyperlink ref="H157" r:id="rId156" display="https://rennamedia.com/wp-content/uploads/2026/01/ChathamsFebruary2026.pdf"/>
    <hyperlink ref="H158" r:id="rId157" display="https://rennamedia.com/wp-content/uploads/2026/02/ChathamsMarch2026proof.pdf"/>
    <hyperlink ref="H159" r:id="rId158" display="https://rennamedia.com/wp-content/uploads/2026/03/ChathamsApril2026.pdf"/>
    <hyperlink ref="H160" r:id="rId159" display="https://rennamedia.com/wp-content/uploads/2026/04/ChathamsMay2026.pdf"/>
    <hyperlink ref="H161" r:id="rId160" display="https://rennamedia.com/wp-content/uploads/2021/12/CranfordJanuary2022.pdf"/>
    <hyperlink ref="H162" r:id="rId161" display="https://rennamedia.com/wp-content/uploads/2022/01/CranfordFebruary2022.pdf"/>
    <hyperlink ref="H163" r:id="rId162" display="https://rennamedia.com/wp-content/uploads/2022/02/CranfordMarch2022.pdf"/>
    <hyperlink ref="H164" r:id="rId163" display="https://rennamedia.com/wp-content/uploads/2022/03/CranfordApril2022.pdf"/>
    <hyperlink ref="H165" r:id="rId164" display="https://rennamedia.com/wp-content/uploads/2022/04/CranfordMay2022.pdf"/>
    <hyperlink ref="H166" r:id="rId165" display="https://rennamedia.com/wp-content/uploads/2022/05/CranfordJune2022.pdf"/>
    <hyperlink ref="H167" r:id="rId166" display="https://rennamedia.com/wp-content/uploads/2022/06/CranfordJuly2022.pdf"/>
    <hyperlink ref="H168" r:id="rId167" display="https://rennamedia.com/wp-content/uploads/2022/07/CranfordAugust2022.pdf"/>
    <hyperlink ref="H169" r:id="rId168" display="https://rennamedia.com/wp-content/uploads/2022/09/CranfordSeptember2022.pdf"/>
    <hyperlink ref="H170" r:id="rId169" display="https://rennamedia.com/wp-content/uploads/2022/10/CranfordOctober2022.pdf"/>
    <hyperlink ref="H171" r:id="rId170" display="https://rennamedia.com/wp-content/uploads/2022/11/CranfordNovember2022.pdf"/>
    <hyperlink ref="H172" r:id="rId171" display="https://rennamedia.com/wp-content/uploads/2022/11/CranfordDecember2022.pdf"/>
    <hyperlink ref="H173" r:id="rId172" display="https://rennamedia.com/wp-content/uploads/2022/12/CranfordJanuary2023.pdf"/>
    <hyperlink ref="H174" r:id="rId173" display="https://rennamedia.com/wp-content/uploads/2023/01/CranfordFebruary2023.pdf"/>
    <hyperlink ref="H175" r:id="rId174" display="https://rennamedia.com/wp-content/uploads/2023/02/CranfordMarch2023.pdf"/>
    <hyperlink ref="H176" r:id="rId175" display="https://rennamedia.com/wp-content/uploads/2023/03/CranfordApril2023.pdf"/>
    <hyperlink ref="H177" r:id="rId176" display="https://rennamedia.com/wp-content/uploads/2023/04/CranfordMay2023.pdf"/>
    <hyperlink ref="H178" r:id="rId177" display="https://rennamedia.com/wp-content/uploads/2023/05/CranfordJune2023.pdf"/>
    <hyperlink ref="H179" r:id="rId178" display="https://rennamedia.com/wp-content/uploads/2023/06/CranfordJuly2023.pdf"/>
    <hyperlink ref="H180" r:id="rId179" display="https://rennamedia.com/wp-content/uploads/2023/07/CranfordAug2023.pdf"/>
    <hyperlink ref="H181" r:id="rId180" display="https://rennamedia.com/wp-content/uploads/2023/08/CranfordSep2023.pdf"/>
    <hyperlink ref="H182" r:id="rId181" display="https://rennamedia.com/wp-content/uploads/2023/09/CranfordOct2023.pdf"/>
    <hyperlink ref="H183" r:id="rId182" display="https://rennamedia.com/wp-content/uploads/2023/10/CranfordNov2023.pdf"/>
    <hyperlink ref="H184" r:id="rId183" display="https://rennamedia.com/wp-content/uploads/2023/11/CranfordDec2023.pdf"/>
    <hyperlink ref="H185" r:id="rId184" display="https://rennamedia.com/wp-content/uploads/2023/12/CranfordJan2024.pdf"/>
    <hyperlink ref="H186" r:id="rId185" display="https://rennamedia.com/wp-content/uploads/2024/01/CranfordFeb2024.pdf"/>
    <hyperlink ref="H187" r:id="rId186" display="https://rennamedia.com/wp-content/uploads/2024/02/CranfordMar2024.pdf"/>
    <hyperlink ref="H188" r:id="rId187" display="https://rennamedia.com/wp-content/uploads/2024/03/CranfordApr2024.pdf"/>
    <hyperlink ref="H189" r:id="rId188" display="https://rennamedia.com/wp-content/uploads/2024/04/CranfordMay2024.pdf"/>
    <hyperlink ref="H190" r:id="rId189" display="https://rennamedia.com/wp-content/uploads/2024/05/CranfordJune2024.pdf"/>
    <hyperlink ref="H191" r:id="rId190" display="https://rennamedia.com/wp-content/uploads/2024/06/CranfordJuly2024.pdf"/>
    <hyperlink ref="H192" r:id="rId191" display="https://rennamedia.com/wp-content/uploads/2024/07/CranfordAugust2024.pdf"/>
    <hyperlink ref="H193" r:id="rId192" display="https://rennamedia.com/wp-content/uploads/2024/08/CranfordSeptember2024.pdf"/>
    <hyperlink ref="H194" r:id="rId193" display="https://rennamedia.com/wp-content/uploads/2024/09/CranfordOctober2024.pdf"/>
    <hyperlink ref="H195" r:id="rId194" display="https://rennamedia.com/wp-content/uploads/2024/10/CranfordNovember2024.pdf"/>
    <hyperlink ref="H196" r:id="rId195" display="https://rennamedia.com/wp-content/uploads/2024/11/CranfordDecember2024.pdf"/>
    <hyperlink ref="H197" r:id="rId196" display="https://rennamedia.com/wp-content/uploads/2024/12/CranfordJanuary2025.pdf"/>
    <hyperlink ref="H198" r:id="rId197" display="https://rennamedia.com/wp-content/uploads/2025/02/CranfordFebruary2025.pdf"/>
    <hyperlink ref="H199" r:id="rId198" display="https://rennamedia.com/wp-content/uploads/2025/02/CranfordMarch2025.pdf"/>
    <hyperlink ref="H200" r:id="rId199" display="https://rennamedia.com/wp-content/uploads/2025/03/CranfordApril2025.pdf"/>
    <hyperlink ref="H201" r:id="rId200" display="https://rennamedia.com/wp-content/uploads/2025/04/CranfordMay2025.pdf"/>
    <hyperlink ref="H202" r:id="rId201" display="https://rennamedia.com/wp-content/uploads/2025/05/CranfordJune2025.pdf"/>
    <hyperlink ref="H203" r:id="rId202" display="https://rennamedia.com/wp-content/uploads/2025/06/CranfordJuly2025.pdf"/>
    <hyperlink ref="H204" r:id="rId203" display="https://rennamedia.com/wp-content/uploads/2025/07/CranfordJAugust2025.pdf"/>
    <hyperlink ref="H205" r:id="rId204" display="https://rennamedia.com/wp-content/uploads/2025/08/CranfordSeptember2025.pdf"/>
    <hyperlink ref="H206" r:id="rId205" display="https://rennamedia.com/wp-content/uploads/2025/09/CranfordOctober2025.pdf"/>
    <hyperlink ref="H207" r:id="rId206" display="https://rennamedia.com/wp-content/uploads/2025/10/CranfordNovember2025.pdf"/>
    <hyperlink ref="H208" r:id="rId207" display="https://rennamedia.com/wp-content/uploads/2025/11/CranfordDecember2025.pdf"/>
    <hyperlink ref="H209" r:id="rId208" display="https://rennamedia.com/wp-content/uploads/2025/12/CranfordJanuary2026.pdf"/>
    <hyperlink ref="H210" r:id="rId209" display="https://rennamedia.com/wp-content/uploads/2026/01/CranfordFebruary2026.pdf"/>
    <hyperlink ref="H211" r:id="rId210" display="https://rennamedia.com/wp-content/uploads/2026/02/CranfordMarch2026.pdf"/>
    <hyperlink ref="H212" r:id="rId211" display="https://rennamedia.com/wp-content/uploads/2026/03/CranfordApril2026.pdf"/>
    <hyperlink ref="H213" r:id="rId212" display="https://rennamedia.com/wp-content/uploads/2026/04/CranfordMay2026.pdf"/>
    <hyperlink ref="H214" r:id="rId213" display="https://rennamedia.com/wp-content/uploads/2024/11/EastHanoverViewDecember2024.pdf"/>
    <hyperlink ref="H215" r:id="rId214" display="https://rennamedia.com/wp-content/uploads/2024/12/EastHanoverViewJanuary2025.pdf"/>
    <hyperlink ref="H216" r:id="rId215" display="https://rennamedia.com/wp-content/uploads/2025/02/EastHanoverViewFebruary2025.pdf"/>
    <hyperlink ref="H217" r:id="rId216" display="https://rennamedia.com/wp-content/uploads/2025/02/EastHanoverViewMarch2025.pdf"/>
    <hyperlink ref="H218" r:id="rId217" display="https://rennamedia.com/wp-content/uploads/2025/03/EastHanoverViewApril2025.pdf"/>
    <hyperlink ref="H219" r:id="rId218" display="https://rennamedia.com/wp-content/uploads/2025/04/EastHanoverViewMay2025.pdf"/>
    <hyperlink ref="H220" r:id="rId219" display="https://rennamedia.com/wp-content/uploads/2025/05/EastHanoverViewJune2025.pdf"/>
    <hyperlink ref="H221" r:id="rId220" display="https://rennamedia.com/wp-content/uploads/2025/06/EastHanoverViewJuly2025.pdf"/>
    <hyperlink ref="H222" r:id="rId221" display="https://rennamedia.com/wp-content/uploads/2025/07/EastHanoverViewAugust2025.pdf"/>
    <hyperlink ref="H223" r:id="rId222" display="https://rennamedia.com/wp-content/uploads/2025/08/EastHanoverViewSeptember2025.pdf"/>
    <hyperlink ref="H224" r:id="rId223" display="https://rennamedia.com/wp-content/uploads/2025/09/EastHanoverViewOctober2025.pdf"/>
    <hyperlink ref="H225" r:id="rId224" display="https://rennamedia.com/wp-content/uploads/2025/10/EastHanoverViewNovember2025.pdf"/>
    <hyperlink ref="H226" r:id="rId225" display="https://rennamedia.com/wp-content/uploads/2025/11/EastHanoverViewDecember2025.pdf"/>
    <hyperlink ref="H227" r:id="rId226" display="https://rennamedia.com/wp-content/uploads/2025/12/EastHanoverViewJanuary2026.pdf"/>
    <hyperlink ref="H228" r:id="rId227" display="https://rennamedia.com/wp-content/uploads/2026/01/EastHanoverViewFebruary2026.pdf"/>
    <hyperlink ref="H229" r:id="rId228" display="https://rennamedia.com/wp-content/uploads/2026/02/EastHanoverViewMarch2026.pdf"/>
    <hyperlink ref="H230" r:id="rId229" display="https://rennamedia.com/wp-content/uploads/2026/03/EastHanoverViewApril2026.pdf"/>
    <hyperlink ref="H231" r:id="rId230" display="https://rennamedia.com/wp-content/uploads/2026/04/EastHanoverViewMay2026.pdf"/>
    <hyperlink ref="H232" r:id="rId231" display="https://rennamedia.com/wp-content/uploads/2022/02/ElmoraHillsMonthlyMarch2022.pdf"/>
    <hyperlink ref="H233" r:id="rId232" display="https://rennamedia.com/wp-content/uploads/2022/03/ElmoraHillsMonthlyApril2022.pdf"/>
    <hyperlink ref="H234" r:id="rId233" display="https://rennamedia.com/wp-content/uploads/2022/04/ElmoraHillsMonthlyMay2022.pdf"/>
    <hyperlink ref="H235" r:id="rId234" display="https://rennamedia.com/wp-content/uploads/2022/05/ElmoraHillsMonthlyJune2022.pdf"/>
    <hyperlink ref="H236" r:id="rId235" display="https://rennamedia.com/wp-content/uploads/2022/06/ElmoraHillsMonthlyJuly2022.pdf"/>
    <hyperlink ref="H237" r:id="rId236" display="https://rennamedia.com/wp-content/uploads/2022/07/ElmoraHillsMonthlyAugust2022.pdf"/>
    <hyperlink ref="H238" r:id="rId237" display="https://rennamedia.com/wp-content/uploads/2022/09/ElmoraHillsMonthlySeptember2022.pdf"/>
    <hyperlink ref="H239" r:id="rId238" display="https://rennamedia.com/wp-content/uploads/2022/10/ElmoraHillsMonthlyOctober2022.pdf"/>
    <hyperlink ref="H240" r:id="rId239" display="https://rennamedia.com/wp-content/uploads/2022/11/ElmoraHillsMonthlyNovember2022.pdf"/>
    <hyperlink ref="H241" r:id="rId240" display="https://rennamedia.com/wp-content/uploads/2022/11/ElmoraHillsMonthlyDecember2022.pdf"/>
    <hyperlink ref="H242" r:id="rId241" display="https://rennamedia.com/wp-content/uploads/2022/12/ElmoraHillsMonthlyJanuary2023.pdf"/>
    <hyperlink ref="H243" r:id="rId242" display="https://rennamedia.com/wp-content/uploads/2023/01/ElmoraHillsMonthlyFebruary2023.pdf"/>
    <hyperlink ref="H244" r:id="rId243" display="https://rennamedia.com/wp-content/uploads/2023/02/ElmoraHillsMonthlyMarch2023.pdf"/>
    <hyperlink ref="H245" r:id="rId244" display="https://rennamedia.com/wp-content/uploads/2023/03/ElmoraHillsMonthlyApril2023.pdf"/>
    <hyperlink ref="H246" r:id="rId245" display="https://rennamedia.com/wp-content/uploads/2023/04/ElmoraHillsMonthlyMay2023.pdf"/>
    <hyperlink ref="H247" r:id="rId246" display="https://rennamedia.com/wp-content/uploads/2023/05/ElmoraHillsMonthlyJune2023.pdf"/>
    <hyperlink ref="H248" r:id="rId247" display="https://rennamedia.com/wp-content/uploads/2023/06/ElmoraHillsMonthlyJuly2023.pdf"/>
    <hyperlink ref="H249" r:id="rId248" display="https://rennamedia.com/wp-content/uploads/2023/07/ElmoraHillsMonthlyAug2023.pdf"/>
    <hyperlink ref="H250" r:id="rId249" display="https://rennamedia.com/wp-content/uploads/2023/08/ElmoraHillsMonthlySep2023.pdf"/>
    <hyperlink ref="H251" r:id="rId250" display="https://rennamedia.com/wp-content/uploads/2023/09/ElmoraHillsMonthlyOct2023.pdf"/>
    <hyperlink ref="H252" r:id="rId251" display="https://rennamedia.com/wp-content/uploads/2023/10/ElmoraHillsMonthlyNov2023.pdf"/>
    <hyperlink ref="H253" r:id="rId252" display="https://rennamedia.com/wp-content/uploads/2023/11/ElmoraHillsMonthlyDec2023.pdf"/>
    <hyperlink ref="H254" r:id="rId253" display="https://rennamedia.com/wp-content/uploads/2023/12/ElmoraHillsMonthlyJan2024.pdf"/>
    <hyperlink ref="H255" r:id="rId254" display="https://rennamedia.com/wp-content/uploads/2024/01/ElmoraHillsMonthlyFeb2024.pdf"/>
    <hyperlink ref="H256" r:id="rId255" display="https://rennamedia.com/wp-content/uploads/2024/02/ElmoraHillsMonthlyMar2024.pdf"/>
    <hyperlink ref="H257" r:id="rId256" display="https://rennamedia.com/wp-content/uploads/2024/03/ElmoraHillsMonthlyApr2024.pdf"/>
    <hyperlink ref="H258" r:id="rId257" display="https://rennamedia.com/wp-content/uploads/2024/04/ElmoraHillsMonthlyMay2024.pdf"/>
    <hyperlink ref="H259" r:id="rId258" display="https://rennamedia.com/wp-content/uploads/2024/05/ElmoraHillsMonthlyJune2024.pdf"/>
    <hyperlink ref="H260" r:id="rId259" display="https://rennamedia.com/wp-content/uploads/2024/06/ElmoraHillsMonthlyJuly2024.pdf"/>
    <hyperlink ref="H261" r:id="rId260" display="https://rennamedia.com/wp-content/uploads/2024/07/ElmoraHillsMonthlyAugust2024.pdf"/>
    <hyperlink ref="H262" r:id="rId261" display="https://rennamedia.com/wp-content/uploads/2024/08/ElmoraHillsMonthlySeptember2024.pdf"/>
    <hyperlink ref="H263" r:id="rId262" display="https://rennamedia.com/wp-content/uploads/2024/09/ElmoraHillsMonthlyOctober2024.pdf"/>
    <hyperlink ref="H264" r:id="rId263" display="https://rennamedia.com/wp-content/uploads/2024/10/ElmoraHillsMonthlyNovember2024.pdf"/>
    <hyperlink ref="H265" r:id="rId264" display="https://rennamedia.com/wp-content/uploads/2024/11/ElmoraHillsMonthlyDecember2024.pdf"/>
    <hyperlink ref="H266" r:id="rId265" display="https://rennamedia.com/wp-content/uploads/2024/12/ElmoraHillsMonthlyJanuary2025i.pdf"/>
    <hyperlink ref="H267" r:id="rId266" display="https://rennamedia.com/wp-content/uploads/2025/02/ElmoraHillsMonthlyFebruary2025.pdf"/>
    <hyperlink ref="H268" r:id="rId267" display="https://rennamedia.com/wp-content/uploads/2025/02/ElmoraHillsMonthlyMarch2025.pdf"/>
    <hyperlink ref="H269" r:id="rId268" display="https://rennamedia.com/wp-content/uploads/2025/03/ElmoraHillsMonthlyApril2025.pdf"/>
    <hyperlink ref="H270" r:id="rId269" display="https://rennamedia.com/wp-content/uploads/2025/04/ElmoraHillsMonthlyMay2025.pdf"/>
    <hyperlink ref="H271" r:id="rId270" display="https://rennamedia.com/wp-content/uploads/2025/05/ElmoraHillsMonthlyJune2025.pdf"/>
    <hyperlink ref="H272" r:id="rId271" display="https://rennamedia.com/wp-content/uploads/2025/06/ElmoraHillsMonthlyJuly2025.pdf"/>
    <hyperlink ref="H273" r:id="rId272" display="https://rennamedia.com/wp-content/uploads/2025/07/ElmoraHillsMonthlyAugust2025.pdf"/>
    <hyperlink ref="H274" r:id="rId273" display="https://rennamedia.com/wp-content/uploads/2025/08/ElmoraHillsMonthlySeptember2025.pdf"/>
    <hyperlink ref="H275" r:id="rId274" display="https://rennamedia.com/wp-content/uploads/2025/09/ElmoraHillsMonthlyOctober2025.pdf"/>
    <hyperlink ref="H276" r:id="rId275" display="https://rennamedia.com/wp-content/uploads/2025/10/ElmoraHillsMonthlyNovember2025.pdf"/>
    <hyperlink ref="H277" r:id="rId276" display="https://rennamedia.com/wp-content/uploads/2025/11/ElmoraHillsMonthlyDecember2025.pdf"/>
    <hyperlink ref="H278" r:id="rId277" display="https://rennamedia.com/wp-content/uploads/2025/12/ElmoraHillsMonthlyJanuary2026.pdf"/>
    <hyperlink ref="H279" r:id="rId278" display="https://rennamedia.com/wp-content/uploads/2026/01/ElmoraHillsMonthlyFebruary2026.pdf"/>
    <hyperlink ref="H280" r:id="rId279" display="https://rennamedia.com/wp-content/uploads/2026/02/ElmoraHillsMonthlyMarch2026.pdf"/>
    <hyperlink ref="H281" r:id="rId280" display="https://rennamedia.com/wp-content/uploads/2026/03/ElmoraHillsMonthlyApril2026.pdf"/>
    <hyperlink ref="H282" r:id="rId281" display="https://rennamedia.com/wp-content/uploads/2026/04/ElmoraHillsMonthlymay2026.pdf"/>
    <hyperlink ref="H283" r:id="rId282" display="https://rennamedia.com/wp-content/uploads/2021/12/FanwoodJanuary2022.pdf"/>
    <hyperlink ref="H284" r:id="rId283" display="https://rennamedia.com/wp-content/uploads/2022/01/FanwoodFebruary2022.pdf"/>
    <hyperlink ref="H285" r:id="rId284" display="https://rennamedia.com/wp-content/uploads/2022/02/FanwoodMarch2022.pdf"/>
    <hyperlink ref="H286" r:id="rId285" display="https://rennamedia.com/wp-content/uploads/2022/03/FanwoodApril2022.pdf"/>
    <hyperlink ref="H287" r:id="rId286" display="https://rennamedia.com/wp-content/uploads/2022/04/FanwoodMay2022.pdf"/>
    <hyperlink ref="H288" r:id="rId287" display="https://rennamedia.com/wp-content/uploads/2022/05/FanwoodJune2022.pdf"/>
    <hyperlink ref="H289" r:id="rId288" display="https://rennamedia.com/wp-content/uploads/2022/06/FanwoodJuly2022.pdf"/>
    <hyperlink ref="H290" r:id="rId289" display="https://rennamedia.com/wp-content/uploads/2022/07/FanwoodAugust2022.pdf"/>
    <hyperlink ref="H291" r:id="rId290" display="https://rennamedia.com/wp-content/uploads/2022/09/FanwoodSeptember2022.pdf"/>
    <hyperlink ref="H292" r:id="rId291" display="https://rennamedia.com/wp-content/uploads/2022/10/FanwoodOctober2022.pdf"/>
    <hyperlink ref="H293" r:id="rId292" display="https://rennamedia.com/wp-content/uploads/2022/11/FanwoodNovember2022.pdf"/>
    <hyperlink ref="H294" r:id="rId293" display="https://rennamedia.com/wp-content/uploads/2022/11/FanwoodDecember2022.pdf"/>
    <hyperlink ref="H295" r:id="rId294" display="https://rennamedia.com/wp-content/uploads/2022/12/FanwoodJanuary2023.pdf"/>
    <hyperlink ref="H296" r:id="rId295" display="https://rennamedia.com/wp-content/uploads/2023/01/FanwoodFebruary2023.pdf"/>
    <hyperlink ref="H297" r:id="rId296" display="https://rennamedia.com/wp-content/uploads/2023/02/FanwoodMarch2023.pdf"/>
    <hyperlink ref="H298" r:id="rId297" display="https://rennamedia.com/wp-content/uploads/2023/03/FanwoodApril2023.pdf"/>
    <hyperlink ref="H299" r:id="rId298" display="https://rennamedia.com/wp-content/uploads/2023/04/FanwoodMay2023.pdf"/>
    <hyperlink ref="H300" r:id="rId299" display="https://rennamedia.com/wp-content/uploads/2023/05/FanwoodJune2023.pdf"/>
    <hyperlink ref="H301" r:id="rId300" display="https://rennamedia.com/wp-content/uploads/2023/06/FanwoodJuly2023.pdf"/>
    <hyperlink ref="H302" r:id="rId301" display="https://rennamedia.com/wp-content/uploads/2023/07/FanwoodAug2023.pdf"/>
    <hyperlink ref="H303" r:id="rId302" display="https://rennamedia.com/wp-content/uploads/2023/08/FanwoodSep2023.pdf"/>
    <hyperlink ref="H304" r:id="rId303" display="https://rennamedia.com/wp-content/uploads/2023/09/FanwoodOct2023.pdf"/>
    <hyperlink ref="H305" r:id="rId304" display="https://rennamedia.com/wp-content/uploads/2023/10/FanwoodNov2023.pdf"/>
    <hyperlink ref="H306" r:id="rId305" display="https://rennamedia.com/wp-content/uploads/2023/11/FanwoodDec2023.pdf"/>
    <hyperlink ref="H307" r:id="rId306" display="https://rennamedia.com/wp-content/uploads/2023/12/FanwoodJan2024.pdf"/>
    <hyperlink ref="H308" r:id="rId307" display="https://rennamedia.com/wp-content/uploads/2024/01/FanwoodFeb2024.pdf"/>
    <hyperlink ref="H309" r:id="rId308" display="https://rennamedia.com/wp-content/uploads/2024/02/FanwoodMar2024.pdf"/>
    <hyperlink ref="H310" r:id="rId309" display="https://rennamedia.com/wp-content/uploads/2024/03/FanwoodApr2024.pdf"/>
    <hyperlink ref="H311" r:id="rId310" display="https://rennamedia.com/wp-content/uploads/2024/04/FanwoodMay2024.pdf"/>
    <hyperlink ref="H312" r:id="rId311" display="https://rennamedia.com/wp-content/uploads/2024/05/FanwoodJune2024.pdf"/>
    <hyperlink ref="H313" r:id="rId312" display="https://rennamedia.com/wp-content/uploads/2024/06/FanwoodJuly2024.pdf"/>
    <hyperlink ref="H314" r:id="rId313" display="https://rennamedia.com/wp-content/uploads/2024/07/FanwoodAugust2024.pdf"/>
    <hyperlink ref="H315" r:id="rId314" display="https://rennamedia.com/wp-content/uploads/2024/08/FanwoodSeptember2024.pdf"/>
    <hyperlink ref="H316" r:id="rId315" display="https://rennamedia.com/wp-content/uploads/2024/10/FanwoodOctober2024x.pdf"/>
    <hyperlink ref="H317" r:id="rId316" display="https://rennamedia.com/wp-content/uploads/2024/10/FanwoodNovember2024.pdf"/>
    <hyperlink ref="H318" r:id="rId317" display="https://rennamedia.com/wp-content/uploads/2024/11/FanwoodDecember2024.pdf"/>
    <hyperlink ref="H319" r:id="rId318" display="https://rennamedia.com/wp-content/uploads/2024/12/FanwoodJanuary2025.pdf"/>
    <hyperlink ref="H320" r:id="rId319" display="https://rennamedia.com/wp-content/uploads/2025/02/FanwoodFebruary2025.pdf"/>
    <hyperlink ref="H321" r:id="rId320" display="https://rennamedia.com/wp-content/uploads/2025/02/FanwoodMarch2025.pdf"/>
    <hyperlink ref="H322" r:id="rId321" display="https://rennamedia.com/wp-content/uploads/2025/03/FanwoodApril2025.pdf"/>
    <hyperlink ref="H323" r:id="rId322" display="https://rennamedia.com/wp-content/uploads/2025/04/FanwoodMay2025.pdf"/>
    <hyperlink ref="H324" r:id="rId323" display="https://rennamedia.com/wp-content/uploads/2025/05/FanwoodJune2025.pdf"/>
    <hyperlink ref="H325" r:id="rId324" display="https://rennamedia.com/wp-content/uploads/2025/06/FanwoodJuly2025.pdf"/>
    <hyperlink ref="H326" r:id="rId325" display="https://rennamedia.com/wp-content/uploads/2025/07/FanwoodAugust2025.pdf"/>
    <hyperlink ref="H327" r:id="rId326" display="https://rennamedia.com/wp-content/uploads/2025/08/FanwoodSeptember2025.pdf"/>
    <hyperlink ref="H328" r:id="rId327" display="https://rennamedia.com/wp-content/uploads/2025/09/FanwoodOctober2025.pdf"/>
    <hyperlink ref="H329" r:id="rId328" display="https://rennamedia.com/wp-content/uploads/2025/10/FanwoodNovember2025.pdf"/>
    <hyperlink ref="H330" r:id="rId329" display="https://rennamedia.com/wp-content/uploads/2025/11/FanwoodDecember2025.pdf"/>
    <hyperlink ref="H331" r:id="rId330" display="https://rennamedia.com/wp-content/uploads/2025/12/FanwoodJanuary2026.pdf"/>
    <hyperlink ref="H332" r:id="rId331" display="https://rennamedia.com/wp-content/uploads/2026/01/FanwoodFebruary2026.pdf"/>
    <hyperlink ref="H333" r:id="rId332" display="https://rennamedia.com/wp-content/uploads/2026/02/FanwoodMarch2026.pdf"/>
    <hyperlink ref="H334" r:id="rId333" display="https://rennamedia.com/wp-content/uploads/2026/03/FanwoodApril2026.pdf"/>
    <hyperlink ref="H335" r:id="rId334" display="https://rennamedia.com/wp-content/uploads/2026/04/FanwoodMay2026.pdf"/>
    <hyperlink ref="H336" r:id="rId335" display="https://rennamedia.com/wp-content/uploads/2022/02/FlorhamParkMonthlyMarch2022.pdf"/>
    <hyperlink ref="H337" r:id="rId336" display="https://rennamedia.com/wp-content/uploads/2022/03/FlorhamParkMonthlyApril2022.pdf"/>
    <hyperlink ref="H338" r:id="rId337" display="https://rennamedia.com/wp-content/uploads/2022/04/FlorhamParkMonthlyMay2022.pdf"/>
    <hyperlink ref="H339" r:id="rId338" display="https://rennamedia.com/wp-content/uploads/2022/05/FlorhamParkMonthlyJune2022.pdf"/>
    <hyperlink ref="H340" r:id="rId339" display="https://rennamedia.com/wp-content/uploads/2022/06/FlorhamParkMonthlyJuly2022.pdf"/>
    <hyperlink ref="H341" r:id="rId340" display="https://rennamedia.com/wp-content/uploads/2022/07/FlorhamParkMonthlyAugust2022.pdf"/>
    <hyperlink ref="H342" r:id="rId341" display="https://rennamedia.com/wp-content/uploads/2022/09/FlorhamParkMonthlySeptember2022.pdf"/>
    <hyperlink ref="H343" r:id="rId342" display="https://rennamedia.com/wp-content/uploads/2022/10/FlorhamParkMonthlyOctober2022.pdf"/>
    <hyperlink ref="H344" r:id="rId343" display="https://rennamedia.com/wp-content/uploads/2022/11/FlorhamParkMonthlyNovember2022.pdf"/>
    <hyperlink ref="H345" r:id="rId344" display="https://rennamedia.com/wp-content/uploads/2022/11/FlorhamParkMonthlyDecember2022.pdf"/>
    <hyperlink ref="H346" r:id="rId345" display="https://rennamedia.com/wp-content/uploads/2022/12/FlorhamParkMonthlyJanuary2023.pdf"/>
    <hyperlink ref="H347" r:id="rId346" display="https://rennamedia.com/wp-content/uploads/2023/01/FlorhamParkMonthlyFebruary2023.pdf"/>
    <hyperlink ref="H348" r:id="rId347" display="https://rennamedia.com/wp-content/uploads/2023/02/FlorhamParkMonthlyMarch2023.pdf"/>
    <hyperlink ref="H349" r:id="rId348" display="https://rennamedia.com/wp-content/uploads/2023/03/FlorhamParkMonthlyApril2023.pdf"/>
    <hyperlink ref="H350" r:id="rId349" display="https://rennamedia.com/wp-content/uploads/2023/04/FlorhamParkMonthlyMay2023.pdf"/>
    <hyperlink ref="H351" r:id="rId350" display="https://rennamedia.com/wp-content/uploads/2023/05/FlorhamParkMonthlyJune2023.pdf"/>
    <hyperlink ref="H352" r:id="rId351" display="https://rennamedia.com/wp-content/uploads/2023/06/FlorhamParkMonthlyJuly2023.pdf"/>
    <hyperlink ref="H353" r:id="rId352" display="https://rennamedia.com/wp-content/uploads/2023/07/FlorhamParkMonthlyAug2023.pdf"/>
    <hyperlink ref="H354" r:id="rId353" display="https://rennamedia.com/wp-content/uploads/2023/08/FlorhamParkMonthlySep2023.pdf"/>
    <hyperlink ref="H355" r:id="rId354" display="https://rennamedia.com/wp-content/uploads/2023/09/FlorhamParkMonthlyOct2023.pdf"/>
    <hyperlink ref="H356" r:id="rId355" display="https://rennamedia.com/wp-content/uploads/2023/10/FlorhamParkMonthlyNov2023.pdf"/>
    <hyperlink ref="H357" r:id="rId356" display="https://rennamedia.com/wp-content/uploads/2023/11/FlorhamParkMonthlyDec2023.pdf"/>
    <hyperlink ref="H358" r:id="rId357" display="https://rennamedia.com/wp-content/uploads/2023/12/FlorhamParkMonthlyJan2024.pdf"/>
    <hyperlink ref="H359" r:id="rId358" display="https://rennamedia.com/wp-content/uploads/2024/01/FlorhamParkMonthlyFeb2024.pdf"/>
    <hyperlink ref="H360" r:id="rId359" display="https://rennamedia.com/wp-content/uploads/2024/02/FlorhamParkMonthlyMar2024.pdf"/>
    <hyperlink ref="H361" r:id="rId360" display="https://rennamedia.com/wp-content/uploads/2024/03/FlorhamParkMonthlyApr2024.pdf"/>
    <hyperlink ref="H362" r:id="rId361" display="https://rennamedia.com/wp-content/uploads/2024/04/FlorhamParkMonthlyMay2024.pdf"/>
    <hyperlink ref="H363" r:id="rId362" display="https://rennamedia.com/wp-content/uploads/2024/05/FlorhamParkMonthlyJune2024.pdf"/>
    <hyperlink ref="H364" r:id="rId363" display="https://rennamedia.com/wp-content/uploads/2024/06/FlorhamParkMonthlyJuly2024.pdf"/>
    <hyperlink ref="H365" r:id="rId364" display="https://rennamedia.com/wp-content/uploads/2024/07/FlorhamParkMonthlyAugust2024.pdf"/>
    <hyperlink ref="H366" r:id="rId365" display="https://rennamedia.com/wp-content/uploads/2024/08/FlorhamParkMonthlySeptember2024.pdf"/>
    <hyperlink ref="H367" r:id="rId366" display="https://rennamedia.com/wp-content/uploads/2024/09/FlorhamParkMonthlyOctober2024.pdf"/>
    <hyperlink ref="H368" r:id="rId367" display="https://rennamedia.com/wp-content/uploads/2024/10/FlorhamParkMonthlyNovember2024.pdf"/>
    <hyperlink ref="H369" r:id="rId368" display="https://rennamedia.com/wp-content/uploads/2024/11/FlorhamParkMonthlyDecember2024.pdf"/>
    <hyperlink ref="H370" r:id="rId369" display="https://rennamedia.com/wp-content/uploads/2024/12/FlorhamParkMonthlyJanuary2025.pdf"/>
    <hyperlink ref="H371" r:id="rId370" display="https://rennamedia.com/wp-content/uploads/2025/02/FlorhamParkMonthlyFebruary2025.pdf"/>
    <hyperlink ref="H372" r:id="rId371" display="https://rennamedia.com/wp-content/uploads/2025/02/FlorhamParkMonthlyMarch2025.pdf"/>
    <hyperlink ref="H373" r:id="rId372" display="https://rennamedia.com/wp-content/uploads/2025/03/FlorhamParkMonthlyApril2025.pdf"/>
    <hyperlink ref="H374" r:id="rId373" display="https://rennamedia.com/wp-content/uploads/2025/04/FlorhamParkMonthlyMay2025.pdf"/>
    <hyperlink ref="H375" r:id="rId374" display="https://rennamedia.com/wp-content/uploads/2025/05/FlorhamParkMonthlyJune2025.pdf"/>
    <hyperlink ref="H376" r:id="rId375" display="https://rennamedia.com/wp-content/uploads/2025/06/FlorhamParkMonthlyJuly2025.pdf"/>
    <hyperlink ref="H377" r:id="rId376" display="https://rennamedia.com/wp-content/uploads/2025/07/FlorhamParkMonthlyAugust2025.pdf"/>
    <hyperlink ref="H378" r:id="rId377" display="https://rennamedia.com/wp-content/uploads/2025/09/FlorhamParkMonthlyOctober2025.pdf"/>
    <hyperlink ref="H379" r:id="rId378" display="https://rennamedia.com/wp-content/uploads/2025/10/FlorhamParkMonthlyNovember2025.pdf"/>
    <hyperlink ref="H380" r:id="rId379" display="https://rennamedia.com/wp-content/uploads/2025/11/FlorhamParkMonthlyDecember2025.pdf"/>
    <hyperlink ref="H381" r:id="rId380" display="https://rennamedia.com/wp-content/uploads/2025/12/FlorhamParkMonthlyJanuary2026.pdf"/>
    <hyperlink ref="H382" r:id="rId381" display="https://rennamedia.com/wp-content/uploads/2026/01/FlorhamParkMonthlyFebruary2026.pdf"/>
    <hyperlink ref="H383" r:id="rId382" display="https://rennamedia.com/wp-content/uploads/2026/02/FlorhamParkMonthlyMarch2026.pdf"/>
    <hyperlink ref="H384" r:id="rId383" display="https://rennamedia.com/wp-content/uploads/2026/03/FlorhamParkMonthlyApril2026.pdf"/>
    <hyperlink ref="H385" r:id="rId384" display="https://rennamedia.com/wp-content/uploads/2026/04/FlorhamParkMonthlyMay2026.pdf"/>
    <hyperlink ref="H386" r:id="rId385" display="https://rennamedia.com/wp-content/uploads/2021/12/GarwoodJanuary2022.pdf"/>
    <hyperlink ref="H387" r:id="rId386" display="https://rennamedia.com/wp-content/uploads/2022/01/GarwoodFebruary2022.pdf"/>
    <hyperlink ref="H388" r:id="rId387" display="https://rennamedia.com/wp-content/uploads/2022/02/GarwoodMarch2022.pdf"/>
    <hyperlink ref="H389" r:id="rId388" display="https://rennamedia.com/wp-content/uploads/2022/03/GarwoodApril2022.pdf"/>
    <hyperlink ref="H390" r:id="rId389" display="https://rennamedia.com/wp-content/uploads/2022/04/GarwoodMay2022.pdf"/>
    <hyperlink ref="H391" r:id="rId390" display="https://rennamedia.com/wp-content/uploads/2022/05/GarwoodJune2022.pdf"/>
    <hyperlink ref="H392" r:id="rId391" display="https://rennamedia.com/wp-content/uploads/2022/06/GarwoodJuly2022.pdf"/>
    <hyperlink ref="H393" r:id="rId392" display="https://rennamedia.com/wp-content/uploads/2022/07/GarwoodAugust2022.pdf"/>
    <hyperlink ref="H394" r:id="rId393" display="https://rennamedia.com/wp-content/uploads/2022/09/GarwoodSeptember2022.pdf"/>
    <hyperlink ref="H395" r:id="rId394" display="https://rennamedia.com/wp-content/uploads/2022/10/GarwoodOctober2022.pdf"/>
    <hyperlink ref="H396" r:id="rId395" display="https://rennamedia.com/wp-content/uploads/2022/11/GarwoodNovember2022.pdf"/>
    <hyperlink ref="H397" r:id="rId396" display="https://rennamedia.com/wp-content/uploads/2022/11/GarwoodDecember2022.pdf"/>
    <hyperlink ref="H398" r:id="rId397" display="https://rennamedia.com/wp-content/uploads/2022/12/GarwoodJanuary2023.pdf"/>
    <hyperlink ref="H399" r:id="rId398" display="https://rennamedia.com/wp-content/uploads/2023/01/GarwoodFebruary2023.pdf"/>
    <hyperlink ref="H400" r:id="rId399" display="https://rennamedia.com/wp-content/uploads/2023/02/GarwoodMarch2023.pdf"/>
    <hyperlink ref="H401" r:id="rId400" display="https://rennamedia.com/wp-content/uploads/2023/03/GarwoodApril2023.pdf"/>
    <hyperlink ref="H402" r:id="rId401" display="https://rennamedia.com/wp-content/uploads/2023/04/GarwoodMay2023.pdf"/>
    <hyperlink ref="H403" r:id="rId402" display="https://rennamedia.com/wp-content/uploads/2023/05/GarwoodJune2023.pdf"/>
    <hyperlink ref="H404" r:id="rId403" display="https://rennamedia.com/wp-content/uploads/2023/06/GarwoodJuly2023.pdf"/>
    <hyperlink ref="H405" r:id="rId404" display="https://rennamedia.com/wp-content/uploads/2023/07/GarwoodAug2023.pdf"/>
    <hyperlink ref="H406" r:id="rId405" display="https://rennamedia.com/wp-content/uploads/2023/08/GarwoodSep2023.pdf"/>
    <hyperlink ref="H407" r:id="rId406" display="https://rennamedia.com/wp-content/uploads/2023/09/GarwoodOct2023.pdf"/>
    <hyperlink ref="H408" r:id="rId407" display="https://rennamedia.com/wp-content/uploads/2023/10/GarwoodNov2023.pdf"/>
    <hyperlink ref="H409" r:id="rId408" display="https://rennamedia.com/wp-content/uploads/2023/11/GarwoodDec2023.pdf"/>
    <hyperlink ref="H410" r:id="rId409" display="https://rennamedia.com/wp-content/uploads/2023/12/GarwoodJan2024.pdf"/>
    <hyperlink ref="H411" r:id="rId410" display="https://rennamedia.com/wp-content/uploads/2024/01/GarwoodFeb2024.pdf"/>
    <hyperlink ref="H412" r:id="rId411" display="https://rennamedia.com/wp-content/uploads/2024/02/GarwoodMar2024.pdf"/>
    <hyperlink ref="H413" r:id="rId412" display="https://rennamedia.com/wp-content/uploads/2024/03/GarwoodApr2024.pdf"/>
    <hyperlink ref="H414" r:id="rId413" display="https://rennamedia.com/wp-content/uploads/2024/04/GarwoodMay2024.pdf"/>
    <hyperlink ref="H415" r:id="rId414" display="https://rennamedia.com/wp-content/uploads/2024/05/GarwoodJune2024.pdf"/>
    <hyperlink ref="H416" r:id="rId415" display="https://rennamedia.com/wp-content/uploads/2024/06/GarwoodJuly2024.pdf"/>
    <hyperlink ref="H417" r:id="rId416" display="https://rennamedia.com/wp-content/uploads/2024/07/GarwoodAugust2024.pdf"/>
    <hyperlink ref="H418" r:id="rId417" display="https://rennamedia.com/wp-content/uploads/2024/08/GarwoodSeptember2024.pdf"/>
    <hyperlink ref="H419" r:id="rId418" display="https://rennamedia.com/wp-content/uploads/2024/09/GarwoodOctober2024.pdf"/>
    <hyperlink ref="H420" r:id="rId419" display="https://rennamedia.com/wp-content/uploads/2024/10/GarwoodNovember2024.pdf"/>
    <hyperlink ref="H421" r:id="rId420" display="https://rennamedia.com/wp-content/uploads/2024/11/GarwoodDecember2024.pdf"/>
    <hyperlink ref="H422" r:id="rId421" display="https://rennamedia.com/wp-content/uploads/2024/12/GarwoodJanuary2025.pdf"/>
    <hyperlink ref="H423" r:id="rId422" display="https://rennamedia.com/wp-content/uploads/2025/02/GarwoodFebruary2025.pdf"/>
    <hyperlink ref="H424" r:id="rId423" display="https://rennamedia.com/wp-content/uploads/2025/02/GarwoodMarch2025.pdf"/>
    <hyperlink ref="H425" r:id="rId424" display="https://rennamedia.com/wp-content/uploads/2025/03/GarwoodApril2025i.pdf"/>
    <hyperlink ref="H426" r:id="rId425" display="https://rennamedia.com/wp-content/uploads/2025/04/GarwoodMay2025.pdf"/>
    <hyperlink ref="H427" r:id="rId426" display="https://rennamedia.com/wp-content/uploads/2025/05/GarwoodJune2025.pdf"/>
    <hyperlink ref="H428" r:id="rId427" display="https://rennamedia.com/wp-content/uploads/2025/06/GarwoodJuly2025.pdf"/>
    <hyperlink ref="H429" r:id="rId428" display="https://rennamedia.com/wp-content/uploads/2025/07/GarwoodAugust2025.pdf"/>
    <hyperlink ref="H430" r:id="rId429" display="https://rennamedia.com/wp-content/uploads/2025/08/GarwoodSeptember2025.pdf"/>
    <hyperlink ref="H431" r:id="rId430" display="https://rennamedia.com/wp-content/uploads/2025/09/GarwoodOctober2025.pdf"/>
    <hyperlink ref="H432" r:id="rId431" display="https://rennamedia.com/wp-content/uploads/2025/10/GarwoodNovember2025.pdf"/>
    <hyperlink ref="H433" r:id="rId432" display="https://rennamedia.com/wp-content/uploads/2025/11/GarwoodDecember2025.pdf"/>
    <hyperlink ref="H434" r:id="rId433" display="https://rennamedia.com/wp-content/uploads/2025/12/GarwoodJanuary2026.pdf"/>
    <hyperlink ref="H435" r:id="rId434" display="https://rennamedia.com/wp-content/uploads/2026/01/GarwoodFebruary2026.pdf"/>
    <hyperlink ref="H436" r:id="rId435" display="https://rennamedia.com/wp-content/uploads/2026/02/GarwoodMarch2026.pdf"/>
    <hyperlink ref="H437" r:id="rId436" display="https://rennamedia.com/wp-content/uploads/2026/03/GarwoodApril2026.pdf"/>
    <hyperlink ref="H438" r:id="rId437" display="https://rennamedia.com/wp-content/uploads/2026/04/GarwoodMay2026.pdf"/>
    <hyperlink ref="H439" r:id="rId438" display="https://rennamedia.com/wp-content/uploads/2021/12/GreenBrookJanuary2022.pdf"/>
    <hyperlink ref="H440" r:id="rId439" display="https://rennamedia.com/wp-content/uploads/2022/01/GreenBrookFebruary2022.pdf"/>
    <hyperlink ref="H441" r:id="rId440" display="https://rennamedia.com/wp-content/uploads/2022/02/GreenBrookMarch2022.pdf"/>
    <hyperlink ref="H442" r:id="rId441" display="https://rennamedia.com/wp-content/uploads/2022/03/GreenBrookApril2022.pdf"/>
    <hyperlink ref="H443" r:id="rId442" display="https://rennamedia.com/wp-content/uploads/2022/04/GreenBrookMay2022.pdf"/>
    <hyperlink ref="H444" r:id="rId443" display="https://rennamedia.com/wp-content/uploads/2022/05/GreenBrookJune2022.pdf"/>
    <hyperlink ref="H445" r:id="rId444" display="https://rennamedia.com/wp-content/uploads/2022/06/GreenBrookJuly2022.pdf"/>
    <hyperlink ref="H446" r:id="rId445" display="https://rennamedia.com/wp-content/uploads/2022/07/GreenBrookAugust2022.pdf"/>
    <hyperlink ref="H447" r:id="rId446" display="https://rennamedia.com/wp-content/uploads/2022/09/GreenBrookSeptember2022.pdf"/>
    <hyperlink ref="H448" r:id="rId447" display="https://rennamedia.com/wp-content/uploads/2022/10/GreenBrookOctober2022.pdf"/>
    <hyperlink ref="H449" r:id="rId448" display="https://rennamedia.com/wp-content/uploads/2022/11/GreenBrookNovember2022.pdf"/>
    <hyperlink ref="H450" r:id="rId449" display="https://rennamedia.com/wp-content/uploads/2022/11/GreenBrookDecember2022.pdf"/>
    <hyperlink ref="H451" r:id="rId450" display="https://rennamedia.com/wp-content/uploads/2022/12/GreenBrookJanuary2023.pdf"/>
    <hyperlink ref="H452" r:id="rId451" display="https://rennamedia.com/wp-content/uploads/2023/01/GreenBrookFebruary2023.pdf"/>
    <hyperlink ref="H453" r:id="rId452" display="https://rennamedia.com/wp-content/uploads/2023/02/GreenBrookMarch2023.pdf"/>
    <hyperlink ref="H454" r:id="rId453" display="https://rennamedia.com/wp-content/uploads/2023/03/GreenBrookApril2023.pdf"/>
    <hyperlink ref="H455" r:id="rId454" display="https://rennamedia.com/wp-content/uploads/2023/04/GreenBrookMay2023.pdf"/>
    <hyperlink ref="H456" r:id="rId455" display="https://rennamedia.com/wp-content/uploads/2023/05/GreenBrookJune2023.pdf"/>
    <hyperlink ref="H457" r:id="rId456" display="https://rennamedia.com/wp-content/uploads/2023/06/GreenBrookJuly2023.pdf"/>
    <hyperlink ref="H458" r:id="rId457" display="https://rennamedia.com/wp-content/uploads/2023/07/GreenBrookAug2023.pdf"/>
    <hyperlink ref="H459" r:id="rId458" display="https://rennamedia.com/wp-content/uploads/2023/08/GreenBrookSep2023.pdf"/>
    <hyperlink ref="H460" r:id="rId459" display="https://rennamedia.com/wp-content/uploads/2023/09/GreenBrookOct2023.pdf"/>
    <hyperlink ref="H461" r:id="rId460" display="https://rennamedia.com/wp-content/uploads/2023/10/GreenBrookNov2023.pdf"/>
    <hyperlink ref="H462" r:id="rId461" display="https://rennamedia.com/wp-content/uploads/2023/11/GreenBrookDec2023.pdf"/>
    <hyperlink ref="H463" r:id="rId462" display="https://rennamedia.com/wp-content/uploads/2023/12/GreenBrookJan2024.pdf"/>
    <hyperlink ref="H464" r:id="rId463" display="https://rennamedia.com/wp-content/uploads/2024/01/GreenBrookFeb2024.pdf"/>
    <hyperlink ref="H465" r:id="rId464" display="https://rennamedia.com/wp-content/uploads/2024/02/GreenBrookMar2024.pdf"/>
    <hyperlink ref="H466" r:id="rId465" display="https://rennamedia.com/wp-content/uploads/2024/03/GreenBrookApr2024.pdf"/>
    <hyperlink ref="H467" r:id="rId466" display="https://rennamedia.com/wp-content/uploads/2024/04/GreenBrookMay2024.pdf"/>
    <hyperlink ref="H468" r:id="rId467" display="https://rennamedia.com/wp-content/uploads/2024/05/GreenBrookJune2024.pdf"/>
    <hyperlink ref="H469" r:id="rId468" display="https://rennamedia.com/wp-content/uploads/2024/06/GreenBrookJuly2024.pdf"/>
    <hyperlink ref="H470" r:id="rId469" display="https://rennamedia.com/wp-content/uploads/2024/07/GreenBrookAugust2024.pdf"/>
    <hyperlink ref="H471" r:id="rId470" display="https://rennamedia.com/wp-content/uploads/2024/08/GreenBrookSeptember2024.pdf"/>
    <hyperlink ref="H472" r:id="rId471" display="https://rennamedia.com/wp-content/uploads/2024/09/GreenBrookOctober2024.pdf"/>
    <hyperlink ref="H473" r:id="rId472" display="https://rennamedia.com/wp-content/uploads/2024/10/GreenBrookNovember2024.pdf"/>
    <hyperlink ref="H474" r:id="rId473" display="https://rennamedia.com/wp-content/uploads/2024/11/GreenBrookDecember2024.pdf"/>
    <hyperlink ref="H475" r:id="rId474" display="https://rennamedia.com/wp-content/uploads/2024/12/GreenBrookJanuary2025.pdf"/>
    <hyperlink ref="H476" r:id="rId475" display="https://rennamedia.com/wp-content/uploads/2025/02/GreenBrookFebruary2025.pdf"/>
    <hyperlink ref="H477" r:id="rId476" display="https://rennamedia.com/wp-content/uploads/2025/02/GreenBrookMarch2025.pdf"/>
    <hyperlink ref="H478" r:id="rId477" display="https://rennamedia.com/wp-content/uploads/2025/03/GreenBrookApril2025.pdf"/>
    <hyperlink ref="H479" r:id="rId478" display="https://rennamedia.com/wp-content/uploads/2025/04/GreenBrookMay2025.pdf"/>
    <hyperlink ref="H480" r:id="rId479" display="https://rennamedia.com/wp-content/uploads/2025/05/GreenBrookJune2025.pdf"/>
    <hyperlink ref="H481" r:id="rId480" display="https://rennamedia.com/wp-content/uploads/2025/06/GreenBrookJuly2025.pdf"/>
    <hyperlink ref="H482" r:id="rId481" display="https://rennamedia.com/wp-content/uploads/2025/07/GreenBrookAugust2025.pdf"/>
    <hyperlink ref="H483" r:id="rId482" display="https://rennamedia.com/wp-content/uploads/2025/08/GreenBrookSeptember2025.pdf"/>
    <hyperlink ref="H484" r:id="rId483" display="https://rennamedia.com/wp-content/uploads/2025/09/GreenBrookOctober2025.pdf"/>
    <hyperlink ref="H485" r:id="rId484" display="https://rennamedia.com/wp-content/uploads/2025/10/GreenBrookNovember2025.pdf"/>
    <hyperlink ref="H486" r:id="rId485" display="https://rennamedia.com/wp-content/uploads/2025/11/GreenBrookDecember2025.pdf"/>
    <hyperlink ref="H487" r:id="rId486" display="https://rennamedia.com/wp-content/uploads/2025/12/GreenBrookJanuary2026.pdf"/>
    <hyperlink ref="H488" r:id="rId487" display="https://rennamedia.com/wp-content/uploads/2026/02/GreenBrookFebruary2026.pdf"/>
    <hyperlink ref="H489" r:id="rId488" display="https://rennamedia.com/wp-content/uploads/2026/02/GreenBrookMarch2026.pdf"/>
    <hyperlink ref="H490" r:id="rId489" display="https://rennamedia.com/wp-content/uploads/2026/03/GreenBrookApril2026.pdf"/>
    <hyperlink ref="H491" r:id="rId490" display="https://rennamedia.com/wp-content/uploads/2026/04/GreenBrookMay2026.pdf"/>
    <hyperlink ref="H492" r:id="rId491" display="https://rennamedia.com/wp-content/uploads/2024/11/HanoverPressDecember2024.pdf"/>
    <hyperlink ref="H493" r:id="rId492" display="https://rennamedia.com/wp-content/uploads/2024/12/HanoverPressJanuary2025.pdf"/>
    <hyperlink ref="H494" r:id="rId493" display="https://rennamedia.com/wp-content/uploads/2025/02/HanoverPressFebruary2025.pdf"/>
    <hyperlink ref="H495" r:id="rId494" display="https://rennamedia.com/wp-content/uploads/2025/02/HanoverPressMarch2025.pdf"/>
    <hyperlink ref="H496" r:id="rId495" display="https://rennamedia.com/wp-content/uploads/2025/03/HanoverPressApril2025.pdf"/>
    <hyperlink ref="H497" r:id="rId496" display="https://rennamedia.com/wp-content/uploads/2025/04/HanoverPressMay2025.pdf"/>
    <hyperlink ref="H498" r:id="rId497" display="https://rennamedia.com/wp-content/uploads/2025/05/HanoverPressJune2025.pdf"/>
    <hyperlink ref="H499" r:id="rId498" display="https://rennamedia.com/wp-content/uploads/2025/06/HanoverPressJuly2025.pdf"/>
    <hyperlink ref="H500" r:id="rId499" display="https://rennamedia.com/wp-content/uploads/2025/07/HanoverPressAugust2025.pdf"/>
    <hyperlink ref="H501" r:id="rId500" display="https://rennamedia.com/wp-content/uploads/2025/08/HanoverPressSeptember2025.pdf"/>
    <hyperlink ref="H502" r:id="rId501" display="https://rennamedia.com/wp-content/uploads/2025/09/HanoverPressOctober2025.pdf"/>
    <hyperlink ref="H503" r:id="rId502" display="https://rennamedia.com/wp-content/uploads/2025/10/HanoverPressNovember2025.pdf"/>
    <hyperlink ref="H504" r:id="rId503" display="https://rennamedia.com/wp-content/uploads/2025/11/HanoverPressDecember2025.pdf"/>
    <hyperlink ref="H505" r:id="rId504" display="https://rennamedia.com/wp-content/uploads/2025/12/HanoverPressJanuary2026.pdf"/>
    <hyperlink ref="H506" r:id="rId505" display="https://rennamedia.com/wp-content/uploads/2026/01/HanoverPressFebruary2026.pdf"/>
    <hyperlink ref="H507" r:id="rId506" display="https://rennamedia.com/wp-content/uploads/2026/02/HanoverPressMarch2026.pdf"/>
    <hyperlink ref="H508" r:id="rId507" display="https://rennamedia.com/wp-content/uploads/2026/03/HanoverPressApril2026.pdf"/>
    <hyperlink ref="H509" r:id="rId508" display="https://rennamedia.com/wp-content/uploads/2026/04/HanoverPressMay2026.pdf"/>
    <hyperlink ref="H510" r:id="rId509" display="https://rennamedia.com/wp-content/uploads/2021/12/KenilworthJanuary2022.pdf"/>
    <hyperlink ref="H511" r:id="rId510" display="https://rennamedia.com/wp-content/uploads/2022/01/KenilworthFebruary2022.pdf"/>
    <hyperlink ref="H512" r:id="rId511" display="https://rennamedia.com/wp-content/uploads/2022/02/KenilworthMarch2022.pdf"/>
    <hyperlink ref="H513" r:id="rId512" display="https://rennamedia.com/wp-content/uploads/2022/03/KenilworthApril2022.pdf"/>
    <hyperlink ref="H514" r:id="rId513" display="https://rennamedia.com/wp-content/uploads/2022/04/KenilworthMay2022.pdf"/>
    <hyperlink ref="H515" r:id="rId514" display="https://rennamedia.com/wp-content/uploads/2022/05/KenilworthJune2022.pdf"/>
    <hyperlink ref="H516" r:id="rId515" display="https://rennamedia.com/wp-content/uploads/2022/06/KenilworthJuly2022.pdf"/>
    <hyperlink ref="H517" r:id="rId516" display="https://rennamedia.com/wp-content/uploads/2022/07/KenilworthAugust2022.pdf"/>
    <hyperlink ref="H518" r:id="rId517" display="https://rennamedia.com/wp-content/uploads/2022/09/KenilworthSeptember2022.pdf"/>
    <hyperlink ref="H519" r:id="rId518" display="https://rennamedia.com/wp-content/uploads/2022/10/KenilworthOctober2022.pdf"/>
    <hyperlink ref="H520" r:id="rId519" display="https://rennamedia.com/wp-content/uploads/2022/11/KenilworthNovember2022.pdf"/>
    <hyperlink ref="H521" r:id="rId520" display="https://rennamedia.com/wp-content/uploads/2022/11/KenilworthDecember2022.pdf"/>
    <hyperlink ref="H522" r:id="rId521" display="https://rennamedia.com/wp-content/uploads/2022/12/KenilworthJanuary2023.pdf"/>
    <hyperlink ref="H523" r:id="rId522" display="https://rennamedia.com/wp-content/uploads/2023/01/KenilworthFebruary2023.pdf"/>
    <hyperlink ref="H524" r:id="rId523" display="https://rennamedia.com/wp-content/uploads/2023/02/KenilworthMarch2023.pdf"/>
    <hyperlink ref="H525" r:id="rId524" display="https://rennamedia.com/wp-content/uploads/2023/03/KenilworthApril2023.pdf"/>
    <hyperlink ref="H526" r:id="rId525" display="https://rennamedia.com/wp-content/uploads/2023/04/KenilworthMay2023.pdf"/>
    <hyperlink ref="H527" r:id="rId526" display="https://rennamedia.com/wp-content/uploads/2023/05/KenilworthJune2023.pdf"/>
    <hyperlink ref="H528" r:id="rId527" display="https://rennamedia.com/wp-content/uploads/2023/06/KenilworthJuly2023.pdf"/>
    <hyperlink ref="H529" r:id="rId528" display="https://rennamedia.com/wp-content/uploads/2023/07/KenilworthAug2023.pdf"/>
    <hyperlink ref="H530" r:id="rId529" display="https://rennamedia.com/wp-content/uploads/2023/08/KenilworthSep2023.pdf"/>
    <hyperlink ref="H531" r:id="rId530" display="https://rennamedia.com/wp-content/uploads/2023/09/KenilworthOct2023.pdf"/>
    <hyperlink ref="H532" r:id="rId531" display="https://rennamedia.com/wp-content/uploads/2023/10/KenilworthNov2023.pdf"/>
    <hyperlink ref="H533" r:id="rId532" display="https://rennamedia.com/wp-content/uploads/2023/11/KenilworthDec2023.pdf"/>
    <hyperlink ref="H534" r:id="rId533" display="https://rennamedia.com/wp-content/uploads/2023/12/KenilworthJan2024.pdf"/>
    <hyperlink ref="H535" r:id="rId534" display="https://rennamedia.com/wp-content/uploads/2024/01/KenilworthFeb2024proof.pdf"/>
    <hyperlink ref="H536" r:id="rId535" display="https://rennamedia.com/wp-content/uploads/2024/02/KenilworthMar2024.pdf"/>
    <hyperlink ref="H537" r:id="rId536" display="https://rennamedia.com/wp-content/uploads/2024/03/KenilworthApr2024.pdf"/>
    <hyperlink ref="H538" r:id="rId537" display="https://rennamedia.com/wp-content/uploads/2024/04/KenilworthMay2024.pdf"/>
    <hyperlink ref="H539" r:id="rId538" display="https://rennamedia.com/wp-content/uploads/2024/05/KenilworthJune2024.pdf"/>
    <hyperlink ref="H540" r:id="rId539" display="https://rennamedia.com/wp-content/uploads/2024/06/KenilworthJuly2024.pdf"/>
    <hyperlink ref="H541" r:id="rId540" display="https://rennamedia.com/wp-content/uploads/2024/07/KenilworthAugust2024.pdf"/>
    <hyperlink ref="H542" r:id="rId541" display="https://rennamedia.com/wp-content/uploads/2024/08/KenilworthSeptember2024.pdf"/>
    <hyperlink ref="H543" r:id="rId542" display="https://rennamedia.com/wp-content/uploads/2024/09/KenilworthOctober2024.pdf"/>
    <hyperlink ref="H544" r:id="rId543" display="https://rennamedia.com/wp-content/uploads/2024/10/KenilworthNovember2024.pdf"/>
    <hyperlink ref="H545" r:id="rId544" display="https://rennamedia.com/wp-content/uploads/2024/11/KenilworthDecember2024.pdf"/>
    <hyperlink ref="H546" r:id="rId545" display="https://rennamedia.com/wp-content/uploads/2024/12/KenilworthJanuary2025.pdf"/>
    <hyperlink ref="H547" r:id="rId546" display="https://rennamedia.com/wp-content/uploads/2025/02/KenilworthFebruary2025.pdf"/>
    <hyperlink ref="H548" r:id="rId547" display="https://rennamedia.com/wp-content/uploads/2025/02/KenilworthMarch2025.pdf"/>
    <hyperlink ref="H549" r:id="rId548" display="https://rennamedia.com/wp-content/uploads/2025/03/KenilworthApril2025.pdf"/>
    <hyperlink ref="H550" r:id="rId549" display="https://rennamedia.com/wp-content/uploads/2025/04/KenilworthMay2025.pdf"/>
    <hyperlink ref="H551" r:id="rId550" display="https://rennamedia.com/wp-content/uploads/2025/05/KenilworthJune2025.pdf"/>
    <hyperlink ref="H552" r:id="rId551" display="https://rennamedia.com/wp-content/uploads/2025/06/KenilworthJuly2025.pdf"/>
    <hyperlink ref="H553" r:id="rId552" display="https://rennamedia.com/wp-content/uploads/2025/07/KenilworthAugust2025.pdf"/>
    <hyperlink ref="H554" r:id="rId553" display="https://rennamedia.com/wp-content/uploads/2025/08/KenilworthSeptember2025.pdf"/>
    <hyperlink ref="H555" r:id="rId554" display="https://rennamedia.com/wp-content/uploads/2025/09/KenilworthOctober2025.pdf"/>
    <hyperlink ref="H556" r:id="rId555" display="https://rennamedia.com/wp-content/uploads/2025/10/KenilworthNovember2025.pdf"/>
    <hyperlink ref="H557" r:id="rId556" display="https://rennamedia.com/wp-content/uploads/2025/11/KenilworthDecember2025.pdf"/>
    <hyperlink ref="H558" r:id="rId557" display="https://rennamedia.com/wp-content/uploads/2025/12/KenilworthJanuary2026.pdf"/>
    <hyperlink ref="H559" r:id="rId558" display="https://rennamedia.com/wp-content/uploads/2026/01/KenilworthFebruary2026.pdf"/>
    <hyperlink ref="H560" r:id="rId559" display="https://rennamedia.com/wp-content/uploads/2026/02/KenilworthMarch2026.pdf"/>
    <hyperlink ref="H561" r:id="rId560" display="https://rennamedia.com/wp-content/uploads/2026/03/KenilworthApril2026.pdf"/>
    <hyperlink ref="H562" r:id="rId561" display="https://rennamedia.com/wp-content/uploads/2026/04/KenilworthMay2026.pdf"/>
    <hyperlink ref="H563" r:id="rId562" display="https://rennamedia.com/wp-content/uploads/2021/12/LindenJanuary2022.pdf"/>
    <hyperlink ref="H564" r:id="rId563" display="https://rennamedia.com/wp-content/uploads/2022/01/LindenFebruary2022.pdf"/>
    <hyperlink ref="H565" r:id="rId564" display="https://rennamedia.com/wp-content/uploads/2022/02/LindenMarch2022.pdf"/>
    <hyperlink ref="H566" r:id="rId565" display="https://rennamedia.com/wp-content/uploads/2022/03/LindenApril2022.pdf"/>
    <hyperlink ref="H567" r:id="rId566" display="https://rennamedia.com/wp-content/uploads/2022/04/LindenMay2022.pdf"/>
    <hyperlink ref="H568" r:id="rId567" display="https://rennamedia.com/wp-content/uploads/2022/05/LindenJune2022.pdf"/>
    <hyperlink ref="H569" r:id="rId568" display="https://rennamedia.com/wp-content/uploads/2022/06/LindenJuly2022.pdf"/>
    <hyperlink ref="H570" r:id="rId569" display="https://rennamedia.com/wp-content/uploads/2022/07/LindenAugust2022.pdf"/>
    <hyperlink ref="H571" r:id="rId570" display="https://rennamedia.com/wp-content/uploads/2022/09/LindenSeptember2022.pdf"/>
    <hyperlink ref="H572" r:id="rId571" display="https://rennamedia.com/wp-content/uploads/2022/10/LindenOctober2022.pdf"/>
    <hyperlink ref="H573" r:id="rId572" display="https://rennamedia.com/wp-content/uploads/2022/11/LindenNovember2022.pdf"/>
    <hyperlink ref="H574" r:id="rId573" display="https://rennamedia.com/wp-content/uploads/2022/11/LindenDecember2022.pdf"/>
    <hyperlink ref="H575" r:id="rId574" display="https://rennamedia.com/wp-content/uploads/2023/01/LindenJanuary2023-new.pdf"/>
    <hyperlink ref="H576" r:id="rId575" display="https://rennamedia.com/wp-content/uploads/2023/01/LindenFebruary2023.pdf"/>
    <hyperlink ref="H577" r:id="rId576" display="https://rennamedia.com/wp-content/uploads/2023/02/LindenMarch2023.pdf"/>
    <hyperlink ref="H578" r:id="rId577" display="https://rennamedia.com/wp-content/uploads/2023/03/LindenApril2023.pdf"/>
    <hyperlink ref="H579" r:id="rId578" display="https://rennamedia.com/wp-content/uploads/2023/04/LindenMay2023.pdf"/>
    <hyperlink ref="H580" r:id="rId579" display="https://rennamedia.com/wp-content/uploads/2023/05/LindenJune2023.pdf"/>
    <hyperlink ref="H581" r:id="rId580" display="https://rennamedia.com/wp-content/uploads/2023/06/LindenJuly2023.pdf"/>
    <hyperlink ref="H582" r:id="rId581" display="https://rennamedia.com/wp-content/uploads/2023/07/LindenAug2023.pdf"/>
    <hyperlink ref="H583" r:id="rId582" display="https://rennamedia.com/wp-content/uploads/2023/08/LindenSep2023.pdf"/>
    <hyperlink ref="H584" r:id="rId583" display="https://rennamedia.com/wp-content/uploads/2023/09/LindenOct2023.pdf"/>
    <hyperlink ref="H585" r:id="rId584" display="https://rennamedia.com/wp-content/uploads/2023/10/LindenNov2023.pdf"/>
    <hyperlink ref="H586" r:id="rId585" display="https://rennamedia.com/wp-content/uploads/2023/11/LindenDec2023.pdf"/>
    <hyperlink ref="H587" r:id="rId586" display="https://rennamedia.com/wp-content/uploads/2023/12/LindenJan2024.pdf"/>
    <hyperlink ref="H588" r:id="rId587" display="https://rennamedia.com/wp-content/uploads/2024/01/LindenFeb2024.pdf"/>
    <hyperlink ref="H589" r:id="rId588" display="https://rennamedia.com/wp-content/uploads/2024/02/LindenMar2024.pdf"/>
    <hyperlink ref="H590" r:id="rId589" display="https://rennamedia.com/wp-content/uploads/2024/03/LindenApr2024.pdf"/>
    <hyperlink ref="H591" r:id="rId590" display="https://rennamedia.com/wp-content/uploads/2024/04/LindenMay2024.pdf"/>
    <hyperlink ref="H592" r:id="rId591" display="https://rennamedia.com/wp-content/uploads/2024/05/LindenJune2024.pdf"/>
    <hyperlink ref="H593" r:id="rId592" display="https://rennamedia.com/wp-content/uploads/2024/06/LindenJuly2024.pdf"/>
    <hyperlink ref="H594" r:id="rId593" display="https://rennamedia.com/wp-content/uploads/2024/07/LindenAugust2024.pdf"/>
    <hyperlink ref="H595" r:id="rId594" display="https://rennamedia.com/wp-content/uploads/2024/08/LindenSeptember2024.pdf"/>
    <hyperlink ref="H596" r:id="rId595" display="https://rennamedia.com/wp-content/uploads/2024/09/LindenOctober2024.pdf"/>
    <hyperlink ref="H597" r:id="rId596" display="https://rennamedia.com/wp-content/uploads/2024/10/LindenNovember2024.pdf"/>
    <hyperlink ref="H598" r:id="rId597" display="https://rennamedia.com/wp-content/uploads/2024/11/LindenDecember2024.pdf"/>
    <hyperlink ref="H599" r:id="rId598" display="https://rennamedia.com/wp-content/uploads/2024/12/LindenJanuary2025.pdf"/>
    <hyperlink ref="H600" r:id="rId599" display="https://rennamedia.com/wp-content/uploads/2025/02/LindenFebruary2025.pdf"/>
    <hyperlink ref="H601" r:id="rId600" display="https://rennamedia.com/wp-content/uploads/2025/02/LindenMarch2025.pdf"/>
    <hyperlink ref="H602" r:id="rId601" display="https://rennamedia.com/wp-content/uploads/2025/03/LindenApril2025.pdf"/>
    <hyperlink ref="H603" r:id="rId602" display="https://rennamedia.com/wp-content/uploads/2025/04/LindenMay2025.pdf"/>
    <hyperlink ref="H604" r:id="rId603" display="https://rennamedia.com/wp-content/uploads/2025/05/LindenJune2025.pdf"/>
    <hyperlink ref="H605" r:id="rId604" display="https://rennamedia.com/wp-content/uploads/2025/06/LindenJuly2025.pdf"/>
    <hyperlink ref="H606" r:id="rId605" display="https://rennamedia.com/wp-content/uploads/2025/07/LindenAugust2025.pdf"/>
    <hyperlink ref="H607" r:id="rId606" display="https://rennamedia.com/wp-content/uploads/2025/08/LindenSeptember2025.pdf"/>
    <hyperlink ref="H608" r:id="rId607" display="https://rennamedia.com/wp-content/uploads/2025/09/LindenOctober2025.pdf"/>
    <hyperlink ref="H609" r:id="rId608" display="https://rennamedia.com/wp-content/uploads/2025/10/LindenNovember2025.pdf"/>
    <hyperlink ref="H610" r:id="rId609" display="https://rennamedia.com/wp-content/uploads/2025/11/LindenDecember2025.pdf"/>
    <hyperlink ref="H611" r:id="rId610" display="https://rennamedia.com/wp-content/uploads/2025/12/LindenJanuary2026.pdf"/>
    <hyperlink ref="H612" r:id="rId611" display="https://rennamedia.com/wp-content/uploads/2026/01/LindenFebruary2026.pdf"/>
    <hyperlink ref="H613" r:id="rId612" display="https://rennamedia.com/wp-content/uploads/2026/02/LindenMarch2026.pdf"/>
    <hyperlink ref="H614" r:id="rId613" display="https://rennamedia.com/wp-content/uploads/2026/03/LindenApril2026.pdf"/>
    <hyperlink ref="H615" r:id="rId614" display="https://rennamedia.com/wp-content/uploads/2026/04/LindenMay2026.pdf"/>
    <hyperlink ref="H616" r:id="rId615" display="https://rennamedia.com/wp-content/uploads/2024/11/LivingstonMonthlyDecember2024.pdf"/>
    <hyperlink ref="H617" r:id="rId616" display="https://rennamedia.com/wp-content/uploads/2024/12/LivingstonMonthlyJanuary2025.pdf"/>
    <hyperlink ref="H618" r:id="rId617" display="https://rennamedia.com/wp-content/uploads/2025/02/LindenFebruary2025.pdf"/>
    <hyperlink ref="H619" r:id="rId618" display="https://rennamedia.com/wp-content/uploads/2025/02/LivingstonMonthlyMarch2025.pdf"/>
    <hyperlink ref="H620" r:id="rId619" display="https://rennamedia.com/wp-content/uploads/2025/03/LivingstonMonthlyApril2025.pdf"/>
    <hyperlink ref="H621" r:id="rId620" display="https://rennamedia.com/wp-content/uploads/2025/04/LivingstonMonthlyMay2025.pdf"/>
    <hyperlink ref="H622" r:id="rId621" display="https://rennamedia.com/wp-content/uploads/2025/05/LivingstonMonthlyJune2025.pdf"/>
    <hyperlink ref="H623" r:id="rId622" display="https://rennamedia.com/wp-content/uploads/2025/06/LivingstonMonthlyJuly2025.pdf"/>
    <hyperlink ref="H624" r:id="rId623" display="https://rennamedia.com/wp-content/uploads/2025/07/LivingstonMonthlyAugust2025.pdf"/>
    <hyperlink ref="H625" r:id="rId624" display="https://rennamedia.com/wp-content/uploads/2025/08/LivingstonMonthlySeptember2025.pdf"/>
    <hyperlink ref="H626" r:id="rId625" display="https://rennamedia.com/wp-content/uploads/2025/09/LivingstonMonthlyOctober2025.pdf"/>
    <hyperlink ref="H627" r:id="rId626" display="https://rennamedia.com/wp-content/uploads/2025/10/LivingstonMonthlyNovember2025.pdf"/>
    <hyperlink ref="H628" r:id="rId627" display="https://rennamedia.com/wp-content/uploads/2025/11/LivingstonMonthlyDecember2025.pdf"/>
    <hyperlink ref="H629" r:id="rId628" display="https://rennamedia.com/wp-content/uploads/2025/12/LivingstonMonthlyJanuary2026.pdf"/>
    <hyperlink ref="H630" r:id="rId629" display="https://rennamedia.com/wp-content/uploads/2026/01/LivingstonMonthlyFebruary2026.pdf"/>
    <hyperlink ref="H631" r:id="rId630" display="https://rennamedia.com/wp-content/uploads/2026/02/LivingstonMonthlyMarch2026.pdf"/>
    <hyperlink ref="H632" r:id="rId631" display="https://rennamedia.com/wp-content/uploads/2026/03/LivingstonMonthlyApril2026.pdf"/>
    <hyperlink ref="H633" r:id="rId632" display="https://rennamedia.com/wp-content/uploads/2026/04/LivingstonMonthlyMay2026.pdf"/>
    <hyperlink ref="H634" r:id="rId633" display="https://rennamedia.com/wp-content/uploads/2021/12/LongHillJanuary2022.pdf"/>
    <hyperlink ref="H635" r:id="rId634" display="https://rennamedia.com/wp-content/uploads/2022/01/LongHillFebruary2022.pdf"/>
    <hyperlink ref="H636" r:id="rId635" display="https://rennamedia.com/wp-content/uploads/2022/02/LongHillMarch2022.pdf"/>
    <hyperlink ref="H637" r:id="rId636" display="https://rennamedia.com/wp-content/uploads/2022/03/LongHillApril2022.pdf"/>
    <hyperlink ref="H638" r:id="rId637" display="https://rennamedia.com/wp-content/uploads/2022/04/LongHillMay2022.pdf"/>
    <hyperlink ref="H639" r:id="rId638" display="https://rennamedia.com/wp-content/uploads/2022/05/LongHillJune2022.pdf"/>
    <hyperlink ref="H640" r:id="rId639" display="https://rennamedia.com/wp-content/uploads/2022/06/LongHillJuly2022.pdf"/>
    <hyperlink ref="H641" r:id="rId640" display="https://rennamedia.com/wp-content/uploads/2022/07/LongHillAugust2022.pdf"/>
    <hyperlink ref="H642" r:id="rId641" display="https://rennamedia.com/wp-content/uploads/2022/09/LongHillSeptember2022.pdf"/>
    <hyperlink ref="H643" r:id="rId642" display="https://rennamedia.com/wp-content/uploads/2022/10/LongHillOctober2022.pdf"/>
    <hyperlink ref="H644" r:id="rId643" display="https://rennamedia.com/wp-content/uploads/2022/11/LongHillNovember2022.pdf"/>
    <hyperlink ref="H645" r:id="rId644" display="https://rennamedia.com/wp-content/uploads/2022/11/LongHillDecember2022.pdf"/>
    <hyperlink ref="H646" r:id="rId645" display="https://rennamedia.com/wp-content/uploads/2022/12/LongHillJanuary2023.pdf"/>
    <hyperlink ref="H647" r:id="rId646" display="https://rennamedia.com/wp-content/uploads/2023/01/LongHillFebruary2023.pdf"/>
    <hyperlink ref="H648" r:id="rId647" display="https://rennamedia.com/wp-content/uploads/2023/02/LongHillMarch2023.pdf"/>
    <hyperlink ref="H649" r:id="rId648" display="https://rennamedia.com/wp-content/uploads/2023/03/LongHillApril2023.pdf"/>
    <hyperlink ref="H650" r:id="rId649" display="https://rennamedia.com/wp-content/uploads/2023/04/LongHillMay2023.pdf"/>
    <hyperlink ref="H651" r:id="rId650" display="https://rennamedia.com/wp-content/uploads/2023/05/LongHillJune2023.pdf"/>
    <hyperlink ref="H652" r:id="rId651" display="https://rennamedia.com/wp-content/uploads/2023/06/LongHillJuly2023.pdf"/>
    <hyperlink ref="H653" r:id="rId652" display="https://rennamedia.com/wp-content/uploads/2023/07/LongHillAug2023.pdf"/>
    <hyperlink ref="H654" r:id="rId653" display="https://rennamedia.com/wp-content/uploads/2023/08/LongHillSep2023.pdf"/>
    <hyperlink ref="H655" r:id="rId654" display="https://rennamedia.com/wp-content/uploads/2023/09/LongHillOct2023.pdf"/>
    <hyperlink ref="H656" r:id="rId655" display="https://rennamedia.com/wp-content/uploads/2023/10/LongHillNov2023.pdf"/>
    <hyperlink ref="H657" r:id="rId656" display="https://rennamedia.com/wp-content/uploads/2023/11/LongHillDec2023.pdf"/>
    <hyperlink ref="H658" r:id="rId657" display="https://rennamedia.com/wp-content/uploads/2023/12/LongHillJan2024.pdf"/>
    <hyperlink ref="H659" r:id="rId658" display="https://rennamedia.com/wp-content/uploads/2024/01/LongHillFeb2024.pdf"/>
    <hyperlink ref="H660" r:id="rId659" display="https://rennamedia.com/wp-content/uploads/2024/02/LongHillMar2024.pdf"/>
    <hyperlink ref="H661" r:id="rId660" display="https://rennamedia.com/wp-content/uploads/2024/03/LongHillApr2024.pdf"/>
    <hyperlink ref="H662" r:id="rId661" display="https://rennamedia.com/wp-content/uploads/2024/04/LongHillMay2024.pdf"/>
    <hyperlink ref="H663" r:id="rId662" display="https://rennamedia.com/wp-content/uploads/2024/05/LongHillJune2024.pdf"/>
    <hyperlink ref="H664" r:id="rId663" display="https://rennamedia.com/wp-content/uploads/2024/06/LongHillJuly2024.pdf"/>
    <hyperlink ref="H665" r:id="rId664" display="https://rennamedia.com/wp-content/uploads/2024/07/LongHillAugust2024.pdf"/>
    <hyperlink ref="H666" r:id="rId665" display="https://rennamedia.com/wp-content/uploads/2024/08/LongHillSeptember2024.pdf"/>
    <hyperlink ref="H667" r:id="rId666" display="https://rennamedia.com/wp-content/uploads/2024/09/LongHillOctober2024.pdf"/>
    <hyperlink ref="H668" r:id="rId667" display="https://rennamedia.com/wp-content/uploads/2024/11/LongHillDecember2024.pdf"/>
    <hyperlink ref="H669" r:id="rId668" display="https://rennamedia.com/wp-content/uploads/2024/12/LongHillJanuary2025.pdf"/>
    <hyperlink ref="H670" r:id="rId669" display="https://rennamedia.com/wp-content/uploads/2025/02/LongHillFebruary2025.pdf"/>
    <hyperlink ref="H671" r:id="rId670" display="https://rennamedia.com/wp-content/uploads/2025/02/LongHillMarch2025.pdf"/>
    <hyperlink ref="H672" r:id="rId671" display="https://rennamedia.com/wp-content/uploads/2025/03/LongHillApril2025.pdf"/>
    <hyperlink ref="H673" r:id="rId672" display="https://rennamedia.com/wp-content/uploads/2025/04/LongHillMay2025.pdf"/>
    <hyperlink ref="H674" r:id="rId673" display="https://rennamedia.com/wp-content/uploads/2025/05/LongHillJune2025.pdf"/>
    <hyperlink ref="H675" r:id="rId674" display="https://rennamedia.com/wp-content/uploads/2025/06/LongHillJuly2025.pdf"/>
    <hyperlink ref="H676" r:id="rId675" display="https://rennamedia.com/wp-content/uploads/2025/07/LongHillAugust2025.pdf"/>
    <hyperlink ref="H677" r:id="rId676" display="https://rennamedia.com/wp-content/uploads/2025/08/LongHillSeptember2025.pdf"/>
    <hyperlink ref="H678" r:id="rId677" display="https://rennamedia.com/wp-content/uploads/2025/09/LongHillOctober2025.pdf"/>
    <hyperlink ref="H679" r:id="rId678" display="https://rennamedia.com/wp-content/uploads/2025/10/LongHillNovember2025.pdf"/>
    <hyperlink ref="H680" r:id="rId679" display="https://rennamedia.com/wp-content/uploads/2025/11/LongHillDecember2025.pdf"/>
    <hyperlink ref="H681" r:id="rId680" display="https://rennamedia.com/wp-content/uploads/2025/12/LongHillJanuary2026.pdf"/>
    <hyperlink ref="H682" r:id="rId681" display="https://rennamedia.com/wp-content/uploads/2026/01/LongHillFebruary2026.pdf"/>
    <hyperlink ref="H683" r:id="rId682" display="https://rennamedia.com/wp-content/uploads/2026/02/LongHillMarch2026.pdf"/>
    <hyperlink ref="H684" r:id="rId683" display="https://rennamedia.com/wp-content/uploads/2026/03/LongHillApril2026.pdf"/>
    <hyperlink ref="H685" r:id="rId684" display="https://rennamedia.com/wp-content/uploads/2026/04/LongHillMay2026.pdf"/>
    <hyperlink ref="H686" r:id="rId685" display="https://rennamedia.com/wp-content/uploads/2021/12/MadisonJanuary2022.pdf"/>
    <hyperlink ref="H687" r:id="rId686" display="https://rennamedia.com/wp-content/uploads/2022/01/MadisonFebruary2022.pdf"/>
    <hyperlink ref="H688" r:id="rId687" display="https://rennamedia.com/wp-content/uploads/2022/02/MadisonMarch2022.pdf"/>
    <hyperlink ref="H689" r:id="rId688" display="https://rennamedia.com/wp-content/uploads/2022/03/MadisonApril2022.pdf"/>
    <hyperlink ref="H690" r:id="rId689" display="https://rennamedia.com/wp-content/uploads/2022/04/MadisonMay2022.pdf"/>
    <hyperlink ref="H691" r:id="rId690" display="https://rennamedia.com/wp-content/uploads/2022/05/MadisonJune2022.pdf"/>
    <hyperlink ref="H692" r:id="rId691" display="https://rennamedia.com/wp-content/uploads/2022/06/MadisonJuly2022.pdf"/>
    <hyperlink ref="H693" r:id="rId692" display="https://rennamedia.com/wp-content/uploads/2022/07/MadisonAugust2022.pdf"/>
    <hyperlink ref="H694" r:id="rId693" display="https://rennamedia.com/wp-content/uploads/2022/09/MadisonSeptember2022.pdf"/>
    <hyperlink ref="H695" r:id="rId694" display="https://rennamedia.com/wp-content/uploads/2022/10/MadisonOctober2022.pdf"/>
    <hyperlink ref="H696" r:id="rId695" display="https://rennamedia.com/wp-content/uploads/2022/11/MadisonNovember2022.pdf"/>
    <hyperlink ref="H697" r:id="rId696" display="https://rennamedia.com/wp-content/uploads/2022/11/MadisonDecember2022.pdf"/>
    <hyperlink ref="H698" r:id="rId697" display="https://rennamedia.com/wp-content/uploads/2022/12/MadisonJanuary2023.pdf"/>
    <hyperlink ref="H699" r:id="rId698" display="https://rennamedia.com/wp-content/uploads/2023/01/MadisonFebruary2023.pdf"/>
    <hyperlink ref="H700" r:id="rId699" display="https://rennamedia.com/wp-content/uploads/2023/02/MadisonMarch2023.pdf"/>
    <hyperlink ref="H701" r:id="rId700" display="https://rennamedia.com/wp-content/uploads/2023/03/MadisonApril2023.pdf"/>
    <hyperlink ref="H702" r:id="rId701" display="https://rennamedia.com/wp-content/uploads/2023/04/MadisonMay2023.pdf"/>
    <hyperlink ref="H703" r:id="rId702" display="https://rennamedia.com/wp-content/uploads/2023/05/MadisonJune2023.pdf"/>
    <hyperlink ref="H704" r:id="rId703" display="https://rennamedia.com/wp-content/uploads/2023/06/MadisonJuly2023.pdf"/>
    <hyperlink ref="H705" r:id="rId704" display="https://rennamedia.com/wp-content/uploads/2023/07/MadisonAug2023.pdf"/>
    <hyperlink ref="H706" r:id="rId705" display="https://rennamedia.com/wp-content/uploads/2023/08/MadisonSep2023.pdf"/>
    <hyperlink ref="H707" r:id="rId706" display="https://rennamedia.com/wp-content/uploads/2023/09/MadisonOct2023.pdf"/>
    <hyperlink ref="H708" r:id="rId707" display="https://rennamedia.com/wp-content/uploads/2023/10/MadisonNov2023.pdf"/>
    <hyperlink ref="H709" r:id="rId708" display="https://rennamedia.com/wp-content/uploads/2023/11/MadisonDec2023.pdf"/>
    <hyperlink ref="H710" r:id="rId709" display="https://rennamedia.com/wp-content/uploads/2023/12/MadisonJan2024.pdf"/>
    <hyperlink ref="H711" r:id="rId710" display="https://rennamedia.com/wp-content/uploads/2024/01/MadisonFeb2024.pdf"/>
    <hyperlink ref="H712" r:id="rId711" display="https://rennamedia.com/wp-content/uploads/2024/02/MadisonMar2024.pdf"/>
    <hyperlink ref="H713" r:id="rId712" display="https://rennamedia.com/wp-content/uploads/2024/03/MadisonApr2024.pdf"/>
    <hyperlink ref="H714" r:id="rId713" display="https://rennamedia.com/wp-content/uploads/2024/04/MadisonMay2024.pdf"/>
    <hyperlink ref="H715" r:id="rId714" display="https://rennamedia.com/wp-content/uploads/2024/05/MadisonJune2024.pdf"/>
    <hyperlink ref="H716" r:id="rId715" display="https://rennamedia.com/wp-content/uploads/2024/06/MadisonJuly2024.pdf"/>
    <hyperlink ref="H717" r:id="rId716" display="https://rennamedia.com/wp-content/uploads/2024/07/MadisonAugust2024.pdf"/>
    <hyperlink ref="H718" r:id="rId717" display="https://rennamedia.com/wp-content/uploads/2024/08/MadisonSeptember2024.pdf"/>
    <hyperlink ref="H719" r:id="rId718" display="https://rennamedia.com/wp-content/uploads/2024/09/MadisonOctober2024.pdf"/>
    <hyperlink ref="H720" r:id="rId719" display="https://rennamedia.com/wp-content/uploads/2024/10/MadisonNovember2024.pdf"/>
    <hyperlink ref="H721" r:id="rId720" display="https://rennamedia.com/wp-content/uploads/2024/11/MadisonDecember2024.pdf"/>
    <hyperlink ref="H722" r:id="rId721" display="https://rennamedia.com/wp-content/uploads/2024/12/MadisonJanuary2025.pdf"/>
    <hyperlink ref="H723" r:id="rId722" display="https://rennamedia.com/wp-content/uploads/2025/02/MadisonFebruary2025.pdf"/>
    <hyperlink ref="H724" r:id="rId723" display="https://rennamedia.com/wp-content/uploads/2025/02/MadisonMarch2025.pdf"/>
    <hyperlink ref="H725" r:id="rId724" display="https://rennamedia.com/wp-content/uploads/2025/03/MadisonApril2025.pdf"/>
    <hyperlink ref="H726" r:id="rId725" display="https://rennamedia.com/wp-content/uploads/2025/04/MadisonMay2025.pdf"/>
    <hyperlink ref="H727" r:id="rId726" display="https://rennamedia.com/wp-content/uploads/2025/05/MadisonJune2025.pdf"/>
    <hyperlink ref="H728" r:id="rId727" display="https://rennamedia.com/wp-content/uploads/2025/06/MadisonJuly2025.pdf"/>
    <hyperlink ref="H729" r:id="rId728" display="https://rennamedia.com/wp-content/uploads/2025/07/MadisonAugust2025.pdf"/>
    <hyperlink ref="H730" r:id="rId729" display="https://rennamedia.com/wp-content/uploads/2025/08/MadisonSeptember2025.pdf"/>
    <hyperlink ref="H731" r:id="rId730" display="https://rennamedia.com/wp-content/uploads/2025/09/MadisonOctober2025.pdf"/>
    <hyperlink ref="H732" r:id="rId731" display="https://rennamedia.com/wp-content/uploads/2025/10/MadisonNovember2025.pdf"/>
    <hyperlink ref="H733" r:id="rId732" display="https://rennamedia.com/wp-content/uploads/2025/11/MadisonDecember2025.pdf"/>
    <hyperlink ref="H734" r:id="rId733" display="https://rennamedia.com/wp-content/uploads/2025/12/MadisonJanuary2026.pdf"/>
    <hyperlink ref="H735" r:id="rId734" display="https://rennamedia.com/wp-content/uploads/2026/01/MadisonFebruary2026.pdf"/>
    <hyperlink ref="H736" r:id="rId735" display="https://rennamedia.com/wp-content/uploads/2026/02/MadisonMarch2026.pdf"/>
    <hyperlink ref="H737" r:id="rId736" display="https://rennamedia.com/wp-content/uploads/2026/03/MadisonApril2026.pdf"/>
    <hyperlink ref="H738" r:id="rId737" display="https://rennamedia.com/wp-content/uploads/2026/04/MadisonMay2026.pdf"/>
    <hyperlink ref="H739" r:id="rId738" display="https://rennamedia.com/wp-content/uploads/2022/02/ShortHillsMillburnMarch2022.pdf"/>
    <hyperlink ref="H740" r:id="rId739" display="https://rennamedia.com/wp-content/uploads/2022/03/ShortHillsMillburnApril2022.pdf"/>
    <hyperlink ref="H741" r:id="rId740" display="https://rennamedia.com/wp-content/uploads/2022/04/MillburnShortHillsMay2022.pdf"/>
    <hyperlink ref="H742" r:id="rId741" display="https://rennamedia.com/wp-content/uploads/2022/05/MillburnShortHillsJune2022.pdf"/>
    <hyperlink ref="H743" r:id="rId742" display="https://rennamedia.com/wp-content/uploads/2022/06/MillburnShortHillsJuly2022.pdf"/>
    <hyperlink ref="H744" r:id="rId743" display="https://rennamedia.com/wp-content/uploads/2022/07/MillburnShortHillsAugust2022.pdf"/>
    <hyperlink ref="H745" r:id="rId744" display="https://rennamedia.com/wp-content/uploads/2022/09/MillburnShortHillsSeptember2022.pdf"/>
    <hyperlink ref="H746" r:id="rId745" display="https://rennamedia.com/wp-content/uploads/2022/10/MillburnShortHillsOctober2022.pdf"/>
    <hyperlink ref="H747" r:id="rId746" display="https://rennamedia.com/wp-content/uploads/2022/11/MillburnShortHillsNovember2022.pdf"/>
    <hyperlink ref="H748" r:id="rId747" display="https://rennamedia.com/wp-content/uploads/2022/11/MillburnShortHillsDecember2022.pdf"/>
    <hyperlink ref="H749" r:id="rId748" display="https://rennamedia.com/wp-content/uploads/2022/12/MillburnShortHillsJanuary2023.pdf"/>
    <hyperlink ref="H750" r:id="rId749" display="https://rennamedia.com/wp-content/uploads/2023/01/MillburnShortHillsFebruary2023.pdf"/>
    <hyperlink ref="H751" r:id="rId750" display="https://rennamedia.com/wp-content/uploads/2023/02/MillburnShortHillsMarch2023.pdf"/>
    <hyperlink ref="H752" r:id="rId751" display="https://rennamedia.com/wp-content/uploads/2023/03/MillburnShortHillsApril2023.pdf"/>
    <hyperlink ref="H753" r:id="rId752" display="https://rennamedia.com/wp-content/uploads/2023/04/MillburnShortHillsMay2023.pdf"/>
    <hyperlink ref="H754" r:id="rId753" display="https://rennamedia.com/wp-content/uploads/2023/05/MillburnShortHillsJune2023.pdf"/>
    <hyperlink ref="H755" r:id="rId754" display="https://rennamedia.com/wp-content/uploads/2023/06/MillburnShortHillsJuly2023.pdf"/>
    <hyperlink ref="H756" r:id="rId755" display="https://rennamedia.com/wp-content/uploads/2023/07/MillburnShortHillsAug2023.pdf"/>
    <hyperlink ref="H757" r:id="rId756" display="https://rennamedia.com/wp-content/uploads/2023/08/MillburnShortHillsSep2023.pdf"/>
    <hyperlink ref="H758" r:id="rId757" display="https://rennamedia.com/wp-content/uploads/2023/09/MillburnShortHillsOct2023.pdf"/>
    <hyperlink ref="H759" r:id="rId758" display="https://rennamedia.com/wp-content/uploads/2023/10/MillburnShortHillsNov2023.pdf"/>
    <hyperlink ref="H760" r:id="rId759" display="https://rennamedia.com/wp-content/uploads/2023/11/MillburnShortHillsDec2023.pdf"/>
    <hyperlink ref="H761" r:id="rId760" display="https://rennamedia.com/wp-content/uploads/2023/12/MillburnShortHillsJan2024.pdf"/>
    <hyperlink ref="H762" r:id="rId761" display="https://rennamedia.com/wp-content/uploads/2024/01/MillburnShortHillsFeb2024.pdf"/>
    <hyperlink ref="H763" r:id="rId762" display="https://rennamedia.com/wp-content/uploads/2024/02/MillburnShortHillsMar2024.pdf"/>
    <hyperlink ref="H764" r:id="rId763" display="https://rennamedia.com/wp-content/uploads/2024/03/MillburnShortHillsApr2024.pdf"/>
    <hyperlink ref="H765" r:id="rId764" display="https://rennamedia.com/wp-content/uploads/2024/04/MillburnShortHillsMay2024.pdf"/>
    <hyperlink ref="H766" r:id="rId765" display="https://rennamedia.com/wp-content/uploads/2024/05/MillburnShortHillsJune2024.pdf"/>
    <hyperlink ref="H767" r:id="rId766" display="https://rennamedia.com/wp-content/uploads/2024/06/MillburnShortHillsJuly2024.pdf"/>
    <hyperlink ref="H768" r:id="rId767" display="https://rennamedia.com/wp-content/uploads/2024/07/MillburnShortHillsAugust2024.pdf"/>
    <hyperlink ref="H769" r:id="rId768" display="https://rennamedia.com/wp-content/uploads/2024/08/MillburnShortHillsSeptember2024.pdf"/>
    <hyperlink ref="H770" r:id="rId769" display="https://rennamedia.com/wp-content/uploads/2024/09/MillburnShortHillsOctober2024.pdf"/>
    <hyperlink ref="H771" r:id="rId770" display="https://rennamedia.com/wp-content/uploads/2024/10/MillburnShortHillsNovember2024.pdf"/>
    <hyperlink ref="H772" r:id="rId771" display="https://rennamedia.com/wp-content/uploads/2024/11/MillburnShortHillsDecember2024.pdf"/>
    <hyperlink ref="H773" r:id="rId772" display="https://rennamedia.com/wp-content/uploads/2024/12/MillburnShortHillsJanuary2025.pdf"/>
    <hyperlink ref="H774" r:id="rId773" display="https://rennamedia.com/wp-content/uploads/2025/02/MillburnShortHillsFebruary2025.pdf"/>
    <hyperlink ref="H775" r:id="rId774" display="https://rennamedia.com/wp-content/uploads/2025/02/MillburnShortHillsMarch2025.pdf"/>
    <hyperlink ref="H776" r:id="rId775" display="https://rennamedia.com/wp-content/uploads/2025/03/MillburnShortHillsApril2025.pdf"/>
    <hyperlink ref="H777" r:id="rId776" display="https://rennamedia.com/wp-content/uploads/2025/04/MillburnShortHillsMay2025.pdf"/>
    <hyperlink ref="H778" r:id="rId777" display="https://rennamedia.com/wp-content/uploads/2025/05/MillburnShortHillsJune2025.pdf"/>
    <hyperlink ref="H779" r:id="rId778" display="https://rennamedia.com/wp-content/uploads/2025/06/MillburnShortHillsJuly2025.pdf"/>
    <hyperlink ref="H780" r:id="rId779" display="https://rennamedia.com/wp-content/uploads/2025/07/MillburnShortHillsAugust2025.pdf"/>
    <hyperlink ref="H781" r:id="rId780" display="https://rennamedia.com/wp-content/uploads/2025/08/MillburnShortHillsSeptember2025.pdf"/>
    <hyperlink ref="H782" r:id="rId781" display="https://rennamedia.com/wp-content/uploads/2025/09/MillburnShortHillsOctober2025.pdf"/>
    <hyperlink ref="H783" r:id="rId782" display="https://rennamedia.com/wp-content/uploads/2025/10/MillburnShortHillsNovember2025.pdf"/>
    <hyperlink ref="H784" r:id="rId783" display="https://rennamedia.com/wp-content/uploads/2025/11/MillburnShortHillsDecember2025.pdf"/>
    <hyperlink ref="H785" r:id="rId784" display="https://rennamedia.com/wp-content/uploads/2025/12/MillburnShortHillsJanuary2026.pdf"/>
    <hyperlink ref="H786" r:id="rId785" display="https://rennamedia.com/wp-content/uploads/2026/01/MillburnShortHillsFebruary2026.pdf"/>
    <hyperlink ref="H787" r:id="rId786" display="https://rennamedia.com/wp-content/uploads/2026/02/MillburnShortHillsMarch2026.pdf"/>
    <hyperlink ref="H788" r:id="rId787" display="https://rennamedia.com/wp-content/uploads/2026/03/MillburnShortHillsApril2026.pdf"/>
    <hyperlink ref="H789" r:id="rId788" display="https://rennamedia.com/wp-content/uploads/2026/04/MillburnShortHillsMay2026.pdf"/>
    <hyperlink ref="H790" r:id="rId789" display="https://rennamedia.com/wp-content/uploads/2021/12/MountainsideJanuary2022.pdf"/>
    <hyperlink ref="H791" r:id="rId790" display="https://rennamedia.com/wp-content/uploads/2022/01/MountainsideFebruary2022.pdf"/>
    <hyperlink ref="H792" r:id="rId791" display="https://rennamedia.com/wp-content/uploads/2022/02/MountainsideMarch2022.pdf"/>
    <hyperlink ref="H793" r:id="rId792" display="https://rennamedia.com/wp-content/uploads/2022/03/MountainsideApril2022.pdf"/>
    <hyperlink ref="H794" r:id="rId793" display="https://rennamedia.com/wp-content/uploads/2022/04/MountainsideMay2022.pdf"/>
    <hyperlink ref="H795" r:id="rId794" display="https://rennamedia.com/wp-content/uploads/2022/05/MountainsideJune2022.pdf"/>
    <hyperlink ref="H796" r:id="rId795" display="https://rennamedia.com/wp-content/uploads/2022/06/MountainsideJuly2022.pdf"/>
    <hyperlink ref="H797" r:id="rId796" display="https://rennamedia.com/wp-content/uploads/2022/07/MountainsideAugust2022.pdf"/>
    <hyperlink ref="H798" r:id="rId797" display="https://rennamedia.com/wp-content/uploads/2022/09/MountainsideSeptember2022.pdf"/>
    <hyperlink ref="H799" r:id="rId798" display="https://rennamedia.com/wp-content/uploads/2022/10/MountainsideOctober2022.pdf"/>
    <hyperlink ref="H800" r:id="rId799" display="https://rennamedia.com/wp-content/uploads/2022/11/MountainsideNovember2022.pdf"/>
    <hyperlink ref="H801" r:id="rId800" display="https://rennamedia.com/wp-content/uploads/2022/11/MountainsideDecember2022.pdf"/>
    <hyperlink ref="H802" r:id="rId801" display="https://rennamedia.com/wp-content/uploads/2022/12/MountainsideJanuary2023.pdf"/>
    <hyperlink ref="H803" r:id="rId802" display="https://rennamedia.com/wp-content/uploads/2023/01/MountainsideFebruary2023.pdf"/>
    <hyperlink ref="H804" r:id="rId803" display="https://rennamedia.com/wp-content/uploads/2023/02/MountainsideMarch2023.pdf"/>
    <hyperlink ref="H805" r:id="rId804" display="https://rennamedia.com/wp-content/uploads/2023/03/MountainsideApril2023.pdf"/>
    <hyperlink ref="H806" r:id="rId805" display="https://rennamedia.com/wp-content/uploads/2023/04/MountainsideMay2023.pdf"/>
    <hyperlink ref="H807" r:id="rId806" display="https://rennamedia.com/wp-content/uploads/2023/05/MountainsideJune2023.pdf"/>
    <hyperlink ref="H808" r:id="rId807" display="https://rennamedia.com/wp-content/uploads/2023/06/MountainsideJuly2023.pdf"/>
    <hyperlink ref="H809" r:id="rId808" display="https://rennamedia.com/wp-content/uploads/2023/07/MountainsideAug2023.pdf"/>
    <hyperlink ref="H810" r:id="rId809" display="https://rennamedia.com/wp-content/uploads/2023/08/MountainsideSep2023.pdf"/>
    <hyperlink ref="H811" r:id="rId810" display="https://rennamedia.com/wp-content/uploads/2023/09/MountainsideOct2023.pdf"/>
    <hyperlink ref="H812" r:id="rId811" display="https://rennamedia.com/wp-content/uploads/2023/10/MountainsideNov2023.pdf"/>
    <hyperlink ref="H813" r:id="rId812" display="https://rennamedia.com/wp-content/uploads/2023/11/MountainsideDec2023.pdf"/>
    <hyperlink ref="H814" r:id="rId813" display="https://rennamedia.com/wp-content/uploads/2023/12/MountainsideJan2024.pdf"/>
    <hyperlink ref="H815" r:id="rId814" display="https://rennamedia.com/wp-content/uploads/2024/01/MountainsideFeb2024.pdf"/>
    <hyperlink ref="H816" r:id="rId815" display="https://rennamedia.com/wp-content/uploads/2024/02/MountainsideMar2024.pdf"/>
    <hyperlink ref="H817" r:id="rId816" display="https://rennamedia.com/wp-content/uploads/2024/03/MountainsideApr2024.pdf"/>
    <hyperlink ref="H818" r:id="rId817" display="https://rennamedia.com/wp-content/uploads/2024/04/MountainsideMay2024.pdf"/>
    <hyperlink ref="H819" r:id="rId818" display="https://rennamedia.com/wp-content/uploads/2024/05/MountainsideJune2024.pdf"/>
    <hyperlink ref="H820" r:id="rId819" display="https://rennamedia.com/wp-content/uploads/2024/06/MountainsideJuly2024.pdf"/>
    <hyperlink ref="H821" r:id="rId820" display="https://rennamedia.com/wp-content/uploads/2024/07/MountainsideAugust2024.pdf"/>
    <hyperlink ref="H822" r:id="rId821" display="https://rennamedia.com/wp-content/uploads/2024/08/MountainsideSeptember2024.pdf"/>
    <hyperlink ref="H823" r:id="rId822" display="https://rennamedia.com/wp-content/uploads/2024/09/MountainsideOctober2024.pdf"/>
    <hyperlink ref="H824" r:id="rId823" display="https://rennamedia.com/wp-content/uploads/2024/10/MountainsideNovember2024.pdf"/>
    <hyperlink ref="H825" r:id="rId824" display="https://rennamedia.com/wp-content/uploads/2024/11/MountainsideDecember2024.pdf"/>
    <hyperlink ref="H826" r:id="rId825" display="https://rennamedia.com/wp-content/uploads/2025/01/MountainsideJanuary2025.pdf"/>
    <hyperlink ref="H827" r:id="rId826" display="https://rennamedia.com/wp-content/uploads/2025/02/MountainsideFebruary2025.pdf"/>
    <hyperlink ref="H828" r:id="rId827" display="https://rennamedia.com/wp-content/uploads/2025/02/MountainsideMarch2025.pdf"/>
    <hyperlink ref="H829" r:id="rId828" display="https://rennamedia.com/wp-content/uploads/2025/03/MountainsideApril2025.pdf"/>
    <hyperlink ref="H830" r:id="rId829" display="https://rennamedia.com/wp-content/uploads/2025/04/MountainsideMay2025.pdf"/>
    <hyperlink ref="H831" r:id="rId830" display="https://rennamedia.com/wp-content/uploads/2025/05/MountainsideJune2025.pdf"/>
    <hyperlink ref="H832" r:id="rId831" display="https://rennamedia.com/wp-content/uploads/2025/06/MountainsideJuly2025.pdf"/>
    <hyperlink ref="H833" r:id="rId832" display="https://rennamedia.com/wp-content/uploads/2025/07/MountainsideAugust2025.pdf"/>
    <hyperlink ref="H834" r:id="rId833" display="https://rennamedia.com/wp-content/uploads/2025/08/MountainsideSeptember2025.pdf"/>
    <hyperlink ref="H835" r:id="rId834" display="https://rennamedia.com/wp-content/uploads/2025/09/MountainsideOctober2025.pdf"/>
    <hyperlink ref="H836" r:id="rId835" display="https://rennamedia.com/wp-content/uploads/2025/10/MountainsideNovember2025.pdf"/>
    <hyperlink ref="H837" r:id="rId836" display="https://rennamedia.com/wp-content/uploads/2025/11/MountainsideDecember2025.pdf"/>
    <hyperlink ref="H838" r:id="rId837" display="https://rennamedia.com/wp-content/uploads/2025/12/MountainsideJanuary2026.pdf"/>
    <hyperlink ref="H839" r:id="rId838" display="https://rennamedia.com/wp-content/uploads/2026/01/MountainsideFebruary2026.pdf"/>
    <hyperlink ref="H840" r:id="rId839" display="https://rennamedia.com/wp-content/uploads/2026/02/MountainsideMarch2026.pdf"/>
    <hyperlink ref="H841" r:id="rId840" display="https://rennamedia.com/wp-content/uploads/2026/03/MountainsideApril2026.pdf"/>
    <hyperlink ref="H842" r:id="rId841" display="https://rennamedia.com/wp-content/uploads/2026/04/MountainsideMay2026.pdf"/>
    <hyperlink ref="H843" r:id="rId842" display="https://rennamedia.com/wp-content/uploads/2024/11/MorristownMonthlyDecember2024.pdf"/>
    <hyperlink ref="H844" r:id="rId843" display="https://rennamedia.com/wp-content/uploads/2024/12/MorristownMonthlyJanuary2025.pdf"/>
    <hyperlink ref="H845" r:id="rId844" display="https://rennamedia.com/wp-content/uploads/2025/02/MorristownMonthlyFebruary2025.pdf"/>
    <hyperlink ref="H846" r:id="rId845" display="https://rennamedia.com/wp-content/uploads/2025/02/MorristownMonthlyMarch2025.pdf"/>
    <hyperlink ref="H847" r:id="rId846" display="https://rennamedia.com/wp-content/uploads/2025/03/MorristownMonthlyApril2025.pdf"/>
    <hyperlink ref="H848" r:id="rId847" display="https://rennamedia.com/wp-content/uploads/2025/04/MorristownMonthlyMay2025.pdf"/>
    <hyperlink ref="H849" r:id="rId848" display="https://rennamedia.com/wp-content/uploads/2025/05/MorristownMonthlyJune2025.pdf"/>
    <hyperlink ref="H850" r:id="rId849" display="https://rennamedia.com/wp-content/uploads/2025/06/MorristownMonthlyJuly2025b.pdf"/>
    <hyperlink ref="H851" r:id="rId850" display="https://rennamedia.com/wp-content/uploads/2025/07/MorristownMonthlyAugust2025.pdf"/>
    <hyperlink ref="H852" r:id="rId851" display="https://rennamedia.com/wp-content/uploads/2025/08/MorristownMonthlySeptember2025.pdf"/>
    <hyperlink ref="H853" r:id="rId852" display="https://rennamedia.com/wp-content/uploads/2025/09/MorristownMonthlyOctober2025.pdf"/>
    <hyperlink ref="H854" r:id="rId853" display="https://rennamedia.com/wp-content/uploads/2025/10/MorristownMonthlyNovember2025.pdf"/>
    <hyperlink ref="H855" r:id="rId854" display="https://rennamedia.com/wp-content/uploads/2025/11/MorristownMonthlyDecember2025.pdf"/>
    <hyperlink ref="H856" r:id="rId855" display="https://rennamedia.com/wp-content/uploads/2025/12/MorristownMonthlyJanuary2026.pdf"/>
    <hyperlink ref="H857" r:id="rId856" display="https://rennamedia.com/wp-content/uploads/2026/01/MorristownMonthlyFebruary2026.pdf"/>
    <hyperlink ref="H858" r:id="rId857" display="https://rennamedia.com/wp-content/uploads/2026/02/MorristownMonthlyMarch2026.pdf"/>
    <hyperlink ref="H859" r:id="rId858" display="https://rennamedia.com/wp-content/uploads/2026/03/MorristownMonthlyApril2026.pdf"/>
    <hyperlink ref="H860" r:id="rId859" display="https://rennamedia.com/wp-content/uploads/2026/04/MorristownMonthlyMay2026.pdf"/>
    <hyperlink ref="H861" r:id="rId860" display="https://rennamedia.com/wp-content/uploads/2024/11/MorrisTownshipTimesDecember2024.pdf"/>
    <hyperlink ref="H862" r:id="rId861" display="https://rennamedia.com/wp-content/uploads/2024/12/MorrisTownshipTimesJanuary2025.pdf"/>
    <hyperlink ref="H863" r:id="rId862" display="https://rennamedia.com/wp-content/uploads/2025/02/MorrisTownshipTimesFebruary2025.pdf"/>
    <hyperlink ref="H864" r:id="rId863" display="https://rennamedia.com/wp-content/uploads/2025/02/MorrisTownshipTimesMarch2025.pdf"/>
    <hyperlink ref="H865" r:id="rId864" display="https://rennamedia.com/wp-content/uploads/2025/03/MorrisTownshipTimesApril2025.pdf"/>
    <hyperlink ref="H866" r:id="rId865" display="https://rennamedia.com/wp-content/uploads/2025/04/MorrisTownshipTimesMay2025.pdf"/>
    <hyperlink ref="H867" r:id="rId866" display="https://rennamedia.com/wp-content/uploads/2025/05/MorrisTownshipTimesJune2025.pdf"/>
    <hyperlink ref="H868" r:id="rId867" display="https://rennamedia.com/wp-content/uploads/2025/06/MorrisTownshipTimesJuly2025b.pdf"/>
    <hyperlink ref="H869" r:id="rId868" display="https://rennamedia.com/wp-content/uploads/2025/07/MorrisTownshipTimesAugust2025.pdf"/>
    <hyperlink ref="H870" r:id="rId869" display="https://rennamedia.com/wp-content/uploads/2025/08/MorrisTownshipTimesSeptember2025.pdf"/>
    <hyperlink ref="H871" r:id="rId870" display="https://rennamedia.com/wp-content/uploads/2025/09/MorrisTownshipTimesOctober2025.pdf"/>
    <hyperlink ref="H872" r:id="rId871" display="https://rennamedia.com/wp-content/uploads/2025/10/MorrisTownshipTimesNovember2025.pdf"/>
    <hyperlink ref="H873" r:id="rId872" display="https://rennamedia.com/wp-content/uploads/2025/11/MorrisTownshipTimesDecember2025.pdf"/>
    <hyperlink ref="H874" r:id="rId873" display="https://rennamedia.com/wp-content/uploads/2025/12/MorrisTownshipTimesJanuary2026.pdf"/>
    <hyperlink ref="H875" r:id="rId874" display="https://rennamedia.com/wp-content/uploads/2026/01/MorrisTownshipTimesFebruary2026.pdf"/>
    <hyperlink ref="H876" r:id="rId875" display="https://rennamedia.com/wp-content/uploads/2026/02/MorrisTownshipTimesMarch2026.pdf"/>
    <hyperlink ref="H877" r:id="rId876" display="https://rennamedia.com/wp-content/uploads/2026/03/MorrisTownshipTimesApril2026.pdf"/>
    <hyperlink ref="H878" r:id="rId877" display="https://rennamedia.com/wp-content/uploads/2026/04/MorrisTownshipTimesMay2026.pdf"/>
    <hyperlink ref="H879" r:id="rId878" display="https://rennamedia.com/wp-content/uploads/2021/12/NewProvidenceJanuary2022.pdf"/>
    <hyperlink ref="H880" r:id="rId879" display="https://rennamedia.com/wp-content/uploads/2022/01/NewProvidenceFebruary2022.pdf"/>
    <hyperlink ref="H881" r:id="rId880" display="https://rennamedia.com/wp-content/uploads/2022/02/NewProvidenceMarch2022.pdf"/>
    <hyperlink ref="H882" r:id="rId881" display="https://rennamedia.com/wp-content/uploads/2022/03/NewProvidenceApril2022.pdf"/>
    <hyperlink ref="H883" r:id="rId882" display="https://rennamedia.com/wp-content/uploads/2022/04/NewProvidenceMay2022.pdf"/>
    <hyperlink ref="H884" r:id="rId883" display="https://rennamedia.com/wp-content/uploads/2022/05/NewProvidenceJune2022.pdf"/>
    <hyperlink ref="H885" r:id="rId884" display="https://rennamedia.com/wp-content/uploads/2022/06/NewProvidenceJuly2022.pdf"/>
    <hyperlink ref="H886" r:id="rId885" display="https://rennamedia.com/wp-content/uploads/2022/07/NewProvidenceAugust2022.pdf"/>
    <hyperlink ref="H887" r:id="rId886" display="https://rennamedia.com/wp-content/uploads/2022/09/NewProvidenceSeptember2022.pdf"/>
    <hyperlink ref="H888" r:id="rId887" display="https://rennamedia.com/wp-content/uploads/2022/10/NewProvidenceOctober2022.pdf"/>
    <hyperlink ref="H889" r:id="rId888" display="https://rennamedia.com/wp-content/uploads/2022/11/NewProvidenceNovember2022.pdf"/>
    <hyperlink ref="H890" r:id="rId889" display="https://rennamedia.com/wp-content/uploads/2022/11/NewProvidenceDecember2022.pdf"/>
    <hyperlink ref="H891" r:id="rId890" display="https://rennamedia.com/wp-content/uploads/2022/12/NewProvidenceJanuary2023.pdf"/>
    <hyperlink ref="H892" r:id="rId891" display="https://rennamedia.com/wp-content/uploads/2023/01/NewProvidenceFebruary2023.pdf"/>
    <hyperlink ref="H893" r:id="rId892" display="https://rennamedia.com/wp-content/uploads/2023/02/NewProvidenceMarch2023.pdf"/>
    <hyperlink ref="H894" r:id="rId893" display="https://rennamedia.com/wp-content/uploads/2023/03/NewProvidenceApril2023.pdf"/>
    <hyperlink ref="H895" r:id="rId894" display="https://rennamedia.com/wp-content/uploads/2023/04/NewProvidenceMay2023.pdf"/>
    <hyperlink ref="H896" r:id="rId895" display="https://rennamedia.com/wp-content/uploads/2023/05/NewProvidenceJune2023.pdf"/>
    <hyperlink ref="H897" r:id="rId896" display="https://rennamedia.com/wp-content/uploads/2023/06/NewProvidenceJuly2023.pdf"/>
    <hyperlink ref="H898" r:id="rId897" display="https://rennamedia.com/wp-content/uploads/2023/07/NewProvidenceAug2023.pdf"/>
    <hyperlink ref="H899" r:id="rId898" display="https://rennamedia.com/wp-content/uploads/2023/08/NewProvidenceSep2023.pdf"/>
    <hyperlink ref="H900" r:id="rId899" display="https://rennamedia.com/wp-content/uploads/2023/10/NewProvidenceOct2023.pdf"/>
    <hyperlink ref="H901" r:id="rId900" display="https://rennamedia.com/wp-content/uploads/2023/10/NewProvidenceNov2023.pdf"/>
    <hyperlink ref="H902" r:id="rId901" display="https://rennamedia.com/wp-content/uploads/2023/11/NewProvidenceDec2023.pdf"/>
    <hyperlink ref="H903" r:id="rId902" display="https://rennamedia.com/wp-content/uploads/2023/12/NewProvidenceJan2024.pdf"/>
    <hyperlink ref="H904" r:id="rId903" display="https://rennamedia.com/wp-content/uploads/2024/01/NewProvidenceFeb2024.pdf"/>
    <hyperlink ref="H905" r:id="rId904" display="https://rennamedia.com/wp-content/uploads/2024/02/NewProvidenceMar2024.pdf"/>
    <hyperlink ref="H906" r:id="rId905" display="https://rennamedia.com/wp-content/uploads/2024/03/NewProvidenceApr2024.pdf"/>
    <hyperlink ref="H907" r:id="rId906" display="https://rennamedia.com/wp-content/uploads/2024/04/NewProvidenceMay2024.pdf"/>
    <hyperlink ref="H908" r:id="rId907" display="https://rennamedia.com/wp-content/uploads/2024/05/NewProvidenceJune2024.pdf"/>
    <hyperlink ref="H909" r:id="rId908" display="https://rennamedia.com/wp-content/uploads/2024/06/NewProvidenceJuly2024.pdf"/>
    <hyperlink ref="H910" r:id="rId909" display="https://rennamedia.com/wp-content/uploads/2024/07/NewProvidenceAugust2024.pdf"/>
    <hyperlink ref="H911" r:id="rId910" display="https://rennamedia.com/wp-content/uploads/2024/08/NewProvidenceSeptember2024.pdf"/>
    <hyperlink ref="H912" r:id="rId911" display="https://rennamedia.com/wp-content/uploads/2024/09/NewProvidenceOctober2024.pdf"/>
    <hyperlink ref="H913" r:id="rId912" display="https://rennamedia.com/wp-content/uploads/2024/10/NewProvidenceNovember2024.pdf"/>
    <hyperlink ref="H914" r:id="rId913" display="https://rennamedia.com/wp-content/uploads/2024/11/NewProvidenceDecember2024.pdf"/>
    <hyperlink ref="H915" r:id="rId914" display="https://rennamedia.com/wp-content/uploads/2024/12/NewProvidenceJanuary2025.pdf"/>
    <hyperlink ref="H916" r:id="rId915" display="https://rennamedia.com/wp-content/uploads/2025/02/NewProvidenceFebruary2025.pdf"/>
    <hyperlink ref="H917" r:id="rId916" display="https://rennamedia.com/wp-content/uploads/2025/02/NewProvidenceMarch2025.pdf"/>
    <hyperlink ref="H918" r:id="rId917" display="https://rennamedia.com/wp-content/uploads/2025/03/NewProvidenceApril2025.pdf"/>
    <hyperlink ref="H919" r:id="rId918" display="https://rennamedia.com/wp-content/uploads/2025/04/NewProvidenceMay2025.pdf"/>
    <hyperlink ref="H920" r:id="rId919" display="https://rennamedia.com/wp-content/uploads/2025/05/NewProvidenceJune2025.pdf"/>
    <hyperlink ref="H921" r:id="rId920" display="https://rennamedia.com/wp-content/uploads/2025/06/NewProvidenceJuly2025.pdf"/>
    <hyperlink ref="H922" r:id="rId921" display="https://rennamedia.com/wp-content/uploads/2025/07/NewProvidenceAugust2025.pdf"/>
    <hyperlink ref="H923" r:id="rId922" display="https://rennamedia.com/wp-content/uploads/2025/08/NewProvidenceSeptember2025.pdf"/>
    <hyperlink ref="H924" r:id="rId923" display="https://rennamedia.com/wp-content/uploads/2025/09/NewProvidenceOctober2025.pdf"/>
    <hyperlink ref="H925" r:id="rId924" display="https://rennamedia.com/wp-content/uploads/2025/10/NewProvidenceNovember2025.pdf"/>
    <hyperlink ref="H926" r:id="rId925" display="https://rennamedia.com/wp-content/uploads/2025/11/NewProvidenceDecember2025.pdf"/>
    <hyperlink ref="H927" r:id="rId926" display="https://rennamedia.com/wp-content/uploads/2025/12/NewProvidenceJanuary2026.pdf"/>
    <hyperlink ref="H928" r:id="rId927" display="https://rennamedia.com/wp-content/uploads/2026/01/NewProvidenceFebruary2026.pdf"/>
    <hyperlink ref="H929" r:id="rId928" display="https://rennamedia.com/wp-content/uploads/2026/02/NewProvidenceMarch2026.pdf"/>
    <hyperlink ref="H930" r:id="rId929" display="https://rennamedia.com/wp-content/uploads/2026/03/NewProvidenceApril2026.pdf"/>
    <hyperlink ref="H931" r:id="rId930" display="https://rennamedia.com/wp-content/uploads/2026/04/NewProvidenceMay2026.pdf"/>
    <hyperlink ref="H932" r:id="rId931" display="https://rennamedia.com/wp-content/uploads/2021/12/RahwayJanuary2022.pdf"/>
    <hyperlink ref="H933" r:id="rId932" display="https://rennamedia.com/wp-content/uploads/2022/01/RahwayFebruary2022.pdf"/>
    <hyperlink ref="H934" r:id="rId933" display="https://rennamedia.com/wp-content/uploads/2022/02/RahwayMarch2022.pdf"/>
    <hyperlink ref="H935" r:id="rId934" display="https://rennamedia.com/wp-content/uploads/2022/03/RahwayApril2022.pdf"/>
    <hyperlink ref="H936" r:id="rId935" display="https://rennamedia.com/wp-content/uploads/2022/04/RahwayMay2022.pdf"/>
    <hyperlink ref="H937" r:id="rId936" display="https://rennamedia.com/wp-content/uploads/2022/05/RahwayJune2022.pdf"/>
    <hyperlink ref="H938" r:id="rId937" display="https://rennamedia.com/wp-content/uploads/2022/06/RahwayJuly2022.pdf"/>
    <hyperlink ref="H939" r:id="rId938" display="https://rennamedia.com/wp-content/uploads/2022/07/RahwayAugust2022.pdf"/>
    <hyperlink ref="H940" r:id="rId939" display="https://rennamedia.com/wp-content/uploads/2022/09/RahwaySeptember2022.pdf"/>
    <hyperlink ref="H941" r:id="rId940" display="https://rennamedia.com/wp-content/uploads/2022/10/RahwayOctober2022.pdf"/>
    <hyperlink ref="H942" r:id="rId941" display="https://rennamedia.com/wp-content/uploads/2022/11/RahwayNovember2022.pdf"/>
    <hyperlink ref="H943" r:id="rId942" display="https://rennamedia.com/wp-content/uploads/2022/11/RahwayDecember2022.pdf"/>
    <hyperlink ref="H944" r:id="rId943" display="https://rennamedia.com/wp-content/uploads/2022/12/RahwayJanuary2023.pdf"/>
    <hyperlink ref="H945" r:id="rId944" display="https://rennamedia.com/wp-content/uploads/2023/01/RahwayFebruary2023.pdf"/>
    <hyperlink ref="H946" r:id="rId945" display="https://rennamedia.com/wp-content/uploads/2023/02/RahwayMarch2023.pdf"/>
    <hyperlink ref="H947" r:id="rId946" display="https://rennamedia.com/wp-content/uploads/2023/03/RahwayApril2023.pdf"/>
    <hyperlink ref="H948" r:id="rId947" display="https://rennamedia.com/wp-content/uploads/2023/04/RahwayMay2023.pdf"/>
    <hyperlink ref="H949" r:id="rId948" display="https://rennamedia.com/wp-content/uploads/2023/05/RahwayJune2023.pdf"/>
    <hyperlink ref="H950" r:id="rId949" display="https://rennamedia.com/wp-content/uploads/2023/06/RahwayJuly2023.pdf"/>
    <hyperlink ref="H951" r:id="rId950" display="https://rennamedia.com/wp-content/uploads/2023/07/RahwayAug2023.pdf"/>
    <hyperlink ref="H952" r:id="rId951" display="https://rennamedia.com/wp-content/uploads/2023/08/RahwaySep2023.pdf"/>
    <hyperlink ref="H953" r:id="rId952" display="https://rennamedia.com/wp-content/uploads/2023/09/RahwayOct2023.pdf"/>
    <hyperlink ref="H954" r:id="rId953" display="https://rennamedia.com/wp-content/uploads/2023/10/RahwayNov2023.pdf"/>
    <hyperlink ref="H955" r:id="rId954" display="https://rennamedia.com/wp-content/uploads/2023/11/RahwayDec2023.pdf"/>
    <hyperlink ref="H956" r:id="rId955" display="https://rennamedia.com/wp-content/uploads/2023/12/RahwayJan2024.pdf"/>
    <hyperlink ref="H957" r:id="rId956" display="https://rennamedia.com/wp-content/uploads/2024/02/RahwayFeb2024.pdf"/>
    <hyperlink ref="H958" r:id="rId957" display="https://rennamedia.com/wp-content/uploads/2024/02/RahwayMar2024.pdf"/>
    <hyperlink ref="H959" r:id="rId958" display="https://rennamedia.com/wp-content/uploads/2024/03/RahwayApr2024.pdf"/>
    <hyperlink ref="H960" r:id="rId959" display="https://rennamedia.com/wp-content/uploads/2024/04/RahwayMay2024.pdf"/>
    <hyperlink ref="H961" r:id="rId960" display="https://rennamedia.com/wp-content/uploads/2024/05/RahwayJune2024.pdf"/>
    <hyperlink ref="H962" r:id="rId961" display="https://rennamedia.com/wp-content/uploads/2024/06/RahwayJuly2024.pdf"/>
    <hyperlink ref="H963" r:id="rId962" display="https://rennamedia.com/wp-content/uploads/2024/07/RahwayAugust2024.pdf"/>
    <hyperlink ref="H964" r:id="rId963" display="https://rennamedia.com/wp-content/uploads/2024/08/RahwaySeptember2024.pdf"/>
    <hyperlink ref="H965" r:id="rId964" display="https://rennamedia.com/wp-content/uploads/2024/09/RahwayOctober2024.pdf"/>
    <hyperlink ref="H966" r:id="rId965" display="https://rennamedia.com/wp-content/uploads/2024/10/RahwayNovember2024.pdf"/>
    <hyperlink ref="H967" r:id="rId966" display="https://rennamedia.com/wp-content/uploads/2024/11/RahwayDecember2024.pdf"/>
    <hyperlink ref="H968" r:id="rId967" display="https://rennamedia.com/wp-content/uploads/2024/12/RahwayJanuary2025.pdf"/>
    <hyperlink ref="H969" r:id="rId968" display="https://rennamedia.com/wp-content/uploads/2025/02/RahwayFebruary2025.pdf"/>
    <hyperlink ref="H970" r:id="rId969" display="https://rennamedia.com/wp-content/uploads/2025/02/RahwayMarch2025.pdf"/>
    <hyperlink ref="H971" r:id="rId970" display="https://rennamedia.com/wp-content/uploads/2025/03/RahwayApril202.pdf"/>
    <hyperlink ref="H972" r:id="rId971" display="https://rennamedia.com/wp-content/uploads/2025/04/RahwayMay2025.pdf"/>
    <hyperlink ref="H973" r:id="rId972" display="https://rennamedia.com/wp-content/uploads/2025/05/RahwayJune2025.pdf"/>
    <hyperlink ref="H974" r:id="rId973" display="https://rennamedia.com/wp-content/uploads/2025/06/RahwayJuly2025.pdf"/>
    <hyperlink ref="H975" r:id="rId974" display="https://rennamedia.com/wp-content/uploads/2025/07/RahwayAugust2025.pdf"/>
    <hyperlink ref="H976" r:id="rId975" display="https://rennamedia.com/wp-content/uploads/2025/08/RahwaySeptember2025.pdf"/>
    <hyperlink ref="H977" r:id="rId976" display="https://rennamedia.com/wp-content/uploads/2025/09/RahwayOctober2025.pdf"/>
    <hyperlink ref="H978" r:id="rId977" display="https://rennamedia.com/wp-content/uploads/2025/10/RahwayNovember2025.pdf"/>
    <hyperlink ref="H979" r:id="rId978" display="https://rennamedia.com/wp-content/uploads/2025/11/RahwayDecember2025.pdf"/>
    <hyperlink ref="H980" r:id="rId979" display="https://rennamedia.com/wp-content/uploads/2025/12/RahwayJanuary2026.pdf"/>
    <hyperlink ref="H981" r:id="rId980" display="https://rennamedia.com/wp-content/uploads/2026/01/RahwayFebruary2026.pdf"/>
    <hyperlink ref="H982" r:id="rId981" display="https://rennamedia.com/wp-content/uploads/2026/02/RahwayMarch2026.pdf"/>
    <hyperlink ref="H983" r:id="rId982" display="https://rennamedia.com/wp-content/uploads/2026/03/RahwayApril2026.pdf"/>
    <hyperlink ref="H984" r:id="rId983" display="https://rennamedia.com/wp-content/uploads/2026/04/RahwayMay2026.pdf"/>
    <hyperlink ref="H985" r:id="rId984" display="https://rennamedia.com/wp-content/uploads/2024/11/LifeInRoselandDecember2024.pdf"/>
    <hyperlink ref="H986" r:id="rId985" display="https://rennamedia.com/wp-content/uploads/2024/12/LifeInRoselandJanuary2025.pdf"/>
    <hyperlink ref="H987" r:id="rId986" display="https://rennamedia.com/wp-content/uploads/2025/02/LifeInRoselandFebruary2025.pdf"/>
    <hyperlink ref="H988" r:id="rId987" display="https://rennamedia.com/wp-content/uploads/2025/02/LifeInRoselandMarch2025.pdf"/>
    <hyperlink ref="H989" r:id="rId988" display="https://rennamedia.com/wp-content/uploads/2025/03/LifeInRoselandApril2025.pdf"/>
    <hyperlink ref="H990" r:id="rId989" display="https://rennamedia.com/wp-content/uploads/2025/04/LifeInRoselandMay2025.pdf"/>
    <hyperlink ref="H991" r:id="rId990" display="https://rennamedia.com/wp-content/uploads/2025/05/LifeInRoselandJune2025.pdf"/>
    <hyperlink ref="H992" r:id="rId991" display="https://rennamedia.com/wp-content/uploads/2025/06/LifeInRoselandJuly2025.pdf"/>
    <hyperlink ref="H993" r:id="rId992" display="https://rennamedia.com/wp-content/uploads/2025/07/LifeInRoselandAugust2025.pdf"/>
    <hyperlink ref="H994" r:id="rId993" display="https://rennamedia.com/wp-content/uploads/2025/08/LifeInRoselandSeptember2025.pdf"/>
    <hyperlink ref="H995" r:id="rId994" display="https://rennamedia.com/wp-content/uploads/2025/09/LifeInRoselandOctober2025.pdf"/>
    <hyperlink ref="H996" r:id="rId995" display="https://rennamedia.com/wp-content/uploads/2025/10/LifeInRoselandNovember2025.pdf"/>
    <hyperlink ref="H997" r:id="rId996" display="https://rennamedia.com/wp-content/uploads/2025/11/LifeInRoselandDecember2025.pdf"/>
    <hyperlink ref="H998" r:id="rId997" display="https://rennamedia.com/wp-content/uploads/2025/12/LifeInRoselandJanuary2026.pdf"/>
    <hyperlink ref="H999" r:id="rId998" display="https://rennamedia.com/wp-content/uploads/2026/01/LifeInRoselandFebruary2026.pdf"/>
    <hyperlink ref="H1000" r:id="rId999" display="https://rennamedia.com/wp-content/uploads/2026/02/LifeInRoselandMarch2026.pdf"/>
    <hyperlink ref="H1001" r:id="rId1000" display="https://rennamedia.com/wp-content/uploads/2026/03/LifeInRoselandApril2026.pdf"/>
    <hyperlink ref="H1002" r:id="rId1001" display="https://rennamedia.com/wp-content/uploads/2026/04/LifeInRoselandMay2026.pdf"/>
    <hyperlink ref="H1003" r:id="rId1002" display="https://rennamedia.com/wp-content/uploads/2021/12/RoselleParkJanuary2022.pdf"/>
    <hyperlink ref="H1004" r:id="rId1003" display="https://rennamedia.com/wp-content/uploads/2022/01/RoselleParkFebruary2022.pdf"/>
    <hyperlink ref="H1005" r:id="rId1004" display="https://rennamedia.com/wp-content/uploads/2022/02/RoselleParkMarch2022.pdf"/>
    <hyperlink ref="H1006" r:id="rId1005" display="https://rennamedia.com/wp-content/uploads/2022/03/RoselleParkApril2022.pdf"/>
    <hyperlink ref="H1007" r:id="rId1006" display="https://rennamedia.com/wp-content/uploads/2022/04/RoselleParkMay2022.pdf"/>
    <hyperlink ref="H1008" r:id="rId1007" display="https://rennamedia.com/wp-content/uploads/2022/05/RoselleParkJune2022.pdf"/>
    <hyperlink ref="H1009" r:id="rId1008" display="https://rennamedia.com/wp-content/uploads/2022/06/RoselleParkJuly2022.pdf"/>
    <hyperlink ref="H1010" r:id="rId1009" display="https://rennamedia.com/wp-content/uploads/2022/07/RoselleParkAugust2022.pdf"/>
    <hyperlink ref="H1011" r:id="rId1010" display="https://rennamedia.com/wp-content/uploads/2022/09/RoselleParkSeptember2022.pdf"/>
    <hyperlink ref="H1012" r:id="rId1011" display="https://rennamedia.com/wp-content/uploads/2022/10/RoselleParkOctober2022.pdf"/>
    <hyperlink ref="H1013" r:id="rId1012" display="https://rennamedia.com/wp-content/uploads/2022/11/RoselleParkNovember2022.pdf"/>
    <hyperlink ref="H1014" r:id="rId1013" display="https://rennamedia.com/wp-content/uploads/2022/11/RoselleParkDecember2022.pdf"/>
    <hyperlink ref="H1015" r:id="rId1014" display="https://rennamedia.com/wp-content/uploads/2022/12/RoselleParkJanuary2023.pdf"/>
    <hyperlink ref="H1016" r:id="rId1015" display="https://rennamedia.com/wp-content/uploads/2023/01/RoselleParkFebruary2023.pdf"/>
    <hyperlink ref="H1017" r:id="rId1016" display="https://rennamedia.com/wp-content/uploads/2023/02/RoselleParkMarch2023.pdf"/>
    <hyperlink ref="H1018" r:id="rId1017" display="https://rennamedia.com/wp-content/uploads/2023/03/RoselleParkApril2023.pdf"/>
    <hyperlink ref="H1019" r:id="rId1018" display="https://rennamedia.com/wp-content/uploads/2023/04/RoselleParkMay2023.pdf"/>
    <hyperlink ref="H1020" r:id="rId1019" display="https://rennamedia.com/wp-content/uploads/2023/05/RoselleParkJune2023.pdf"/>
    <hyperlink ref="H1021" r:id="rId1020" display="https://rennamedia.com/wp-content/uploads/2023/06/RoselleParkJuly2023.pdf"/>
    <hyperlink ref="H1022" r:id="rId1021" display="https://rennamedia.com/wp-content/uploads/2023/07/RoselleParkAug2023.pdf"/>
    <hyperlink ref="H1023" r:id="rId1022" display="https://rennamedia.com/wp-content/uploads/2023/08/RoselleParkSep2023.pdf"/>
    <hyperlink ref="H1024" r:id="rId1023" display="https://rennamedia.com/wp-content/uploads/2023/09/RoselleParkOct2023.pdf"/>
    <hyperlink ref="H1025" r:id="rId1024" display="https://rennamedia.com/wp-content/uploads/2023/10/RoselleParkNov2023.pdf"/>
    <hyperlink ref="H1026" r:id="rId1025" display="https://rennamedia.com/wp-content/uploads/2023/11/RoselleParkDec2023.pdf"/>
    <hyperlink ref="H1027" r:id="rId1026" display="https://rennamedia.com/wp-content/uploads/2023/12/RoselleParkJan2024.pdf"/>
    <hyperlink ref="H1028" r:id="rId1027" display="https://rennamedia.com/wp-content/uploads/2024/01/RoselleParkFeb2024.pdf"/>
    <hyperlink ref="H1029" r:id="rId1028" display="https://rennamedia.com/wp-content/uploads/2024/02/RoselleParkMar2024.pdf"/>
    <hyperlink ref="H1030" r:id="rId1029" display="https://rennamedia.com/wp-content/uploads/2024/03/RoselleParkApr2024.pdf"/>
    <hyperlink ref="H1031" r:id="rId1030" display="https://rennamedia.com/wp-content/uploads/2024/04/RoselleParkMay2024.pdf"/>
    <hyperlink ref="H1032" r:id="rId1031" display="https://rennamedia.com/wp-content/uploads/2024/05/RoselleParkJune2024.pdf"/>
    <hyperlink ref="H1033" r:id="rId1032" display="https://rennamedia.com/wp-content/uploads/2024/06/RoselleParkJuly2024.pdf"/>
    <hyperlink ref="H1034" r:id="rId1033" display="https://rennamedia.com/wp-content/uploads/2024/07/RoselleParkAugust2024.pdf"/>
    <hyperlink ref="H1035" r:id="rId1034" display="https://rennamedia.com/wp-content/uploads/2024/08/RoselleParkSeptember2024.pdf"/>
    <hyperlink ref="H1036" r:id="rId1035" display="https://rennamedia.com/wp-content/uploads/2024/09/RoselleParkOctober2024.pdf"/>
    <hyperlink ref="H1037" r:id="rId1036" display="https://rennamedia.com/wp-content/uploads/2024/10/RoselleParkNovember2024.pdf"/>
    <hyperlink ref="H1038" r:id="rId1037" display="https://rennamedia.com/wp-content/uploads/2024/11/RoselleParkDecember2024.pdf"/>
    <hyperlink ref="H1039" r:id="rId1038" display="https://rennamedia.com/wp-content/uploads/2024/12/RoselleParkJanuary2025.pdf"/>
    <hyperlink ref="H1040" r:id="rId1039" display="https://rennamedia.com/wp-content/uploads/2025/02/RoselleParkFebruary2025.pdf"/>
    <hyperlink ref="H1041" r:id="rId1040" display="https://rennamedia.com/wp-content/uploads/2025/02/RoselleParkMarch2025.pdf"/>
    <hyperlink ref="H1042" r:id="rId1041" display="https://rennamedia.com/wp-content/uploads/2025/03/RoselleParkApril2025.pdf"/>
    <hyperlink ref="H1043" r:id="rId1042" display="https://rennamedia.com/wp-content/uploads/2025/04/RoselleParkMay2025.pdf"/>
    <hyperlink ref="H1044" r:id="rId1043" display="https://rennamedia.com/wp-content/uploads/2025/05/RoselleParkJune2025.pdf"/>
    <hyperlink ref="H1045" r:id="rId1044" display="https://rennamedia.com/wp-content/uploads/2025/06/RoselleParkJuly2025.pdf"/>
    <hyperlink ref="H1046" r:id="rId1045" display="https://rennamedia.com/wp-content/uploads/2025/07/RoselleParkAugust2025.pdf"/>
    <hyperlink ref="H1047" r:id="rId1046" display="https://rennamedia.com/wp-content/uploads/2025/08/RoselleParkSeptember2025.pdf"/>
    <hyperlink ref="H1048" r:id="rId1047" display="https://rennamedia.com/wp-content/uploads/2025/09/RoselleParkOctober2025.pdf"/>
    <hyperlink ref="H1049" r:id="rId1048" display="https://rennamedia.com/wp-content/uploads/2025/10/RoselleParkNovember2025.pdf"/>
    <hyperlink ref="H1050" r:id="rId1049" display="https://rennamedia.com/wp-content/uploads/2025/11/RoselleParkDecember2025.pdf"/>
    <hyperlink ref="H1051" r:id="rId1050" display="https://rennamedia.com/wp-content/uploads/2025/12/RoselleParkJanuary2026.pdf"/>
    <hyperlink ref="H1052" r:id="rId1051" display="https://rennamedia.com/wp-content/uploads/2026/01/RoselleParkFebruary2026.pdf"/>
    <hyperlink ref="H1053" r:id="rId1052" display="https://rennamedia.com/wp-content/uploads/2026/02/RoselleParkMarch2026.pdf"/>
    <hyperlink ref="H1054" r:id="rId1053" display="https://rennamedia.com/wp-content/uploads/2026/03/RoselleParkApril2026.pdf"/>
    <hyperlink ref="H1055" r:id="rId1054" display="https://rennamedia.com/wp-content/uploads/2026/04/RoselleParkMay2026.pdf"/>
    <hyperlink ref="H1056" r:id="rId1055" display="https://rennamedia.com/wp-content/uploads/2021/12/ScotchPlainsJanuary2022.pdf"/>
    <hyperlink ref="H1057" r:id="rId1056" display="https://rennamedia.com/wp-content/uploads/2022/01/ScotchPlainsFebruary2022.pdf"/>
    <hyperlink ref="H1058" r:id="rId1057" display="https://rennamedia.com/wp-content/uploads/2022/02/ScotchPlainsMarch2022.pdf"/>
    <hyperlink ref="H1059" r:id="rId1058" display="https://rennamedia.com/wp-content/uploads/2022/03/ScotchPlainsApril2022.pdf"/>
    <hyperlink ref="H1060" r:id="rId1059" display="https://rennamedia.com/wp-content/uploads/2022/04/ScotchPlainsMay2022.pdf"/>
    <hyperlink ref="H1061" r:id="rId1060" display="https://rennamedia.com/wp-content/uploads/2022/05/ScotchPlainsJune2022.pdf"/>
    <hyperlink ref="H1062" r:id="rId1061" display="https://rennamedia.com/wp-content/uploads/2022/06/ScotchPlainsJuly2022.pdf"/>
    <hyperlink ref="H1063" r:id="rId1062" display="https://rennamedia.com/wp-content/uploads/2022/07/ScotchPlainsAugust2022.pdf"/>
    <hyperlink ref="H1064" r:id="rId1063" display="https://rennamedia.com/wp-content/uploads/2022/09/ScotchPlainsSeptember2022.pdf"/>
    <hyperlink ref="H1065" r:id="rId1064" display="https://rennamedia.com/wp-content/uploads/2022/10/ScotchPlainsOctober2022.pdf"/>
    <hyperlink ref="H1066" r:id="rId1065" display="https://rennamedia.com/wp-content/uploads/2022/11/ScotchPlainsNovember2022.pdf"/>
    <hyperlink ref="H1067" r:id="rId1066" display="https://rennamedia.com/wp-content/uploads/2022/11/ScotchPlainsDecember2022.pdf"/>
    <hyperlink ref="H1068" r:id="rId1067" display="https://rennamedia.com/wp-content/uploads/2022/12/ScotchPlainsJanuary2023.pdf"/>
    <hyperlink ref="H1069" r:id="rId1068" display="https://rennamedia.com/wp-content/uploads/2023/01/ScotchPlainsFebruary2023.pdf"/>
    <hyperlink ref="H1070" r:id="rId1069" display="https://rennamedia.com/wp-content/uploads/2023/02/ScotchPlainsMarch2023.pdf"/>
    <hyperlink ref="H1071" r:id="rId1070" display="https://rennamedia.com/wp-content/uploads/2023/03/ScotchPlainsApril2023.pdf"/>
    <hyperlink ref="H1072" r:id="rId1071" display="https://rennamedia.com/wp-content/uploads/2023/04/ScotchPlainsMay2023.pdf"/>
    <hyperlink ref="H1073" r:id="rId1072" display="https://rennamedia.com/wp-content/uploads/2023/05/ScotchPlainsJune2023.pdf"/>
    <hyperlink ref="H1074" r:id="rId1073" display="https://rennamedia.com/wp-content/uploads/2023/06/ScotchPlainsJuly2023.pdf"/>
    <hyperlink ref="H1075" r:id="rId1074" display="https://rennamedia.com/wp-content/uploads/2023/07/ScotchPlainsAug2023.pdf"/>
    <hyperlink ref="H1076" r:id="rId1075" display="https://rennamedia.com/wp-content/uploads/2023/08/ScotchPlainsSep2023.pdf"/>
    <hyperlink ref="H1077" r:id="rId1076" display="https://rennamedia.com/wp-content/uploads/2023/09/ScotchPlainsOct2023.pdf"/>
    <hyperlink ref="H1078" r:id="rId1077" display="https://rennamedia.com/wp-content/uploads/2023/10/ScotchPlainsNov2023.pdf"/>
    <hyperlink ref="H1079" r:id="rId1078" display="https://rennamedia.com/wp-content/uploads/2023/11/ScotchPlainsDec2023.pdf"/>
    <hyperlink ref="H1080" r:id="rId1079" display="https://rennamedia.com/wp-content/uploads/2023/12/ScotchPlainsJan2024.pdf"/>
    <hyperlink ref="H1081" r:id="rId1080" display="https://rennamedia.com/wp-content/uploads/2024/01/ScotchPlainsFeb2024.pdf"/>
    <hyperlink ref="H1082" r:id="rId1081" display="https://rennamedia.com/wp-content/uploads/2024/02/ScotchPlainsMar2024.pdf"/>
    <hyperlink ref="H1083" r:id="rId1082" display="https://rennamedia.com/wp-content/uploads/2024/03/ScotchPlainsApr2024.pdf"/>
    <hyperlink ref="H1084" r:id="rId1083" display="https://rennamedia.com/wp-content/uploads/2024/04/ScotchPlainsMay2024.pdf"/>
    <hyperlink ref="H1085" r:id="rId1084" display="https://rennamedia.com/wp-content/uploads/2024/05/ScotchPlainsJune2024.pdf"/>
    <hyperlink ref="H1086" r:id="rId1085" display="https://rennamedia.com/wp-content/uploads/2024/06/ScotchPlainsJuly2024.pdf"/>
    <hyperlink ref="H1087" r:id="rId1086" display="https://rennamedia.com/wp-content/uploads/2024/07/ScotchPlainsAugust2024.pdf"/>
    <hyperlink ref="H1088" r:id="rId1087" display="https://rennamedia.com/wp-content/uploads/2024/08/ScotchPlainsSeptember2024.pdf"/>
    <hyperlink ref="H1089" r:id="rId1088" display="https://rennamedia.com/wp-content/uploads/2024/10/ScotchPlainsOctober2024x.pdf"/>
    <hyperlink ref="H1090" r:id="rId1089" display="https://rennamedia.com/wp-content/uploads/2024/10/ScotchPlainsNovember2024.pdf"/>
    <hyperlink ref="H1091" r:id="rId1090" display="https://rennamedia.com/wp-content/uploads/2024/11/ScotchPlainsDecember2024.pdf"/>
    <hyperlink ref="H1092" r:id="rId1091" display="https://rennamedia.com/wp-content/uploads/2024/12/ScotchPlainsJanuary2025.pdf"/>
    <hyperlink ref="H1093" r:id="rId1092" display="https://rennamedia.com/wp-content/uploads/2025/02/ScotchPlainsFebruary2025.pdf"/>
    <hyperlink ref="H1094" r:id="rId1093" display="https://rennamedia.com/wp-content/uploads/2025/02/ScotchPlainsMarch2025.pdf"/>
    <hyperlink ref="H1095" r:id="rId1094" display="https://rennamedia.com/wp-content/uploads/2025/03/ScotchPlainsApril2025.pdf"/>
    <hyperlink ref="H1096" r:id="rId1095" display="https://rennamedia.com/wp-content/uploads/2025/04/ScotchPlainsMay2025.pdf"/>
    <hyperlink ref="H1097" r:id="rId1096" display="https://rennamedia.com/wp-content/uploads/2025/05/ScotchPlainsJune2025.pdf"/>
    <hyperlink ref="H1098" r:id="rId1097" display="https://rennamedia.com/wp-content/uploads/2025/06/ScotchPlainsJuly2025.pdf"/>
    <hyperlink ref="H1099" r:id="rId1098" display="https://rennamedia.com/wp-content/uploads/2025/07/ScotchPlainsAugust2025.pdf"/>
    <hyperlink ref="H1100" r:id="rId1099" display="https://rennamedia.com/wp-content/uploads/2025/08/ScotchPlainsSeptember2025.pdf"/>
    <hyperlink ref="H1101" r:id="rId1100" display="https://rennamedia.com/wp-content/uploads/2025/09/ScotchPlainsOctober2025.pdf"/>
    <hyperlink ref="H1102" r:id="rId1101" display="https://rennamedia.com/wp-content/uploads/2025/10/ScotchPlainsNovember2025.pdf"/>
    <hyperlink ref="H1103" r:id="rId1102" display="https://rennamedia.com/wp-content/uploads/2025/11/ScotchPlainsDecember2025.pdf"/>
    <hyperlink ref="H1104" r:id="rId1103" display="https://rennamedia.com/wp-content/uploads/2025/12/ScotchPlainsJanuary2026.pdf"/>
    <hyperlink ref="H1105" r:id="rId1104" display="https://rennamedia.com/wp-content/uploads/2026/01/ScotchPlainsFebruary2026.pdf"/>
    <hyperlink ref="H1106" r:id="rId1105" display="https://rennamedia.com/wp-content/uploads/2026/02/ScotchPlainsMarch2026.pdf"/>
    <hyperlink ref="H1107" r:id="rId1106" display="https://rennamedia.com/wp-content/uploads/2026/03/ScotchPlainsApril2026.pdf"/>
    <hyperlink ref="H1108" r:id="rId1107" display="https://rennamedia.com/wp-content/uploads/2026/04/ScotchPlainsMay2026.pdf"/>
    <hyperlink ref="H1109" r:id="rId1108" display="https://rennamedia.com/wp-content/uploads/2021/12/UnionJanuary2022.pdf"/>
    <hyperlink ref="H1110" r:id="rId1109" display="https://rennamedia.com/wp-content/uploads/2022/01/UnionFebruary2022.pdf"/>
    <hyperlink ref="H1111" r:id="rId1110" display="https://rennamedia.com/wp-content/uploads/2022/02/UnionMarch2022.pdf"/>
    <hyperlink ref="H1112" r:id="rId1111" display="https://rennamedia.com/wp-content/uploads/2022/03/UnionApril2022.pdf"/>
    <hyperlink ref="H1113" r:id="rId1112" display="https://rennamedia.com/wp-content/uploads/2022/04/UnionMay2022.pdf"/>
    <hyperlink ref="H1114" r:id="rId1113" display="https://rennamedia.com/wp-content/uploads/2022/05/UnionJune2022.pdf"/>
    <hyperlink ref="H1115" r:id="rId1114" display="https://rennamedia.com/wp-content/uploads/2022/06/UnionJuly2022.pdf"/>
    <hyperlink ref="H1116" r:id="rId1115" display="https://rennamedia.com/wp-content/uploads/2022/07/UnionAugust2022.pdf"/>
    <hyperlink ref="H1117" r:id="rId1116" display="https://rennamedia.com/wp-content/uploads/2022/09/UnionSeptember2022.pdf"/>
    <hyperlink ref="H1118" r:id="rId1117" display="https://rennamedia.com/wp-content/uploads/2022/10/UnionOctober2022.pdf"/>
    <hyperlink ref="H1119" r:id="rId1118" display="https://rennamedia.com/wp-content/uploads/2022/11/UnionNovember2022.pdf"/>
    <hyperlink ref="H1120" r:id="rId1119" display="https://rennamedia.com/wp-content/uploads/2022/11/UnionDecember2022.pdf"/>
    <hyperlink ref="H1121" r:id="rId1120" display="https://rennamedia.com/wp-content/uploads/2022/12/UnionJanuary2023.pdf"/>
    <hyperlink ref="H1122" r:id="rId1121" display="https://rennamedia.com/wp-content/uploads/2023/01/UnionFebruary2023.pdf"/>
    <hyperlink ref="H1123" r:id="rId1122" display="https://rennamedia.com/wp-content/uploads/2023/02/UnionMarch2023.pdf"/>
    <hyperlink ref="H1124" r:id="rId1123" display="https://rennamedia.com/wp-content/uploads/2023/03/UnionApril2023.pdf"/>
    <hyperlink ref="H1125" r:id="rId1124" display="https://rennamedia.com/wp-content/uploads/2023/04/UnionMay2023.pdf"/>
    <hyperlink ref="H1126" r:id="rId1125" display="https://rennamedia.com/wp-content/uploads/2023/05/UnionJune2023.pdf"/>
    <hyperlink ref="H1127" r:id="rId1126" display="https://rennamedia.com/wp-content/uploads/2023/06/UnionJuly2023.pdf"/>
    <hyperlink ref="H1128" r:id="rId1127" display="https://rennamedia.com/wp-content/uploads/2023/07/UnionAug2023.pdf"/>
    <hyperlink ref="H1129" r:id="rId1128" display="https://rennamedia.com/wp-content/uploads/2023/08/UnionSep2023.pdf"/>
    <hyperlink ref="H1130" r:id="rId1129" display="https://rennamedia.com/wp-content/uploads/2023/09/UnionOct2023.pdf"/>
    <hyperlink ref="H1131" r:id="rId1130" display="https://rennamedia.com/wp-content/uploads/2023/10/UnionNov2023.pdf"/>
    <hyperlink ref="H1132" r:id="rId1131" display="https://rennamedia.com/wp-content/uploads/2023/11/UnionDec2023.pdf"/>
    <hyperlink ref="H1133" r:id="rId1132" display="https://rennamedia.com/wp-content/uploads/2023/12/UnionJan2024.pdf"/>
    <hyperlink ref="H1134" r:id="rId1133" display="https://rennamedia.com/wp-content/uploads/2024/01/UnionFeb2024.pdf"/>
    <hyperlink ref="H1135" r:id="rId1134" display="https://rennamedia.com/wp-content/uploads/2024/02/UnionMar2024.pdf"/>
    <hyperlink ref="H1136" r:id="rId1135" display="https://rennamedia.com/wp-content/uploads/2024/03/UnionApr2024.pdf"/>
    <hyperlink ref="H1137" r:id="rId1136" display="https://rennamedia.com/wp-content/uploads/2024/04/UnionMay2024.pdf"/>
    <hyperlink ref="H1138" r:id="rId1137" display="https://rennamedia.com/wp-content/uploads/2024/05/UnionJune2024.pdf"/>
    <hyperlink ref="H1139" r:id="rId1138" display="https://rennamedia.com/wp-content/uploads/2024/06/UnionJuly2024.pdf"/>
    <hyperlink ref="H1140" r:id="rId1139" display="https://rennamedia.com/wp-content/uploads/2024/07/UnionAugust2024.pdf"/>
    <hyperlink ref="H1141" r:id="rId1140" display="https://rennamedia.com/wp-content/uploads/2024/08/UnionSeptember2024.pdf"/>
    <hyperlink ref="H1142" r:id="rId1141" display="https://rennamedia.com/wp-content/uploads/2024/09/UnionOctober2024.pdf"/>
    <hyperlink ref="H1143" r:id="rId1142" display="https://rennamedia.com/wp-content/uploads/2024/10/UnionNovember2024.pdf"/>
    <hyperlink ref="H1144" r:id="rId1143" display="https://rennamedia.com/wp-content/uploads/2024/11/UnionDecember2024.pdf"/>
    <hyperlink ref="H1145" r:id="rId1144" display="https://rennamedia.com/wp-content/uploads/2024/12/UnionJanuary2025.pdf"/>
    <hyperlink ref="H1146" r:id="rId1145" display="https://rennamedia.com/wp-content/uploads/2025/02/UnionFebruary2025.pdf"/>
    <hyperlink ref="H1147" r:id="rId1146" display="https://rennamedia.com/wp-content/uploads/2025/02/UnionMarch2025.pdf"/>
    <hyperlink ref="H1148" r:id="rId1147" display="https://rennamedia.com/wp-content/uploads/2025/03/UnionApril2025.pdf"/>
    <hyperlink ref="H1149" r:id="rId1148" display="https://rennamedia.com/wp-content/uploads/2025/04/UnionMay2025.pdf"/>
    <hyperlink ref="H1150" r:id="rId1149" display="https://rennamedia.com/wp-content/uploads/2025/05/UnionJune2025.pdf"/>
    <hyperlink ref="H1151" r:id="rId1150" display="https://rennamedia.com/wp-content/uploads/2025/06/UnionJuly2025.pdf"/>
    <hyperlink ref="H1152" r:id="rId1151" display="https://rennamedia.com/wp-content/uploads/2025/07/UnionAugust2025.pdf"/>
    <hyperlink ref="H1153" r:id="rId1152" display="https://rennamedia.com/wp-content/uploads/2025/08/UnionSeptember202.pdf"/>
    <hyperlink ref="H1154" r:id="rId1153" display="https://rennamedia.com/wp-content/uploads/2025/09/UnionOctober2025.pdf"/>
    <hyperlink ref="H1155" r:id="rId1154" display="https://rennamedia.com/wp-content/uploads/2025/10/UnionNovember2025.pdf"/>
    <hyperlink ref="H1156" r:id="rId1155" display="https://rennamedia.com/wp-content/uploads/2025/11/UnionNDecember2025.pdf"/>
    <hyperlink ref="H1157" r:id="rId1156" display="https://rennamedia.com/wp-content/uploads/2025/12/UnionJanuary2026.pdf"/>
    <hyperlink ref="H1158" r:id="rId1157" display="https://rennamedia.com/wp-content/uploads/2026/01/UnionFebruary2026.pdf"/>
    <hyperlink ref="H1159" r:id="rId1158" display="https://rennamedia.com/wp-content/uploads/2026/02/UnionMarch2026.pdf"/>
    <hyperlink ref="H1160" r:id="rId1159" display="https://rennamedia.com/wp-content/uploads/2026/04/UnionMay2026.pdf"/>
    <hyperlink ref="H1161" r:id="rId1160" display="https://rennamedia.com/wp-content/uploads/2021/12/SummitJanuary2022.pdf"/>
    <hyperlink ref="H1162" r:id="rId1161" display="https://rennamedia.com/wp-content/uploads/2022/01/SummitFebruary2022.pdf"/>
    <hyperlink ref="H1163" r:id="rId1162" display="https://rennamedia.com/wp-content/uploads/2022/02/SummitMarch2022.pdf"/>
    <hyperlink ref="H1164" r:id="rId1163" display="https://rennamedia.com/wp-content/uploads/2022/03/SummitApril2022.pdf"/>
    <hyperlink ref="H1165" r:id="rId1164" display="https://rennamedia.com/wp-content/uploads/2022/04/SummitMay2022.pdf"/>
    <hyperlink ref="H1166" r:id="rId1165" display="https://rennamedia.com/wp-content/uploads/2022/05/SummitJune2022.pdf"/>
    <hyperlink ref="H1167" r:id="rId1166" display="https://rennamedia.com/wp-content/uploads/2022/06/SummitJuly2022.pdf"/>
    <hyperlink ref="H1168" r:id="rId1167" display="https://rennamedia.com/wp-content/uploads/2022/07/SummitAugust2022.pdf"/>
    <hyperlink ref="H1169" r:id="rId1168" display="https://rennamedia.com/wp-content/uploads/2022/09/SummitSeptember2022.pdf"/>
    <hyperlink ref="H1170" r:id="rId1169" display="https://rennamedia.com/wp-content/uploads/2022/10/SummitOctober2022.pdf"/>
    <hyperlink ref="H1171" r:id="rId1170" display="https://rennamedia.com/wp-content/uploads/2022/11/SummitNovember2022.pdf"/>
    <hyperlink ref="H1172" r:id="rId1171" display="https://rennamedia.com/wp-content/uploads/2022/11/SummitDecember2022.pdf"/>
    <hyperlink ref="H1173" r:id="rId1172" display="https://rennamedia.com/wp-content/uploads/2022/12/SummitJanuary2023.pdf"/>
    <hyperlink ref="H1174" r:id="rId1173" display="https://rennamedia.com/wp-content/uploads/2023/01/SummitFebruary2023.pdf"/>
    <hyperlink ref="H1175" r:id="rId1174" display="https://rennamedia.com/wp-content/uploads/2023/02/SummitMarch2023.pdf"/>
    <hyperlink ref="H1176" r:id="rId1175" display="https://rennamedia.com/wp-content/uploads/2023/03/SummitApril2023.pdf"/>
    <hyperlink ref="H1177" r:id="rId1176" display="https://rennamedia.com/wp-content/uploads/2023/04/SummitMay2023.pdf"/>
    <hyperlink ref="H1178" r:id="rId1177" display="https://rennamedia.com/wp-content/uploads/2023/05/SummitJune2023.pdf"/>
    <hyperlink ref="H1179" r:id="rId1178" display="https://rennamedia.com/wp-content/uploads/2023/06/SummitJuly2023.pdf"/>
    <hyperlink ref="H1180" r:id="rId1179" display="https://rennamedia.com/wp-content/uploads/2023/07/SummitAug2023.pdf"/>
    <hyperlink ref="H1181" r:id="rId1180" display="https://rennamedia.com/wp-content/uploads/2023/08/SummitSep2023.pdf"/>
    <hyperlink ref="H1182" r:id="rId1181" display="https://rennamedia.com/wp-content/uploads/2023/09/SummitOct2023.pdf"/>
    <hyperlink ref="H1183" r:id="rId1182" display="https://rennamedia.com/wp-content/uploads/2023/10/SummitNov2023.pdf"/>
    <hyperlink ref="H1184" r:id="rId1183" display="https://rennamedia.com/wp-content/uploads/2023/11/SummitDec2023.pdf"/>
    <hyperlink ref="H1185" r:id="rId1184" display="https://rennamedia.com/wp-content/uploads/2023/12/SummitJan2024.pdf"/>
    <hyperlink ref="H1186" r:id="rId1185" display="https://rennamedia.com/wp-content/uploads/2024/01/SummitFeb2024.pdf"/>
    <hyperlink ref="H1187" r:id="rId1186" display="https://rennamedia.com/wp-content/uploads/2024/02/SummitMar2024.pdf"/>
    <hyperlink ref="H1188" r:id="rId1187" display="https://rennamedia.com/wp-content/uploads/2024/03/SummitApr2024.pdf"/>
    <hyperlink ref="H1189" r:id="rId1188" display="https://rennamedia.com/wp-content/uploads/2024/04/SummitMay2024.pdf"/>
    <hyperlink ref="H1190" r:id="rId1189" display="https://rennamedia.com/wp-content/uploads/2024/05/SummitJune2024.pdf"/>
    <hyperlink ref="H1191" r:id="rId1190" display="https://rennamedia.com/wp-content/uploads/2024/06/SummitJuly2024.pdf"/>
    <hyperlink ref="H1192" r:id="rId1191" display="https://rennamedia.com/wp-content/uploads/2024/07/SummitAugust2024.pdf"/>
    <hyperlink ref="H1193" r:id="rId1192" display="https://rennamedia.com/wp-content/uploads/2024/08/SummitSeptember2024.pdf"/>
    <hyperlink ref="H1194" r:id="rId1193" display="https://rennamedia.com/wp-content/uploads/2024/09/SummitOctober2024.pdf"/>
    <hyperlink ref="H1195" r:id="rId1194" display="https://rennamedia.com/wp-content/uploads/2024/10/SummitNovember2024.pdf"/>
    <hyperlink ref="H1196" r:id="rId1195" display="https://rennamedia.com/wp-content/uploads/2024/11/SummitDecember2024.pdf"/>
    <hyperlink ref="H1197" r:id="rId1196" display="https://rennamedia.com/wp-content/uploads/2024/12/SummitJanuary2025.pdf"/>
    <hyperlink ref="H1198" r:id="rId1197" display="https://rennamedia.com/wp-content/uploads/2025/02/SummitFebruary2025.pdf"/>
    <hyperlink ref="H1199" r:id="rId1198" display="https://rennamedia.com/wp-content/uploads/2025/02/SummitMarch2025.pdf"/>
    <hyperlink ref="H1200" r:id="rId1199" display="https://rennamedia.com/wp-content/uploads/2025/02/SummitMarch2025.pdf"/>
    <hyperlink ref="H1201" r:id="rId1200" display="https://rennamedia.com/wp-content/uploads/2025/04/SummitMay2025.pdf"/>
    <hyperlink ref="H1202" r:id="rId1201" display="https://rennamedia.com/wp-content/uploads/2025/05/SummitJune2025.pdf"/>
    <hyperlink ref="H1203" r:id="rId1202" display="https://rennamedia.com/wp-content/uploads/2025/06/SummitJuly2025.pdf"/>
    <hyperlink ref="H1204" r:id="rId1203" display="https://rennamedia.com/wp-content/uploads/2025/07/SummitAugust2025.pdf"/>
    <hyperlink ref="H1205" r:id="rId1204" display="https://rennamedia.com/wp-content/uploads/2025/08/SummitSeptember2025.pdf"/>
    <hyperlink ref="H1206" r:id="rId1205" display="https://rennamedia.com/wp-content/uploads/2025/09/SummitOctober2025.pdf"/>
    <hyperlink ref="H1207" r:id="rId1206" display="https://rennamedia.com/wp-content/uploads/2025/10/SummitNovember2025.pdf"/>
    <hyperlink ref="H1208" r:id="rId1207" display="https://rennamedia.com/wp-content/uploads/2025/11/SummitDecember2025.pdf"/>
    <hyperlink ref="H1209" r:id="rId1208" display="https://rennamedia.com/wp-content/uploads/2025/12/SummitJanuary2026.pdf"/>
    <hyperlink ref="H1210" r:id="rId1209" display="https://rennamedia.com/wp-content/uploads/2026/02/SummitFebruary2026.pdf"/>
    <hyperlink ref="H1211" r:id="rId1210" display="https://rennamedia.com/wp-content/uploads/2026/02/SummitMarch2026.pdf"/>
    <hyperlink ref="H1212" r:id="rId1211" display="https://rennamedia.com/wp-content/uploads/2026/03/SummitApril2026.pdf"/>
    <hyperlink ref="H1213" r:id="rId1212" display="https://rennamedia.com/wp-content/uploads/2026/04/SummitMay2026.pdf"/>
    <hyperlink ref="H1214" r:id="rId1213" display="https://rennamedia.com/wp-content/uploads/2021/12/WarrenJanuary2022.pdf"/>
    <hyperlink ref="H1215" r:id="rId1214" display="https://rennamedia.com/wp-content/uploads/2022/01/WarrenFebruary2022.pdf"/>
    <hyperlink ref="H1216" r:id="rId1215" display="https://rennamedia.com/wp-content/uploads/2022/02/WarrenMarch2022.pdf"/>
    <hyperlink ref="H1217" r:id="rId1216" display="https://rennamedia.com/wp-content/uploads/2022/03/WarrenApril2022.pdf"/>
    <hyperlink ref="H1218" r:id="rId1217" display="https://rennamedia.com/wp-content/uploads/2022/04/WarrenMay2022.pdf"/>
    <hyperlink ref="H1219" r:id="rId1218" display="https://rennamedia.com/wp-content/uploads/2022/05/WarrenJune2022.pdf"/>
    <hyperlink ref="H1220" r:id="rId1219" display="https://rennamedia.com/wp-content/uploads/2022/06/WarrenJuly2022.pdf"/>
    <hyperlink ref="H1221" r:id="rId1220" display="https://rennamedia.com/wp-content/uploads/2022/07/WarrenAugust2022.pdf"/>
    <hyperlink ref="H1222" r:id="rId1221" display="https://rennamedia.com/wp-content/uploads/2022/09/WarrenSeptember2022.pdf"/>
    <hyperlink ref="H1223" r:id="rId1222" display="https://rennamedia.com/wp-content/uploads/2022/10/WarrenOctober2022.pdf"/>
    <hyperlink ref="H1224" r:id="rId1223" display="https://rennamedia.com/wp-content/uploads/2022/11/WarrenNovember2022.pdf"/>
    <hyperlink ref="H1225" r:id="rId1224" display="https://rennamedia.com/wp-content/uploads/2022/11/WarrenDecember2022.pdf"/>
    <hyperlink ref="H1226" r:id="rId1225" display="https://rennamedia.com/wp-content/uploads/2022/12/WarrenJanuary2023.pdf"/>
    <hyperlink ref="H1227" r:id="rId1226" display="https://rennamedia.com/wp-content/uploads/2023/01/WarrenFebruary2023.pdf"/>
    <hyperlink ref="H1228" r:id="rId1227" display="https://rennamedia.com/wp-content/uploads/2023/02/WarrenMarch2023.pdf"/>
    <hyperlink ref="H1229" r:id="rId1228" display="https://rennamedia.com/wp-content/uploads/2023/03/WarrenApril2023.pdf"/>
    <hyperlink ref="H1230" r:id="rId1229" display="https://rennamedia.com/wp-content/uploads/2023/04/WarrenMay2023.pdf"/>
    <hyperlink ref="H1231" r:id="rId1230" display="https://rennamedia.com/wp-content/uploads/2023/05/WarrenJune2023.pdf"/>
    <hyperlink ref="H1232" r:id="rId1231" display="https://rennamedia.com/wp-content/uploads/2023/06/WarrenJuly2023.pdf"/>
    <hyperlink ref="H1233" r:id="rId1232" display="https://rennamedia.com/wp-content/uploads/2023/07/WarrenAug2023.pdf"/>
    <hyperlink ref="H1234" r:id="rId1233" display="https://rennamedia.com/wp-content/uploads/2023/08/WarrenSep2023.pdf"/>
    <hyperlink ref="H1235" r:id="rId1234" display="https://rennamedia.com/wp-content/uploads/2023/09/WarrenOct2023.pdf"/>
    <hyperlink ref="H1236" r:id="rId1235" display="https://rennamedia.com/wp-content/uploads/2023/10/WarrenNov2023.pdf"/>
    <hyperlink ref="H1237" r:id="rId1236" display="https://rennamedia.com/wp-content/uploads/2023/11/WarrenDec2023.pdf"/>
    <hyperlink ref="H1238" r:id="rId1237" display="https://rennamedia.com/wp-content/uploads/2023/12/WarrenJan2024.pdf"/>
    <hyperlink ref="H1239" r:id="rId1238" display="https://rennamedia.com/wp-content/uploads/2024/01/WarrenFeb2024.pdf"/>
    <hyperlink ref="H1240" r:id="rId1239" display="https://rennamedia.com/wp-content/uploads/2024/02/WarrenMar2024.pdf"/>
    <hyperlink ref="H1241" r:id="rId1240" display="https://rennamedia.com/wp-content/uploads/2024/03/WarrenApr2024.pdf"/>
    <hyperlink ref="H1242" r:id="rId1241" display="https://rennamedia.com/wp-content/uploads/2024/04/WarrenMay2024.pdf"/>
    <hyperlink ref="H1243" r:id="rId1242" display="https://rennamedia.com/wp-content/uploads/2024/05/WarrenJune2024.pdf"/>
    <hyperlink ref="H1244" r:id="rId1243" display="https://rennamedia.com/wp-content/uploads/2024/06/WarrenJuly2024.pdf"/>
    <hyperlink ref="H1245" r:id="rId1244" display="https://rennamedia.com/wp-content/uploads/2024/07/WarrenAugust2024.pdf"/>
    <hyperlink ref="H1246" r:id="rId1245" display="https://rennamedia.com/wp-content/uploads/2024/08/WarrenSeptember2024.pdf"/>
    <hyperlink ref="H1247" r:id="rId1246" display="https://rennamedia.com/wp-content/uploads/2024/09/WarrenOctober2024.pdf"/>
    <hyperlink ref="H1248" r:id="rId1247" display="https://rennamedia.com/wp-content/uploads/2024/10/WarrenNovember2024.pdf"/>
    <hyperlink ref="H1249" r:id="rId1248" display="https://rennamedia.com/wp-content/uploads/2024/11/WarrenDecember2024.pdf"/>
    <hyperlink ref="H1250" r:id="rId1249" display="https://rennamedia.com/wp-content/uploads/2024/12/WarrenJanuary2025.pdf"/>
    <hyperlink ref="H1251" r:id="rId1250" display="https://rennamedia.com/wp-content/uploads/2025/02/WarrenFebruary2025.pdf"/>
    <hyperlink ref="H1252" r:id="rId1251" display="https://rennamedia.com/wp-content/uploads/2025/02/WarrenMarch2025.pdf"/>
    <hyperlink ref="H1253" r:id="rId1252" display="https://rennamedia.com/wp-content/uploads/2025/03/WarrenApril2025.pdf"/>
    <hyperlink ref="H1254" r:id="rId1253" display="https://rennamedia.com/wp-content/uploads/2025/04/WarrenMay2025.pdf"/>
    <hyperlink ref="H1255" r:id="rId1254" display="https://rennamedia.com/wp-content/uploads/2025/05/WarrenJune2025.pdf"/>
    <hyperlink ref="H1256" r:id="rId1255" display="https://rennamedia.com/wp-content/uploads/2025/06/WarrenJuly2025.pdf"/>
    <hyperlink ref="H1257" r:id="rId1256" display="https://rennamedia.com/wp-content/uploads/2025/07/WarrenAugust2025.pdf"/>
    <hyperlink ref="H1258" r:id="rId1257" display="https://rennamedia.com/wp-content/uploads/2025/08/WarrenSeptember2025.pdf"/>
    <hyperlink ref="H1259" r:id="rId1258" display="https://rennamedia.com/wp-content/uploads/2025/09/WarrenOctober2025.pdf"/>
    <hyperlink ref="H1260" r:id="rId1259" display="https://rennamedia.com/wp-content/uploads/2025/10/WarrenNovember2025.pdf"/>
    <hyperlink ref="H1261" r:id="rId1260" display="https://rennamedia.com/wp-content/uploads/2025/11/WarrenDecember2025.pdf"/>
    <hyperlink ref="H1262" r:id="rId1261" display="https://rennamedia.com/wp-content/uploads/2025/12/WarrenJanuary2026.pdf"/>
    <hyperlink ref="H1263" r:id="rId1262" display="https://rennamedia.com/wp-content/uploads/2026/01/WarrenFebruary2026.pdf"/>
    <hyperlink ref="H1264" r:id="rId1263" display="https://rennamedia.com/wp-content/uploads/2026/02/WarrenMarch2026.pdf"/>
    <hyperlink ref="H1265" r:id="rId1264" display="https://rennamedia.com/wp-content/uploads/2026/03/WarrenApril2026.pdf"/>
    <hyperlink ref="H1266" r:id="rId1265" display="https://rennamedia.com/wp-content/uploads/2026/04/WarrenMay2026.pdf"/>
    <hyperlink ref="H1267" r:id="rId1266" display="https://rennamedia.com/wp-content/uploads/2021/12/WatchungJanuary2022.pdf"/>
    <hyperlink ref="H1268" r:id="rId1267" display="https://rennamedia.com/wp-content/uploads/2022/01/WatchungFebruary2022.pdf"/>
    <hyperlink ref="H1269" r:id="rId1268" display="https://rennamedia.com/wp-content/uploads/2022/02/WatchungMarch2022.pdf"/>
    <hyperlink ref="H1270" r:id="rId1269" display="https://rennamedia.com/wp-content/uploads/2022/03/WatchungApril2022.pdf"/>
    <hyperlink ref="H1271" r:id="rId1270" display="https://rennamedia.com/wp-content/uploads/2022/04/WatchungMay2022.pdf"/>
    <hyperlink ref="H1272" r:id="rId1271" display="https://rennamedia.com/wp-content/uploads/2022/05/WatchungJune2022.pdf"/>
    <hyperlink ref="H1273" r:id="rId1272" display="https://rennamedia.com/wp-content/uploads/2022/06/WatchungJuly2022.pdf"/>
    <hyperlink ref="H1274" r:id="rId1273" display="https://rennamedia.com/wp-content/uploads/2022/07/WatchungAugust2022.pdf"/>
    <hyperlink ref="H1275" r:id="rId1274" display="https://rennamedia.com/wp-content/uploads/2022/09/WatchungSeptember2022.pdf"/>
    <hyperlink ref="H1276" r:id="rId1275" display="https://rennamedia.com/wp-content/uploads/2022/10/WatchungOctober2022.pdf"/>
    <hyperlink ref="H1277" r:id="rId1276" display="https://rennamedia.com/wp-content/uploads/2022/11/WatchungNovember2022.pdf"/>
    <hyperlink ref="H1278" r:id="rId1277" display="https://rennamedia.com/wp-content/uploads/2022/11/WatchungDecember2022.pdf"/>
    <hyperlink ref="H1279" r:id="rId1278" display="https://rennamedia.com/wp-content/uploads/2022/12/WatchungJanuary2023.pdf"/>
    <hyperlink ref="H1280" r:id="rId1279" display="https://rennamedia.com/wp-content/uploads/2023/01/WatchungFebruary2023.pdf"/>
    <hyperlink ref="H1281" r:id="rId1280" display="https://rennamedia.com/wp-content/uploads/2023/02/WatchungMarch2023.pdf"/>
    <hyperlink ref="H1282" r:id="rId1281" display="https://rennamedia.com/wp-content/uploads/2023/03/WatchungApril2023.pdf"/>
    <hyperlink ref="H1283" r:id="rId1282" display="https://rennamedia.com/wp-content/uploads/2023/04/WatchungMay2023.pdf"/>
    <hyperlink ref="H1284" r:id="rId1283" display="https://rennamedia.com/wp-content/uploads/2023/05/WatchungJune2023.pdf"/>
    <hyperlink ref="H1285" r:id="rId1284" display="https://rennamedia.com/wp-content/uploads/2023/06/WatchungJuly2023.pdf"/>
    <hyperlink ref="H1286" r:id="rId1285" display="https://rennamedia.com/wp-content/uploads/2023/07/WatchungAug2023.pdf"/>
    <hyperlink ref="H1287" r:id="rId1286" display="https://rennamedia.com/wp-content/uploads/2023/08/WatchungSep2023.pdf"/>
    <hyperlink ref="H1288" r:id="rId1287" display="https://rennamedia.com/wp-content/uploads/2023/09/WatchungOct2023.pdf"/>
    <hyperlink ref="H1289" r:id="rId1288" display="https://rennamedia.com/wp-content/uploads/2023/10/WatchungNov2023.pdf"/>
    <hyperlink ref="H1290" r:id="rId1289" display="https://rennamedia.com/wp-content/uploads/2023/11/WatchungDec2023.pdf"/>
    <hyperlink ref="H1291" r:id="rId1290" display="https://rennamedia.com/wp-content/uploads/2023/12/WatchungJan2024.pdf"/>
    <hyperlink ref="H1292" r:id="rId1291" display="https://rennamedia.com/wp-content/uploads/2024/01/WatchungFeb2024.pdf"/>
    <hyperlink ref="H1293" r:id="rId1292" display="https://rennamedia.com/wp-content/uploads/2024/02/WatchungMar2024.pdf"/>
    <hyperlink ref="H1294" r:id="rId1293" display="https://rennamedia.com/wp-content/uploads/2024/03/WatchungApr2024.pdf"/>
    <hyperlink ref="H1295" r:id="rId1294" display="https://rennamedia.com/wp-content/uploads/2024/04/WatchungMay2024.pdf"/>
    <hyperlink ref="H1296" r:id="rId1295" display="https://rennamedia.com/wp-content/uploads/2024/05/WatchungJune2024.pdf"/>
    <hyperlink ref="H1297" r:id="rId1296" display="https://rennamedia.com/wp-content/uploads/2024/06/WatchungJuly2024.pdf"/>
    <hyperlink ref="H1298" r:id="rId1297" display="https://rennamedia.com/wp-content/uploads/2024/07/WatchungAugust2024.pdf"/>
    <hyperlink ref="H1299" r:id="rId1298" display="https://rennamedia.com/wp-content/uploads/2024/08/WatchungSeptember2024.pdf"/>
    <hyperlink ref="H1300" r:id="rId1299" display="https://rennamedia.com/wp-content/uploads/2024/09/WatchungOctober2024.pdf"/>
    <hyperlink ref="H1301" r:id="rId1300" display="https://rennamedia.com/wp-content/uploads/2024/10/WatchungNovember2024.pdf"/>
    <hyperlink ref="H1302" r:id="rId1301" display="https://rennamedia.com/wp-content/uploads/2024/11/WatchungDecember2024.pdf"/>
    <hyperlink ref="H1303" r:id="rId1302" display="https://rennamedia.com/wp-content/uploads/2024/12/WatchungJanuary2025.pdf"/>
    <hyperlink ref="H1304" r:id="rId1303" display="https://rennamedia.com/wp-content/uploads/2025/02/WatchungFebruary2025.pdf"/>
    <hyperlink ref="H1305" r:id="rId1304" display="https://rennamedia.com/wp-content/uploads/2025/02/WatchungMarch2025.pdf"/>
    <hyperlink ref="H1306" r:id="rId1305" display="https://rennamedia.com/wp-content/uploads/2025/03/WatchungApril2025.pdf"/>
    <hyperlink ref="H1307" r:id="rId1306" display="https://rennamedia.com/wp-content/uploads/2025/04/WatchungMay2025.pdf"/>
    <hyperlink ref="H1308" r:id="rId1307" display="https://rennamedia.com/wp-content/uploads/2025/05/WatchungJune2025.pdf"/>
    <hyperlink ref="H1309" r:id="rId1308" display="https://rennamedia.com/wp-content/uploads/2025/06/WatchungJuly2025.pdf"/>
    <hyperlink ref="H1310" r:id="rId1309" display="https://rennamedia.com/wp-content/uploads/2025/07/WatchungAugust2025.pdf"/>
    <hyperlink ref="H1311" r:id="rId1310" display="https://rennamedia.com/wp-content/uploads/2025/08/WatchungSeptember2025.pdf"/>
    <hyperlink ref="H1312" r:id="rId1311" display="https://rennamedia.com/wp-content/uploads/2025/09/WatchungOctober2025.pdf"/>
    <hyperlink ref="H1313" r:id="rId1312" display="https://rennamedia.com/wp-content/uploads/2025/10/WatchungNovember2025.pdf"/>
    <hyperlink ref="H1314" r:id="rId1313" display="https://rennamedia.com/wp-content/uploads/2025/11/WatchungDecember2025.pdf"/>
    <hyperlink ref="H1315" r:id="rId1314" display="https://rennamedia.com/wp-content/uploads/2025/12/WatchungJanuary2026.pdf"/>
    <hyperlink ref="H1316" r:id="rId1315" display="https://rennamedia.com/wp-content/uploads/2026/01/WatchungFebruary2026.pdf"/>
    <hyperlink ref="H1317" r:id="rId1316" display="https://rennamedia.com/wp-content/uploads/2026/02/WatchungMarch2026.pdf"/>
    <hyperlink ref="H1318" r:id="rId1317" display="https://rennamedia.com/wp-content/uploads/2026/03/WatchungApril2026.pdf"/>
    <hyperlink ref="H1319" r:id="rId1318" display="https://rennamedia.com/wp-content/uploads/2026/04/WatchungMay2026.pdf"/>
    <hyperlink ref="H1320" r:id="rId1319" display="https://rennamedia.com/wp-content/uploads/2021/12/WestfieldJanuary2022.pdf"/>
    <hyperlink ref="H1321" r:id="rId1320" display="https://rennamedia.com/wp-content/uploads/2022/01/WestfieldFebruary2022.pdf"/>
    <hyperlink ref="H1322" r:id="rId1321" display="https://rennamedia.com/wp-content/uploads/2022/02/WestfieldMarch2022.pdf"/>
    <hyperlink ref="H1323" r:id="rId1322" display="https://rennamedia.com/wp-content/uploads/2022/03/WestfieldApril2022.pdf"/>
    <hyperlink ref="H1324" r:id="rId1323" display="https://rennamedia.com/wp-content/uploads/2022/05/WestfieldMay2022issue.pdf"/>
    <hyperlink ref="H1325" r:id="rId1324" display="https://rennamedia.com/wp-content/uploads/2022/05/WestfieldJune2022.pdf"/>
    <hyperlink ref="H1326" r:id="rId1325" display="https://rennamedia.com/wp-content/uploads/2022/06/WestfieldJuly2022.pdf"/>
    <hyperlink ref="H1327" r:id="rId1326" display="https://rennamedia.com/wp-content/uploads/2022/07/WestfieldAugust2022.pdf"/>
    <hyperlink ref="H1328" r:id="rId1327" display="https://rennamedia.com/wp-content/uploads/2022/09/WestfieldSeptember2022.pdf"/>
    <hyperlink ref="H1329" r:id="rId1328" display="https://rennamedia.com/wp-content/uploads/2022/10/WestfieldOctober2022.pdf"/>
    <hyperlink ref="H1330" r:id="rId1329" display="https://rennamedia.com/wp-content/uploads/2022/11/WestfieldNovember2022.pdf"/>
    <hyperlink ref="H1331" r:id="rId1330" display="https://rennamedia.com/wp-content/uploads/2022/11/WestfieldDecember2022.pdf"/>
    <hyperlink ref="H1332" r:id="rId1331" display="https://rennamedia.com/wp-content/uploads/2022/12/WestfieldJanuary2023.pdf"/>
    <hyperlink ref="H1333" r:id="rId1332" display="https://rennamedia.com/wp-content/uploads/2023/01/WestfieldFebruary2023.pdf"/>
    <hyperlink ref="H1334" r:id="rId1333" display="https://rennamedia.com/wp-content/uploads/2023/02/WestfieldMarch2023.pdf"/>
    <hyperlink ref="H1335" r:id="rId1334" display="https://rennamedia.com/wp-content/uploads/2023/03/WestfieldApril2023.pdf"/>
    <hyperlink ref="H1336" r:id="rId1335" display="https://rennamedia.com/wp-content/uploads/2023/04/WestfieldMay2023.pdf"/>
    <hyperlink ref="H1337" r:id="rId1336" display="https://rennamedia.com/wp-content/uploads/2023/05/WestfieldJune2023.pdf"/>
    <hyperlink ref="H1338" r:id="rId1337" display="https://rennamedia.com/wp-content/uploads/2023/06/WestfieldJuly2023.pdf"/>
    <hyperlink ref="H1339" r:id="rId1338" display="https://rennamedia.com/wp-content/uploads/2023/07/WestfieldAug2023.pdf"/>
    <hyperlink ref="H1340" r:id="rId1339" display="https://rennamedia.com/wp-content/uploads/2023/08/WestfieldSep2023.pdf"/>
    <hyperlink ref="H1341" r:id="rId1340" display="https://rennamedia.com/wp-content/uploads/2023/10/WestfieldOct2023.pdf"/>
    <hyperlink ref="H1342" r:id="rId1341" display="https://rennamedia.com/wp-content/uploads/2023/10/WestfieldNov2023.pdf"/>
    <hyperlink ref="H1343" r:id="rId1342" display="https://rennamedia.com/wp-content/uploads/2023/11/WestfieldDec2023.pdf"/>
    <hyperlink ref="H1344" r:id="rId1343" display="https://rennamedia.com/wp-content/uploads/2023/12/WestfieldJan2024.pdf"/>
    <hyperlink ref="H1345" r:id="rId1344" display="https://rennamedia.com/wp-content/uploads/2024/01/WestfieldFeb2024.pdf"/>
    <hyperlink ref="H1346" r:id="rId1345" display="https://rennamedia.com/wp-content/uploads/2024/02/WestfieldMar2024.pdf"/>
    <hyperlink ref="H1347" r:id="rId1346" display="https://rennamedia.com/wp-content/uploads/2024/03/WestfieldApr2024.pdf"/>
    <hyperlink ref="H1348" r:id="rId1347" display="https://rennamedia.com/wp-content/uploads/2024/04/WestfieldMay2024.pdf"/>
    <hyperlink ref="H1349" r:id="rId1348" display="https://rennamedia.com/wp-content/uploads/2024/05/WestfieldJune2024.pdf"/>
    <hyperlink ref="H1350" r:id="rId1349" display="https://rennamedia.com/wp-content/uploads/2024/06/WestfieldJuly2024.pdf"/>
    <hyperlink ref="H1351" r:id="rId1350" display="https://rennamedia.com/wp-content/uploads/2024/07/WestfieldAugust2024.pdf"/>
    <hyperlink ref="H1352" r:id="rId1351" display="https://rennamedia.com/wp-content/uploads/2024/08/WestfieldSeptember2024.pdf"/>
    <hyperlink ref="H1353" r:id="rId1352" display="https://rennamedia.com/wp-content/uploads/2024/10/WestfieldOctober2024x.pdf"/>
    <hyperlink ref="H1354" r:id="rId1353" display="https://rennamedia.com/wp-content/uploads/2024/10/WestfieldNovember2024.pdf"/>
    <hyperlink ref="H1355" r:id="rId1354" display="https://rennamedia.com/wp-content/uploads/2024/11/WestfieldDecember2024.pdf"/>
    <hyperlink ref="H1356" r:id="rId1355" display="https://rennamedia.com/wp-content/uploads/2024/12/WestfieldJanuary2025.pdf"/>
    <hyperlink ref="H1357" r:id="rId1356" display="https://rennamedia.com/wp-content/uploads/2025/02/WestfieldFebruary2025.pdf"/>
    <hyperlink ref="H1358" r:id="rId1357" display="https://rennamedia.com/wp-content/uploads/2025/02/WestfieldMarch2025.pdf"/>
    <hyperlink ref="H1359" r:id="rId1358" display="https://rennamedia.com/wp-content/uploads/2025/03/WestfieldApril2025.pdf"/>
    <hyperlink ref="H1360" r:id="rId1359" display="https://rennamedia.com/wp-content/uploads/2025/04/WestfieldMay2025.pdf"/>
    <hyperlink ref="H1361" r:id="rId1360" display="https://rennamedia.com/wp-content/uploads/2025/05/WestfieldJune2025.pdf"/>
    <hyperlink ref="H1362" r:id="rId1361" display="https://rennamedia.com/wp-content/uploads/2025/06/WestfieldJuly2025.pdf"/>
    <hyperlink ref="H1363" r:id="rId1362" display="https://rennamedia.com/wp-content/uploads/2025/07/WestfieldAugust2025.pdf"/>
    <hyperlink ref="H1364" r:id="rId1363" display="https://rennamedia.com/wp-content/uploads/2025/08/WestfieldSeptember2025.pdf"/>
    <hyperlink ref="H1365" r:id="rId1364" display="https://rennamedia.com/wp-content/uploads/2025/09/WestfieldOctober2025.pdf"/>
    <hyperlink ref="H1366" r:id="rId1365" display="https://rennamedia.com/wp-content/uploads/2025/10/WestfieldNovember2025.pdf"/>
    <hyperlink ref="H1367" r:id="rId1366" display="https://rennamedia.com/wp-content/uploads/2025/11/WestfieldDecember2025.pdf"/>
    <hyperlink ref="H1368" r:id="rId1367" display="https://rennamedia.com/wp-content/uploads/2025/12/WestfieldJanuary2026.pdf"/>
    <hyperlink ref="H1369" r:id="rId1368" display="https://rennamedia.com/wp-content/uploads/2026/01/WestfieldFebruary2026.pdf"/>
    <hyperlink ref="H1370" r:id="rId1369" display="https://rennamedia.com/wp-content/uploads/2026/02/WestfieldMarch2026.pdf"/>
    <hyperlink ref="H1371" r:id="rId1370" display="https://rennamedia.com/wp-content/uploads/2026/03/WestfieldApril2026.pdf"/>
    <hyperlink ref="H1372" r:id="rId1371" display="https://rennamedia.com/wp-content/uploads/2026/04/WestfieldMay2026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7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8" min="6" style="0" width="11"/>
  </cols>
  <sheetData>
    <row r="1" customFormat="false" ht="15" hidden="false" customHeight="false" outlineLevel="0" collapsed="false">
      <c r="A1" s="10" t="s">
        <v>92</v>
      </c>
      <c r="B1" s="10" t="s">
        <v>1561</v>
      </c>
      <c r="C1" s="10" t="s">
        <v>1562</v>
      </c>
      <c r="D1" s="10" t="s">
        <v>1563</v>
      </c>
      <c r="E1" s="10" t="s">
        <v>1564</v>
      </c>
      <c r="F1" s="10" t="s">
        <v>1565</v>
      </c>
      <c r="G1" s="10" t="s">
        <v>1566</v>
      </c>
      <c r="H1" s="10" t="s">
        <v>1567</v>
      </c>
    </row>
    <row r="2" customFormat="false" ht="15" hidden="false" customHeight="false" outlineLevel="0" collapsed="false">
      <c r="A2" s="0" t="s">
        <v>3</v>
      </c>
      <c r="B2" s="0" t="s">
        <v>36</v>
      </c>
      <c r="C2" s="0" t="s">
        <v>88</v>
      </c>
      <c r="D2" s="0" t="n">
        <f aca="false">COUNTIF(Tidy!B:B,"Berkeley Heights Community News")</f>
        <v>53</v>
      </c>
      <c r="E2" s="0" t="n">
        <f aca="false">SUMIF(Tidy!B:B,"Berkeley Heights Community News",Tidy!G:G)</f>
        <v>1108</v>
      </c>
      <c r="F2" s="13" t="n">
        <f aca="false">IFERROR(AVERAGEIF(Tidy!B:B,"Berkeley Heights Community News",Tidy!G:G),"")</f>
        <v>20.9056603773585</v>
      </c>
      <c r="G2" s="0" t="n">
        <v>16</v>
      </c>
      <c r="H2" s="0" t="n">
        <v>30</v>
      </c>
    </row>
    <row r="3" customFormat="false" ht="15" hidden="false" customHeight="false" outlineLevel="0" collapsed="false">
      <c r="A3" s="0" t="s">
        <v>4</v>
      </c>
      <c r="B3" s="0" t="s">
        <v>36</v>
      </c>
      <c r="C3" s="0" t="s">
        <v>88</v>
      </c>
      <c r="D3" s="0" t="n">
        <f aca="false">COUNTIF(Tidy!B:B,"Clark Monthly")</f>
        <v>53</v>
      </c>
      <c r="E3" s="0" t="n">
        <f aca="false">SUMIF(Tidy!B:B,"Clark Monthly",Tidy!G:G)</f>
        <v>1170</v>
      </c>
      <c r="F3" s="13" t="n">
        <f aca="false">IFERROR(AVERAGEIF(Tidy!B:B,"Clark Monthly",Tidy!G:G),"")</f>
        <v>22.0754716981132</v>
      </c>
      <c r="G3" s="0" t="n">
        <v>16</v>
      </c>
      <c r="H3" s="0" t="n">
        <v>28</v>
      </c>
    </row>
    <row r="4" customFormat="false" ht="15" hidden="false" customHeight="false" outlineLevel="0" collapsed="false">
      <c r="A4" s="0" t="s">
        <v>5</v>
      </c>
      <c r="B4" s="0" t="s">
        <v>36</v>
      </c>
      <c r="C4" s="0" t="s">
        <v>88</v>
      </c>
      <c r="D4" s="0" t="n">
        <f aca="false">COUNTIF(Tidy!B:B,"The Chathams")</f>
        <v>53</v>
      </c>
      <c r="E4" s="0" t="n">
        <f aca="false">SUMIF(Tidy!B:B,"The Chathams",Tidy!G:G)</f>
        <v>1063</v>
      </c>
      <c r="F4" s="13" t="n">
        <f aca="false">IFERROR(AVERAGEIF(Tidy!B:B,"The Chathams",Tidy!G:G),"")</f>
        <v>20.0566037735849</v>
      </c>
      <c r="G4" s="0" t="n">
        <v>12</v>
      </c>
      <c r="H4" s="0" t="n">
        <v>31</v>
      </c>
    </row>
    <row r="5" customFormat="false" ht="15" hidden="false" customHeight="false" outlineLevel="0" collapsed="false">
      <c r="A5" s="0" t="s">
        <v>6</v>
      </c>
      <c r="B5" s="0" t="s">
        <v>36</v>
      </c>
      <c r="C5" s="0" t="s">
        <v>88</v>
      </c>
      <c r="D5" s="0" t="n">
        <f aca="false">COUNTIF(Tidy!B:B,"Cranford Monthly")</f>
        <v>53</v>
      </c>
      <c r="E5" s="0" t="n">
        <f aca="false">SUMIF(Tidy!B:B,"Cranford Monthly",Tidy!G:G)</f>
        <v>1264</v>
      </c>
      <c r="F5" s="13" t="n">
        <f aca="false">IFERROR(AVERAGEIF(Tidy!B:B,"Cranford Monthly",Tidy!G:G),"")</f>
        <v>23.8490566037736</v>
      </c>
      <c r="G5" s="0" t="n">
        <v>16</v>
      </c>
      <c r="H5" s="0" t="n">
        <v>32</v>
      </c>
    </row>
    <row r="6" customFormat="false" ht="15" hidden="false" customHeight="false" outlineLevel="0" collapsed="false">
      <c r="A6" s="0" t="s">
        <v>7</v>
      </c>
      <c r="B6" s="0" t="s">
        <v>71</v>
      </c>
      <c r="C6" s="0" t="s">
        <v>88</v>
      </c>
      <c r="D6" s="0" t="n">
        <f aca="false">COUNTIF(Tidy!B:B,"East Hanover View")</f>
        <v>18</v>
      </c>
      <c r="E6" s="0" t="n">
        <f aca="false">SUMIF(Tidy!B:B,"East Hanover View",Tidy!G:G)</f>
        <v>224</v>
      </c>
      <c r="F6" s="13" t="n">
        <f aca="false">IFERROR(AVERAGEIF(Tidy!B:B,"East Hanover View",Tidy!G:G),"")</f>
        <v>12.4444444444444</v>
      </c>
      <c r="G6" s="0" t="n">
        <v>8</v>
      </c>
      <c r="H6" s="0" t="n">
        <v>16</v>
      </c>
    </row>
    <row r="7" customFormat="false" ht="15" hidden="false" customHeight="false" outlineLevel="0" collapsed="false">
      <c r="A7" s="0" t="s">
        <v>8</v>
      </c>
      <c r="B7" s="0" t="s">
        <v>38</v>
      </c>
      <c r="C7" s="0" t="s">
        <v>88</v>
      </c>
      <c r="D7" s="0" t="n">
        <f aca="false">COUNTIF(Tidy!B:B,"Elmora Hills")</f>
        <v>51</v>
      </c>
      <c r="E7" s="0" t="n">
        <f aca="false">SUMIF(Tidy!B:B,"Elmora Hills",Tidy!G:G)</f>
        <v>664</v>
      </c>
      <c r="F7" s="13" t="n">
        <f aca="false">IFERROR(AVERAGEIF(Tidy!B:B,"Elmora Hills",Tidy!G:G),"")</f>
        <v>13.0196078431373</v>
      </c>
      <c r="G7" s="0" t="n">
        <v>8</v>
      </c>
      <c r="H7" s="0" t="n">
        <v>16</v>
      </c>
    </row>
    <row r="8" customFormat="false" ht="15" hidden="false" customHeight="false" outlineLevel="0" collapsed="false">
      <c r="A8" s="0" t="s">
        <v>9</v>
      </c>
      <c r="B8" s="0" t="s">
        <v>36</v>
      </c>
      <c r="C8" s="0" t="s">
        <v>88</v>
      </c>
      <c r="D8" s="0" t="n">
        <f aca="false">COUNTIF(Tidy!B:B,"Fanwood Post")</f>
        <v>53</v>
      </c>
      <c r="E8" s="0" t="n">
        <f aca="false">SUMIF(Tidy!B:B,"Fanwood Post",Tidy!G:G)</f>
        <v>784</v>
      </c>
      <c r="F8" s="13" t="n">
        <f aca="false">IFERROR(AVERAGEIF(Tidy!B:B,"Fanwood Post",Tidy!G:G),"")</f>
        <v>14.7924528301887</v>
      </c>
      <c r="G8" s="0" t="n">
        <v>12</v>
      </c>
      <c r="H8" s="0" t="n">
        <v>21</v>
      </c>
    </row>
    <row r="9" customFormat="false" ht="15" hidden="false" customHeight="false" outlineLevel="0" collapsed="false">
      <c r="A9" s="0" t="s">
        <v>10</v>
      </c>
      <c r="B9" s="0" t="s">
        <v>38</v>
      </c>
      <c r="C9" s="0" t="s">
        <v>88</v>
      </c>
      <c r="D9" s="0" t="n">
        <f aca="false">COUNTIF(Tidy!B:B,"Florham Park Press")</f>
        <v>50</v>
      </c>
      <c r="E9" s="0" t="n">
        <f aca="false">SUMIF(Tidy!B:B,"Florham Park Press",Tidy!G:G)</f>
        <v>700</v>
      </c>
      <c r="F9" s="13" t="n">
        <f aca="false">IFERROR(AVERAGEIF(Tidy!B:B,"Florham Park Press",Tidy!G:G),"")</f>
        <v>14</v>
      </c>
      <c r="G9" s="0" t="n">
        <v>8</v>
      </c>
      <c r="H9" s="0" t="n">
        <v>20</v>
      </c>
    </row>
    <row r="10" customFormat="false" ht="15" hidden="false" customHeight="false" outlineLevel="0" collapsed="false">
      <c r="A10" s="0" t="s">
        <v>11</v>
      </c>
      <c r="B10" s="0" t="s">
        <v>36</v>
      </c>
      <c r="C10" s="0" t="s">
        <v>88</v>
      </c>
      <c r="D10" s="0" t="n">
        <f aca="false">COUNTIF(Tidy!B:B,"Garwood Times")</f>
        <v>53</v>
      </c>
      <c r="E10" s="0" t="n">
        <f aca="false">SUMIF(Tidy!B:B,"Garwood Times",Tidy!G:G)</f>
        <v>636</v>
      </c>
      <c r="F10" s="13" t="n">
        <f aca="false">IFERROR(AVERAGEIF(Tidy!B:B,"Garwood Times",Tidy!G:G),"")</f>
        <v>12</v>
      </c>
      <c r="G10" s="0" t="n">
        <v>8</v>
      </c>
      <c r="H10" s="0" t="n">
        <v>20</v>
      </c>
    </row>
    <row r="11" customFormat="false" ht="15" hidden="false" customHeight="false" outlineLevel="0" collapsed="false">
      <c r="A11" s="0" t="s">
        <v>12</v>
      </c>
      <c r="B11" s="0" t="s">
        <v>36</v>
      </c>
      <c r="C11" s="0" t="s">
        <v>88</v>
      </c>
      <c r="D11" s="0" t="n">
        <f aca="false">COUNTIF(Tidy!B:B,"Green Brook Gazette")</f>
        <v>53</v>
      </c>
      <c r="E11" s="0" t="n">
        <f aca="false">SUMIF(Tidy!B:B,"Green Brook Gazette",Tidy!G:G)</f>
        <v>712</v>
      </c>
      <c r="F11" s="13" t="n">
        <f aca="false">IFERROR(AVERAGEIF(Tidy!B:B,"Green Brook Gazette",Tidy!G:G),"")</f>
        <v>13.4339622641509</v>
      </c>
      <c r="G11" s="0" t="n">
        <v>8</v>
      </c>
      <c r="H11" s="0" t="n">
        <v>21</v>
      </c>
    </row>
    <row r="12" customFormat="false" ht="15" hidden="false" customHeight="false" outlineLevel="0" collapsed="false">
      <c r="A12" s="0" t="s">
        <v>13</v>
      </c>
      <c r="B12" s="0" t="s">
        <v>71</v>
      </c>
      <c r="C12" s="0" t="s">
        <v>88</v>
      </c>
      <c r="D12" s="0" t="n">
        <f aca="false">COUNTIF(Tidy!B:B,"Hanover Township Press")</f>
        <v>18</v>
      </c>
      <c r="E12" s="0" t="n">
        <f aca="false">SUMIF(Tidy!B:B,"Hanover Township Press",Tidy!G:G)</f>
        <v>220</v>
      </c>
      <c r="F12" s="13" t="n">
        <f aca="false">IFERROR(AVERAGEIF(Tidy!B:B,"Hanover Township Press",Tidy!G:G),"")</f>
        <v>12.2222222222222</v>
      </c>
      <c r="G12" s="0" t="n">
        <v>8</v>
      </c>
      <c r="H12" s="0" t="n">
        <v>16</v>
      </c>
    </row>
    <row r="13" customFormat="false" ht="15" hidden="false" customHeight="false" outlineLevel="0" collapsed="false">
      <c r="A13" s="0" t="s">
        <v>14</v>
      </c>
      <c r="B13" s="0" t="s">
        <v>36</v>
      </c>
      <c r="C13" s="0" t="s">
        <v>88</v>
      </c>
      <c r="D13" s="0" t="n">
        <f aca="false">COUNTIF(Tidy!B:B,"Kenilworth Business Life")</f>
        <v>53</v>
      </c>
      <c r="E13" s="0" t="n">
        <f aca="false">SUMIF(Tidy!B:B,"Kenilworth Business Life",Tidy!G:G)</f>
        <v>756</v>
      </c>
      <c r="F13" s="13" t="n">
        <f aca="false">IFERROR(AVERAGEIF(Tidy!B:B,"Kenilworth Business Life",Tidy!G:G),"")</f>
        <v>14.2641509433962</v>
      </c>
      <c r="G13" s="0" t="n">
        <v>8</v>
      </c>
      <c r="H13" s="0" t="n">
        <v>20</v>
      </c>
    </row>
    <row r="14" customFormat="false" ht="15" hidden="false" customHeight="false" outlineLevel="0" collapsed="false">
      <c r="A14" s="0" t="s">
        <v>15</v>
      </c>
      <c r="B14" s="0" t="s">
        <v>36</v>
      </c>
      <c r="C14" s="0" t="s">
        <v>88</v>
      </c>
      <c r="D14" s="0" t="n">
        <f aca="false">COUNTIF(Tidy!B:B,"Life in Linden")</f>
        <v>53</v>
      </c>
      <c r="E14" s="0" t="n">
        <f aca="false">SUMIF(Tidy!B:B,"Life in Linden",Tidy!G:G)</f>
        <v>1040</v>
      </c>
      <c r="F14" s="13" t="n">
        <f aca="false">IFERROR(AVERAGEIF(Tidy!B:B,"Life in Linden",Tidy!G:G),"")</f>
        <v>19.622641509434</v>
      </c>
      <c r="G14" s="0" t="n">
        <v>12</v>
      </c>
      <c r="H14" s="0" t="n">
        <v>28</v>
      </c>
    </row>
    <row r="15" customFormat="false" ht="15" hidden="false" customHeight="false" outlineLevel="0" collapsed="false">
      <c r="A15" s="0" t="s">
        <v>16</v>
      </c>
      <c r="B15" s="0" t="s">
        <v>71</v>
      </c>
      <c r="C15" s="0" t="s">
        <v>88</v>
      </c>
      <c r="D15" s="0" t="n">
        <f aca="false">COUNTIF(Tidy!B:B,"Livingston Monthly")</f>
        <v>18</v>
      </c>
      <c r="E15" s="0" t="n">
        <f aca="false">SUMIF(Tidy!B:B,"Livingston Monthly",Tidy!G:G)</f>
        <v>288</v>
      </c>
      <c r="F15" s="13" t="n">
        <f aca="false">IFERROR(AVERAGEIF(Tidy!B:B,"Livingston Monthly",Tidy!G:G),"")</f>
        <v>16</v>
      </c>
      <c r="G15" s="0" t="n">
        <v>12</v>
      </c>
      <c r="H15" s="0" t="n">
        <v>20</v>
      </c>
    </row>
    <row r="16" customFormat="false" ht="15" hidden="false" customHeight="false" outlineLevel="0" collapsed="false">
      <c r="A16" s="0" t="s">
        <v>17</v>
      </c>
      <c r="B16" s="0" t="s">
        <v>36</v>
      </c>
      <c r="C16" s="0" t="s">
        <v>88</v>
      </c>
      <c r="D16" s="0" t="n">
        <f aca="false">COUNTIF(Tidy!B:B,"Long Hill Leader")</f>
        <v>52</v>
      </c>
      <c r="E16" s="0" t="n">
        <f aca="false">SUMIF(Tidy!B:B,"Long Hill Leader",Tidy!G:G)</f>
        <v>693</v>
      </c>
      <c r="F16" s="13" t="n">
        <f aca="false">IFERROR(AVERAGEIF(Tidy!B:B,"Long Hill Leader",Tidy!G:G),"")</f>
        <v>13.3269230769231</v>
      </c>
      <c r="G16" s="0" t="n">
        <v>1</v>
      </c>
      <c r="H16" s="0" t="n">
        <v>20</v>
      </c>
    </row>
    <row r="17" customFormat="false" ht="15" hidden="false" customHeight="false" outlineLevel="0" collapsed="false">
      <c r="A17" s="0" t="s">
        <v>18</v>
      </c>
      <c r="B17" s="0" t="s">
        <v>36</v>
      </c>
      <c r="C17" s="0" t="s">
        <v>88</v>
      </c>
      <c r="D17" s="0" t="n">
        <f aca="false">COUNTIF(Tidy!B:B,"Madison Monthly")</f>
        <v>53</v>
      </c>
      <c r="E17" s="0" t="n">
        <f aca="false">SUMIF(Tidy!B:B,"Madison Monthly",Tidy!G:G)</f>
        <v>787</v>
      </c>
      <c r="F17" s="13" t="n">
        <f aca="false">IFERROR(AVERAGEIF(Tidy!B:B,"Madison Monthly",Tidy!G:G),"")</f>
        <v>14.8490566037736</v>
      </c>
      <c r="G17" s="0" t="n">
        <v>8</v>
      </c>
      <c r="H17" s="0" t="n">
        <v>20</v>
      </c>
    </row>
    <row r="18" customFormat="false" ht="15" hidden="false" customHeight="false" outlineLevel="0" collapsed="false">
      <c r="A18" s="0" t="s">
        <v>19</v>
      </c>
      <c r="B18" s="0" t="s">
        <v>38</v>
      </c>
      <c r="C18" s="0" t="s">
        <v>88</v>
      </c>
      <c r="D18" s="0" t="n">
        <f aca="false">COUNTIF(Tidy!B:B,"Millburn Short Hills Monthly")</f>
        <v>51</v>
      </c>
      <c r="E18" s="0" t="n">
        <f aca="false">SUMIF(Tidy!B:B,"Millburn Short Hills Monthly",Tidy!G:G)</f>
        <v>1020</v>
      </c>
      <c r="F18" s="13" t="n">
        <f aca="false">IFERROR(AVERAGEIF(Tidy!B:B,"Millburn Short Hills Monthly",Tidy!G:G),"")</f>
        <v>20</v>
      </c>
      <c r="G18" s="0" t="n">
        <v>12</v>
      </c>
      <c r="H18" s="0" t="n">
        <v>28</v>
      </c>
    </row>
    <row r="19" customFormat="false" ht="15" hidden="false" customHeight="false" outlineLevel="0" collapsed="false">
      <c r="A19" s="0" t="s">
        <v>20</v>
      </c>
      <c r="B19" s="0" t="s">
        <v>36</v>
      </c>
      <c r="C19" s="0" t="s">
        <v>88</v>
      </c>
      <c r="D19" s="0" t="n">
        <f aca="false">COUNTIF(Tidy!B:B,"Mountainside View")</f>
        <v>53</v>
      </c>
      <c r="E19" s="0" t="n">
        <f aca="false">SUMIF(Tidy!B:B,"Mountainside View",Tidy!G:G)</f>
        <v>884</v>
      </c>
      <c r="F19" s="13" t="n">
        <f aca="false">IFERROR(AVERAGEIF(Tidy!B:B,"Mountainside View",Tidy!G:G),"")</f>
        <v>16.6792452830189</v>
      </c>
      <c r="G19" s="0" t="n">
        <v>8</v>
      </c>
      <c r="H19" s="0" t="n">
        <v>24</v>
      </c>
    </row>
    <row r="20" customFormat="false" ht="15" hidden="false" customHeight="false" outlineLevel="0" collapsed="false">
      <c r="A20" s="0" t="s">
        <v>21</v>
      </c>
      <c r="B20" s="0" t="s">
        <v>71</v>
      </c>
      <c r="C20" s="0" t="s">
        <v>88</v>
      </c>
      <c r="D20" s="0" t="n">
        <f aca="false">COUNTIF(Tidy!B:B,"Morristown Monthly")</f>
        <v>18</v>
      </c>
      <c r="E20" s="0" t="n">
        <f aca="false">SUMIF(Tidy!B:B,"Morristown Monthly",Tidy!G:G)</f>
        <v>253</v>
      </c>
      <c r="F20" s="13" t="n">
        <f aca="false">IFERROR(AVERAGEIF(Tidy!B:B,"Morristown Monthly",Tidy!G:G),"")</f>
        <v>14.0555555555556</v>
      </c>
      <c r="G20" s="0" t="n">
        <v>12</v>
      </c>
      <c r="H20" s="0" t="n">
        <v>20</v>
      </c>
    </row>
    <row r="21" customFormat="false" ht="15" hidden="false" customHeight="false" outlineLevel="0" collapsed="false">
      <c r="A21" s="0" t="s">
        <v>22</v>
      </c>
      <c r="B21" s="0" t="s">
        <v>71</v>
      </c>
      <c r="C21" s="0" t="s">
        <v>88</v>
      </c>
      <c r="D21" s="0" t="n">
        <f aca="false">COUNTIF(Tidy!B:B,"Morris Township Times")</f>
        <v>18</v>
      </c>
      <c r="E21" s="0" t="n">
        <f aca="false">SUMIF(Tidy!B:B,"Morris Township Times",Tidy!G:G)</f>
        <v>269</v>
      </c>
      <c r="F21" s="13" t="n">
        <f aca="false">IFERROR(AVERAGEIF(Tidy!B:B,"Morris Township Times",Tidy!G:G),"")</f>
        <v>14.9444444444444</v>
      </c>
      <c r="G21" s="0" t="n">
        <v>12</v>
      </c>
      <c r="H21" s="0" t="n">
        <v>20</v>
      </c>
    </row>
    <row r="22" customFormat="false" ht="15" hidden="false" customHeight="false" outlineLevel="0" collapsed="false">
      <c r="A22" s="0" t="s">
        <v>23</v>
      </c>
      <c r="B22" s="0" t="s">
        <v>36</v>
      </c>
      <c r="C22" s="0" t="s">
        <v>88</v>
      </c>
      <c r="D22" s="0" t="n">
        <f aca="false">COUNTIF(Tidy!B:B,"New Providence News")</f>
        <v>53</v>
      </c>
      <c r="E22" s="0" t="n">
        <f aca="false">SUMIF(Tidy!B:B,"New Providence News",Tidy!G:G)</f>
        <v>1128</v>
      </c>
      <c r="F22" s="13" t="n">
        <f aca="false">IFERROR(AVERAGEIF(Tidy!B:B,"New Providence News",Tidy!G:G),"")</f>
        <v>21.2830188679245</v>
      </c>
      <c r="G22" s="0" t="n">
        <v>16</v>
      </c>
      <c r="H22" s="0" t="n">
        <v>28</v>
      </c>
    </row>
    <row r="23" customFormat="false" ht="15" hidden="false" customHeight="false" outlineLevel="0" collapsed="false">
      <c r="A23" s="0" t="s">
        <v>24</v>
      </c>
      <c r="B23" s="0" t="s">
        <v>36</v>
      </c>
      <c r="C23" s="0" t="s">
        <v>88</v>
      </c>
      <c r="D23" s="0" t="n">
        <f aca="false">COUNTIF(Tidy!B:B,"Our Town Rahway")</f>
        <v>53</v>
      </c>
      <c r="E23" s="0" t="n">
        <f aca="false">SUMIF(Tidy!B:B,"Our Town Rahway",Tidy!G:G)</f>
        <v>1094</v>
      </c>
      <c r="F23" s="13" t="n">
        <f aca="false">IFERROR(AVERAGEIF(Tidy!B:B,"Our Town Rahway",Tidy!G:G),"")</f>
        <v>20.6415094339623</v>
      </c>
      <c r="G23" s="0" t="n">
        <v>12</v>
      </c>
      <c r="H23" s="0" t="n">
        <v>34</v>
      </c>
    </row>
    <row r="24" customFormat="false" ht="15" hidden="false" customHeight="false" outlineLevel="0" collapsed="false">
      <c r="A24" s="0" t="s">
        <v>25</v>
      </c>
      <c r="B24" s="0" t="s">
        <v>1568</v>
      </c>
      <c r="C24" s="0" t="s">
        <v>1568</v>
      </c>
      <c r="D24" s="0" t="n">
        <v>0</v>
      </c>
      <c r="E24" s="0" t="n">
        <v>0</v>
      </c>
    </row>
    <row r="25" customFormat="false" ht="15" hidden="false" customHeight="false" outlineLevel="0" collapsed="false">
      <c r="A25" s="0" t="s">
        <v>26</v>
      </c>
      <c r="B25" s="0" t="s">
        <v>71</v>
      </c>
      <c r="C25" s="0" t="s">
        <v>88</v>
      </c>
      <c r="D25" s="0" t="n">
        <f aca="false">COUNTIF(Tidy!B:B,"Life in Roseland")</f>
        <v>18</v>
      </c>
      <c r="E25" s="0" t="n">
        <f aca="false">SUMIF(Tidy!B:B,"Life in Roseland",Tidy!G:G)</f>
        <v>212</v>
      </c>
      <c r="F25" s="13" t="n">
        <f aca="false">IFERROR(AVERAGEIF(Tidy!B:B,"Life in Roseland",Tidy!G:G),"")</f>
        <v>11.7777777777778</v>
      </c>
      <c r="G25" s="0" t="n">
        <v>8</v>
      </c>
      <c r="H25" s="0" t="n">
        <v>16</v>
      </c>
    </row>
    <row r="26" customFormat="false" ht="15" hidden="false" customHeight="false" outlineLevel="0" collapsed="false">
      <c r="A26" s="0" t="s">
        <v>27</v>
      </c>
      <c r="B26" s="0" t="s">
        <v>36</v>
      </c>
      <c r="C26" s="0" t="s">
        <v>88</v>
      </c>
      <c r="D26" s="0" t="n">
        <f aca="false">COUNTIF(Tidy!B:B,"Roselle Park Monthly")</f>
        <v>53</v>
      </c>
      <c r="E26" s="0" t="n">
        <f aca="false">SUMIF(Tidy!B:B,"Roselle Park Monthly",Tidy!G:G)</f>
        <v>736</v>
      </c>
      <c r="F26" s="13" t="n">
        <f aca="false">IFERROR(AVERAGEIF(Tidy!B:B,"Roselle Park Monthly",Tidy!G:G),"")</f>
        <v>13.8867924528302</v>
      </c>
      <c r="G26" s="0" t="n">
        <v>8</v>
      </c>
      <c r="H26" s="0" t="n">
        <v>20</v>
      </c>
    </row>
    <row r="27" customFormat="false" ht="15" hidden="false" customHeight="false" outlineLevel="0" collapsed="false">
      <c r="A27" s="0" t="s">
        <v>28</v>
      </c>
      <c r="B27" s="0" t="s">
        <v>36</v>
      </c>
      <c r="C27" s="0" t="s">
        <v>88</v>
      </c>
      <c r="D27" s="0" t="n">
        <f aca="false">COUNTIF(Tidy!B:B,"Scotch Plains Monthly")</f>
        <v>53</v>
      </c>
      <c r="E27" s="0" t="n">
        <f aca="false">SUMIF(Tidy!B:B,"Scotch Plains Monthly",Tidy!G:G)</f>
        <v>1159</v>
      </c>
      <c r="F27" s="13" t="n">
        <f aca="false">IFERROR(AVERAGEIF(Tidy!B:B,"Scotch Plains Monthly",Tidy!G:G),"")</f>
        <v>21.8679245283019</v>
      </c>
      <c r="G27" s="0" t="n">
        <v>12</v>
      </c>
      <c r="H27" s="0" t="n">
        <v>32</v>
      </c>
    </row>
    <row r="28" customFormat="false" ht="15" hidden="false" customHeight="false" outlineLevel="0" collapsed="false">
      <c r="A28" s="0" t="s">
        <v>29</v>
      </c>
      <c r="B28" s="0" t="s">
        <v>36</v>
      </c>
      <c r="C28" s="0" t="s">
        <v>87</v>
      </c>
      <c r="D28" s="0" t="n">
        <f aca="false">COUNTIF(Tidy!B:B,"Spirit of Union")</f>
        <v>52</v>
      </c>
      <c r="E28" s="0" t="n">
        <f aca="false">SUMIF(Tidy!B:B,"Spirit of Union",Tidy!G:G)</f>
        <v>740</v>
      </c>
      <c r="F28" s="13" t="n">
        <f aca="false">IFERROR(AVERAGEIF(Tidy!B:B,"Spirit of Union",Tidy!G:G),"")</f>
        <v>14.2307692307692</v>
      </c>
      <c r="G28" s="0" t="n">
        <v>8</v>
      </c>
      <c r="H28" s="0" t="n">
        <v>20</v>
      </c>
    </row>
    <row r="29" customFormat="false" ht="15" hidden="false" customHeight="false" outlineLevel="0" collapsed="false">
      <c r="A29" s="0" t="s">
        <v>30</v>
      </c>
      <c r="B29" s="0" t="s">
        <v>36</v>
      </c>
      <c r="C29" s="0" t="s">
        <v>88</v>
      </c>
      <c r="D29" s="0" t="n">
        <f aca="false">COUNTIF(Tidy!B:B,"Summit Times")</f>
        <v>53</v>
      </c>
      <c r="E29" s="0" t="n">
        <f aca="false">SUMIF(Tidy!B:B,"Summit Times",Tidy!G:G)</f>
        <v>1244</v>
      </c>
      <c r="F29" s="13" t="n">
        <f aca="false">IFERROR(AVERAGEIF(Tidy!B:B,"Summit Times",Tidy!G:G),"")</f>
        <v>23.4716981132075</v>
      </c>
      <c r="G29" s="0" t="n">
        <v>20</v>
      </c>
      <c r="H29" s="0" t="n">
        <v>28</v>
      </c>
    </row>
    <row r="30" customFormat="false" ht="15" hidden="false" customHeight="false" outlineLevel="0" collapsed="false">
      <c r="A30" s="0" t="s">
        <v>31</v>
      </c>
      <c r="B30" s="0" t="s">
        <v>1568</v>
      </c>
      <c r="C30" s="0" t="s">
        <v>1568</v>
      </c>
      <c r="D30" s="0" t="n">
        <v>0</v>
      </c>
      <c r="E30" s="0" t="n">
        <v>0</v>
      </c>
    </row>
    <row r="31" customFormat="false" ht="15" hidden="false" customHeight="false" outlineLevel="0" collapsed="false">
      <c r="A31" s="0" t="s">
        <v>32</v>
      </c>
      <c r="B31" s="0" t="s">
        <v>36</v>
      </c>
      <c r="C31" s="0" t="s">
        <v>88</v>
      </c>
      <c r="D31" s="0" t="n">
        <f aca="false">COUNTIF(Tidy!B:B,"Warren Monthly")</f>
        <v>53</v>
      </c>
      <c r="E31" s="0" t="n">
        <f aca="false">SUMIF(Tidy!B:B,"Warren Monthly",Tidy!G:G)</f>
        <v>852</v>
      </c>
      <c r="F31" s="13" t="n">
        <f aca="false">IFERROR(AVERAGEIF(Tidy!B:B,"Warren Monthly",Tidy!G:G),"")</f>
        <v>16.0754716981132</v>
      </c>
      <c r="G31" s="0" t="n">
        <v>12</v>
      </c>
      <c r="H31" s="0" t="n">
        <v>20</v>
      </c>
    </row>
    <row r="32" customFormat="false" ht="15" hidden="false" customHeight="false" outlineLevel="0" collapsed="false">
      <c r="A32" s="0" t="s">
        <v>33</v>
      </c>
      <c r="B32" s="0" t="s">
        <v>36</v>
      </c>
      <c r="C32" s="0" t="s">
        <v>88</v>
      </c>
      <c r="D32" s="0" t="n">
        <f aca="false">COUNTIF(Tidy!B:B,"Watchung Post")</f>
        <v>53</v>
      </c>
      <c r="E32" s="0" t="n">
        <f aca="false">SUMIF(Tidy!B:B,"Watchung Post",Tidy!G:G)</f>
        <v>780</v>
      </c>
      <c r="F32" s="13" t="n">
        <f aca="false">IFERROR(AVERAGEIF(Tidy!B:B,"Watchung Post",Tidy!G:G),"")</f>
        <v>14.7169811320755</v>
      </c>
      <c r="G32" s="0" t="n">
        <v>12</v>
      </c>
      <c r="H32" s="0" t="n">
        <v>20</v>
      </c>
    </row>
    <row r="33" customFormat="false" ht="15" hidden="false" customHeight="false" outlineLevel="0" collapsed="false">
      <c r="A33" s="0" t="s">
        <v>34</v>
      </c>
      <c r="B33" s="0" t="s">
        <v>36</v>
      </c>
      <c r="C33" s="0" t="s">
        <v>88</v>
      </c>
      <c r="D33" s="0" t="n">
        <f aca="false">COUNTIF(Tidy!B:B,"Westfield Monthly")</f>
        <v>53</v>
      </c>
      <c r="E33" s="0" t="n">
        <f aca="false">SUMIF(Tidy!B:B,"Westfield Monthly",Tidy!G:G)</f>
        <v>1387</v>
      </c>
      <c r="F33" s="13" t="n">
        <f aca="false">IFERROR(AVERAGEIF(Tidy!B:B,"Westfield Monthly",Tidy!G:G),"")</f>
        <v>26.1698113207547</v>
      </c>
      <c r="G33" s="0" t="n">
        <v>16</v>
      </c>
      <c r="H33" s="0" t="n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2026-04-28T14:21:22Z</dcterms:created>
  <dc:creator>openpyxl</dc:creator>
  <dc:description/>
  <dc:language>en-US</dc:language>
  <cp:lastModifiedBy/>
  <dcterms:modified xsi:type="dcterms:W3CDTF">2026-04-28T14:21:22Z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