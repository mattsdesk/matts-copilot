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te Card" sheetId="2" state="visible" r:id="rId4"/>
    <sheet name="Circulation" sheetId="3" state="visible" r:id="rId5"/>
    <sheet name="Ad Inventory" sheetId="4" state="visible" r:id="rId6"/>
    <sheet name="Coverage Status" sheetId="5" state="visible" r:id="rId7"/>
    <sheet name="Bundle Distribution" sheetId="6" state="visible" r:id="rId8"/>
    <sheet name="Phone Bundle (Auto)" sheetId="7" state="visible" r:id="rId9"/>
    <sheet name="Bundle Findings" sheetId="8" state="visible" r:id="rId10"/>
    <sheet name="Revenue Estima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<sst xmlns="http://schemas.openxmlformats.org/spreadsheetml/2006/main" count="1681" uniqueCount="907">
  <si>
    <t xml:space="preserve">Renna Media Jan 2026 Advertiser Census</t>
  </si>
  <si>
    <t xml:space="preserve">Purpose</t>
  </si>
  <si>
    <t xml:space="preserve">Build a per-ad census across all 30 active Renna Media papers for Jan 2026, then derive:</t>
  </si>
  <si>
    <t xml:space="preserve">  - bundle distribution (how many papers each advertiser is running in)</t>
  </si>
  <si>
    <t xml:space="preserve">  - revenue estimate per advertiser (from rate card x size x bundle tier)</t>
  </si>
  <si>
    <t xml:space="preserve">  - estimated total monthly ad revenue Jan 2026 vs CIM-implied figure</t>
  </si>
  <si>
    <t xml:space="preserve">Sheets</t>
  </si>
  <si>
    <t xml:space="preserve">Rate Card</t>
  </si>
  <si>
    <t xml:space="preserve">Effective rate sheet captured from page 14 of every Jan 2026 paper. Source of truth for sizes and discount tiers.</t>
  </si>
  <si>
    <t xml:space="preserve">Circulation</t>
  </si>
  <si>
    <t xml:space="preserve">Per-paper monthly mailing volumes per the rate sheet.</t>
  </si>
  <si>
    <t xml:space="preserve">Ad Inventory</t>
  </si>
  <si>
    <t xml:space="preserve">Tidy one-row-per-ad table. Append rows here as papers are cataloged.</t>
  </si>
  <si>
    <t xml:space="preserve">Advertiser Index</t>
  </si>
  <si>
    <t xml:space="preserve">Pivot - advertiser rows, paper columns. Cells show size class. Generated from Ad Inventory.</t>
  </si>
  <si>
    <t xml:space="preserve">Bundle Distribution</t>
  </si>
  <si>
    <t xml:space="preserve">Histogram - how many papers each advertiser appears in.</t>
  </si>
  <si>
    <t xml:space="preserve">Revenue Estimate</t>
  </si>
  <si>
    <t xml:space="preserve">Per-advertiser monthly revenue estimate using rate card lookup.</t>
  </si>
  <si>
    <t xml:space="preserve">Coverage Status</t>
  </si>
  <si>
    <t xml:space="preserve">Which papers have been cataloged in this file. Helps track progress.</t>
  </si>
  <si>
    <t xml:space="preserve">Methodology</t>
  </si>
  <si>
    <t xml:space="preserve">1. Render each Jan 2026 PDF to PNG at 110 DPI</t>
  </si>
  <si>
    <t xml:space="preserve">2. For each page, visually identify ads and classify by rate-card size class</t>
  </si>
  <si>
    <t xml:space="preserve">3. Capture advertiser_raw, normalized name, phone/url, position</t>
  </si>
  <si>
    <t xml:space="preserve">4. Flag Renna self-promo separately (NJLocalInfo, Mind Your Own Local Business, Renna flyer service)</t>
  </si>
  <si>
    <t xml:space="preserve">5. Append to Ad Inventory; pivots and rollups recompute from there</t>
  </si>
  <si>
    <t xml:space="preserve">Caveats</t>
  </si>
  <si>
    <t xml:space="preserve">- Size class is judgement-based against rate card dimensions; spot-check ambiguous cases</t>
  </si>
  <si>
    <t xml:space="preserve">- Some 'community service' style placements (church invites, library events) may be free PSAs not paid ads. Flagged via category</t>
  </si>
  <si>
    <t xml:space="preserve">- Page 14 of every paper IS the rate sheet (Renna self-promo, not a paid placement). Excluded.</t>
  </si>
  <si>
    <t xml:space="preserve">Last updated</t>
  </si>
  <si>
    <t xml:space="preserve">2026-04-29</t>
  </si>
  <si>
    <t xml:space="preserve">Renna Media Newspaper Ad Rates - Effective Nov 1, 2024</t>
  </si>
  <si>
    <t xml:space="preserve">Source: page 14 of every Renna Media monthly paper (Westfield Monthly Jan 2026 used as canonical capture)</t>
  </si>
  <si>
    <t xml:space="preserve">Size Class</t>
  </si>
  <si>
    <t xml:space="preserve">Description</t>
  </si>
  <si>
    <t xml:space="preserve">Dimensions</t>
  </si>
  <si>
    <t xml:space="preserve">Sq In</t>
  </si>
  <si>
    <t xml:space="preserve">1 Town</t>
  </si>
  <si>
    <t xml:space="preserve">3</t>
  </si>
  <si>
    <t xml:space="preserve">6</t>
  </si>
  <si>
    <t xml:space="preserve">9</t>
  </si>
  <si>
    <t xml:space="preserve">12</t>
  </si>
  <si>
    <t xml:space="preserve">15</t>
  </si>
  <si>
    <t xml:space="preserve">18</t>
  </si>
  <si>
    <t xml:space="preserve">21</t>
  </si>
  <si>
    <t xml:space="preserve">24</t>
  </si>
  <si>
    <t xml:space="preserve">27</t>
  </si>
  <si>
    <t xml:space="preserve">30</t>
  </si>
  <si>
    <t xml:space="preserve">1U</t>
  </si>
  <si>
    <t xml:space="preserve">1 Unit (Business Card)</t>
  </si>
  <si>
    <t xml:space="preserve">3.25 x 2</t>
  </si>
  <si>
    <t xml:space="preserve">2U</t>
  </si>
  <si>
    <t xml:space="preserve">2 Units</t>
  </si>
  <si>
    <t xml:space="preserve">6.5 x 2 or 3.25 x 4</t>
  </si>
  <si>
    <t xml:space="preserve">4U</t>
  </si>
  <si>
    <t xml:space="preserve">4 Units</t>
  </si>
  <si>
    <t xml:space="preserve">3.25 x 8 or 6.5 x 4</t>
  </si>
  <si>
    <t xml:space="preserve">6U</t>
  </si>
  <si>
    <t xml:space="preserve">6 Units</t>
  </si>
  <si>
    <t xml:space="preserve">6.5 x 6.25 or 10 x 4</t>
  </si>
  <si>
    <t xml:space="preserve">9HP</t>
  </si>
  <si>
    <t xml:space="preserve">9 Units (Half Page)</t>
  </si>
  <si>
    <t xml:space="preserve">6.5 x 9 or 10 x 7</t>
  </si>
  <si>
    <t xml:space="preserve">12U</t>
  </si>
  <si>
    <t xml:space="preserve">12 Units (3/4 Page)</t>
  </si>
  <si>
    <t xml:space="preserve">6.5 x 14</t>
  </si>
  <si>
    <t xml:space="preserve">18FP</t>
  </si>
  <si>
    <t xml:space="preserve">18 Units (Full Page)</t>
  </si>
  <si>
    <t xml:space="preserve">10 x 14</t>
  </si>
  <si>
    <t xml:space="preserve">2PG</t>
  </si>
  <si>
    <t xml:space="preserve">2-Page Spread</t>
  </si>
  <si>
    <t xml:space="preserve">21 x 14</t>
  </si>
  <si>
    <t xml:space="preserve">BACK</t>
  </si>
  <si>
    <t xml:space="preserve">Back Page (premium)</t>
  </si>
  <si>
    <t xml:space="preserve">BANNER</t>
  </si>
  <si>
    <t xml:space="preserve">Front Page Banner (premium)</t>
  </si>
  <si>
    <t xml:space="preserve">8.25 x 2</t>
  </si>
  <si>
    <t xml:space="preserve">FPBOX</t>
  </si>
  <si>
    <t xml:space="preserve">Front Page Box (premium)</t>
  </si>
  <si>
    <t xml:space="preserve">1.5 x 4</t>
  </si>
  <si>
    <t xml:space="preserve">Effective discount at 6-town tier (1-town x 6 vs 6-town tier)</t>
  </si>
  <si>
    <t xml:space="preserve">Size</t>
  </si>
  <si>
    <t xml:space="preserve">1 Town x 6</t>
  </si>
  <si>
    <t xml:space="preserve">6-Town Tier</t>
  </si>
  <si>
    <t xml:space="preserve">Discount</t>
  </si>
  <si>
    <t xml:space="preserve">Per-paper monthly circulation (from page 14 rate sheet)</t>
  </si>
  <si>
    <t xml:space="preserve">Slug</t>
  </si>
  <si>
    <t xml:space="preserve">Display Name</t>
  </si>
  <si>
    <t xml:space="preserve">ZIP / Notes</t>
  </si>
  <si>
    <t xml:space="preserve">berkeley-heights-news</t>
  </si>
  <si>
    <t xml:space="preserve">Berkeley Heights News</t>
  </si>
  <si>
    <t xml:space="preserve">07922</t>
  </si>
  <si>
    <t xml:space="preserve">the-chathams</t>
  </si>
  <si>
    <t xml:space="preserve">The Chathams</t>
  </si>
  <si>
    <t xml:space="preserve">07928</t>
  </si>
  <si>
    <t xml:space="preserve">clark-monthly</t>
  </si>
  <si>
    <t xml:space="preserve">Clark Monthly</t>
  </si>
  <si>
    <t xml:space="preserve">07066</t>
  </si>
  <si>
    <t xml:space="preserve">cranford-monthly</t>
  </si>
  <si>
    <t xml:space="preserve">Cranford Monthly</t>
  </si>
  <si>
    <t xml:space="preserve">07016</t>
  </si>
  <si>
    <t xml:space="preserve">east-hanover-view</t>
  </si>
  <si>
    <t xml:space="preserve">East Hanover View</t>
  </si>
  <si>
    <t xml:space="preserve">07936</t>
  </si>
  <si>
    <t xml:space="preserve">elmora-hills</t>
  </si>
  <si>
    <t xml:space="preserve">Elmora Hills</t>
  </si>
  <si>
    <t xml:space="preserve">07208 partial Elizabeth</t>
  </si>
  <si>
    <t xml:space="preserve">fanwood-post</t>
  </si>
  <si>
    <t xml:space="preserve">Fanwood Post</t>
  </si>
  <si>
    <t xml:space="preserve">07023</t>
  </si>
  <si>
    <t xml:space="preserve">florham-park-press</t>
  </si>
  <si>
    <t xml:space="preserve">Florham Park Press</t>
  </si>
  <si>
    <t xml:space="preserve">07932</t>
  </si>
  <si>
    <t xml:space="preserve">garwood-times</t>
  </si>
  <si>
    <t xml:space="preserve">Garwood Times</t>
  </si>
  <si>
    <t xml:space="preserve">07027</t>
  </si>
  <si>
    <t xml:space="preserve">green-brook-gazette</t>
  </si>
  <si>
    <t xml:space="preserve">Green Brook Gazette</t>
  </si>
  <si>
    <t xml:space="preserve">08812</t>
  </si>
  <si>
    <t xml:space="preserve">hanover-township-press</t>
  </si>
  <si>
    <t xml:space="preserve">Hanover Township Press</t>
  </si>
  <si>
    <t xml:space="preserve">07927/07981</t>
  </si>
  <si>
    <t xml:space="preserve">kenilworth-business-life</t>
  </si>
  <si>
    <t xml:space="preserve">Kenilworth Business Life</t>
  </si>
  <si>
    <t xml:space="preserve">07033</t>
  </si>
  <si>
    <t xml:space="preserve">life-in-linden</t>
  </si>
  <si>
    <t xml:space="preserve">Life in Linden</t>
  </si>
  <si>
    <t xml:space="preserve">07036</t>
  </si>
  <si>
    <t xml:space="preserve">life-in-roseland</t>
  </si>
  <si>
    <t xml:space="preserve">Life in Roseland</t>
  </si>
  <si>
    <t xml:space="preserve">07068</t>
  </si>
  <si>
    <t xml:space="preserve">livingston-monthly</t>
  </si>
  <si>
    <t xml:space="preserve">Livingston Monthly</t>
  </si>
  <si>
    <t xml:space="preserve">07039</t>
  </si>
  <si>
    <t xml:space="preserve">long-hill-leader</t>
  </si>
  <si>
    <t xml:space="preserve">Long Hill Leader</t>
  </si>
  <si>
    <t xml:space="preserve">07933/07946/07980</t>
  </si>
  <si>
    <t xml:space="preserve">madison-monthly</t>
  </si>
  <si>
    <t xml:space="preserve">Madison Monthly</t>
  </si>
  <si>
    <t xml:space="preserve">07940</t>
  </si>
  <si>
    <t xml:space="preserve">millburn-short-hills-monthly</t>
  </si>
  <si>
    <t xml:space="preserve">Millburn Short Hills Monthly</t>
  </si>
  <si>
    <t xml:space="preserve">07041/07078</t>
  </si>
  <si>
    <t xml:space="preserve">morris-township-times</t>
  </si>
  <si>
    <t xml:space="preserve">Morris Township Times</t>
  </si>
  <si>
    <t xml:space="preserve">07960 partial</t>
  </si>
  <si>
    <t xml:space="preserve">morristown-monthly</t>
  </si>
  <si>
    <t xml:space="preserve">Morristown Monthly</t>
  </si>
  <si>
    <t xml:space="preserve">mountainside-view</t>
  </si>
  <si>
    <t xml:space="preserve">Mountainside View</t>
  </si>
  <si>
    <t xml:space="preserve">07092</t>
  </si>
  <si>
    <t xml:space="preserve">new-providence-news</t>
  </si>
  <si>
    <t xml:space="preserve">New Providence News</t>
  </si>
  <si>
    <t xml:space="preserve">07974</t>
  </si>
  <si>
    <t xml:space="preserve">our-town-rahway</t>
  </si>
  <si>
    <t xml:space="preserve">Our Town Rahway</t>
  </si>
  <si>
    <t xml:space="preserve">07065</t>
  </si>
  <si>
    <t xml:space="preserve">roselle-park-monthly</t>
  </si>
  <si>
    <t xml:space="preserve">Roselle Park Monthly</t>
  </si>
  <si>
    <t xml:space="preserve">07204</t>
  </si>
  <si>
    <t xml:space="preserve">scotch-plains-monthly</t>
  </si>
  <si>
    <t xml:space="preserve">Scotch Plains Monthly</t>
  </si>
  <si>
    <t xml:space="preserve">07076</t>
  </si>
  <si>
    <t xml:space="preserve">spirit-of-union</t>
  </si>
  <si>
    <t xml:space="preserve">Spirit of Union</t>
  </si>
  <si>
    <t xml:space="preserve">07083 partial</t>
  </si>
  <si>
    <t xml:space="preserve">summit-times</t>
  </si>
  <si>
    <t xml:space="preserve">Summit Times</t>
  </si>
  <si>
    <t xml:space="preserve">07901</t>
  </si>
  <si>
    <t xml:space="preserve">warren-monthly</t>
  </si>
  <si>
    <t xml:space="preserve">Warren Monthly</t>
  </si>
  <si>
    <t xml:space="preserve">07059</t>
  </si>
  <si>
    <t xml:space="preserve">watchung-post</t>
  </si>
  <si>
    <t xml:space="preserve">Watchung Post</t>
  </si>
  <si>
    <t xml:space="preserve">07069</t>
  </si>
  <si>
    <t xml:space="preserve">westfield-monthly</t>
  </si>
  <si>
    <t xml:space="preserve">Westfield Monthly</t>
  </si>
  <si>
    <t xml:space="preserve">07090</t>
  </si>
  <si>
    <t xml:space="preserve">TOTAL</t>
  </si>
  <si>
    <t xml:space="preserve">paper_slug</t>
  </si>
  <si>
    <t xml:space="preserve">paper_display</t>
  </si>
  <si>
    <t xml:space="preserve">circulation</t>
  </si>
  <si>
    <t xml:space="preserve">month</t>
  </si>
  <si>
    <t xml:space="preserve">page</t>
  </si>
  <si>
    <t xml:space="preserve">advertiser_raw</t>
  </si>
  <si>
    <t xml:space="preserve">advertiser_normalized</t>
  </si>
  <si>
    <t xml:space="preserve">category</t>
  </si>
  <si>
    <t xml:space="preserve">size_class</t>
  </si>
  <si>
    <t xml:space="preserve">size_dims</t>
  </si>
  <si>
    <t xml:space="preserve">size_sq_in</t>
  </si>
  <si>
    <t xml:space="preserve">position</t>
  </si>
  <si>
    <t xml:space="preserve">is_renna_self</t>
  </si>
  <si>
    <t xml:space="preserve">phone</t>
  </si>
  <si>
    <t xml:space="preserve">website</t>
  </si>
  <si>
    <t xml:space="preserve">confidence</t>
  </si>
  <si>
    <t xml:space="preserve">notes</t>
  </si>
  <si>
    <t xml:space="preserve">2026-01</t>
  </si>
  <si>
    <t xml:space="preserve">NJLocalInfo.com</t>
  </si>
  <si>
    <t xml:space="preserve">renna_self</t>
  </si>
  <si>
    <t xml:space="preserve">3.25x8</t>
  </si>
  <si>
    <t xml:space="preserve">front_strip</t>
  </si>
  <si>
    <t xml:space="preserve">njlocalinfo.com</t>
  </si>
  <si>
    <t xml:space="preserve">high</t>
  </si>
  <si>
    <t xml:space="preserve">Renna self-promo on front cover left strip</t>
  </si>
  <si>
    <t xml:space="preserve">Renna Media Printing &amp; Mailing</t>
  </si>
  <si>
    <t xml:space="preserve">Renna Media Print Service</t>
  </si>
  <si>
    <t xml:space="preserve">6.5x4</t>
  </si>
  <si>
    <t xml:space="preserve">908-447-1295</t>
  </si>
  <si>
    <t xml:space="preserve">rennamedia.com</t>
  </si>
  <si>
    <t xml:space="preserve">Joe Renna flyers $100/thousand bottom strip</t>
  </si>
  <si>
    <t xml:space="preserve">Westfield Monthly / Renna Media masthead ad</t>
  </si>
  <si>
    <t xml:space="preserve">Renna Media Advertising</t>
  </si>
  <si>
    <t xml:space="preserve">inline</t>
  </si>
  <si>
    <t xml:space="preserve">Top-left masthead with Renna ad pricing CTA</t>
  </si>
  <si>
    <t xml:space="preserve">Spring Grove Rehabilitation &amp; Healthcare</t>
  </si>
  <si>
    <t xml:space="preserve">Spring Grove Rehabilitation</t>
  </si>
  <si>
    <t xml:space="preserve">healthcare</t>
  </si>
  <si>
    <t xml:space="preserve">10x7</t>
  </si>
  <si>
    <t xml:space="preserve">half_bottom</t>
  </si>
  <si>
    <t xml:space="preserve">908-464-8600</t>
  </si>
  <si>
    <t xml:space="preserve">springgrovehealth.com</t>
  </si>
  <si>
    <t xml:space="preserve">4 time awardee Best Nursing Home</t>
  </si>
  <si>
    <t xml:space="preserve">The Isoldi Collection - Frank D. Isoldi - Coldwell Banker</t>
  </si>
  <si>
    <t xml:space="preserve">Frank Isoldi (Coldwell Banker)</t>
  </si>
  <si>
    <t xml:space="preserve">real_estate</t>
  </si>
  <si>
    <t xml:space="preserve">10x14</t>
  </si>
  <si>
    <t xml:space="preserve">full_page</t>
  </si>
  <si>
    <t xml:space="preserve">908-787-5990</t>
  </si>
  <si>
    <t xml:space="preserve">theisoldicollection.com</t>
  </si>
  <si>
    <t xml:space="preserve">Why Westfield NJ - full page color</t>
  </si>
  <si>
    <t xml:space="preserve">AngiLLC Tile &amp; Finish Carpentry</t>
  </si>
  <si>
    <t xml:space="preserve">AngiLLC</t>
  </si>
  <si>
    <t xml:space="preserve">services</t>
  </si>
  <si>
    <t xml:space="preserve">3.25x4</t>
  </si>
  <si>
    <t xml:space="preserve">973-896-4656</t>
  </si>
  <si>
    <t xml:space="preserve">angillc.com</t>
  </si>
  <si>
    <t xml:space="preserve">Top left page 4</t>
  </si>
  <si>
    <t xml:space="preserve">St Michael School Cranford (SMS)</t>
  </si>
  <si>
    <t xml:space="preserve">St Michael School Cranford</t>
  </si>
  <si>
    <t xml:space="preserve">education</t>
  </si>
  <si>
    <t xml:space="preserve">3.25x12</t>
  </si>
  <si>
    <t xml:space="preserve">quarter</t>
  </si>
  <si>
    <t xml:space="preserve">908-276-9425</t>
  </si>
  <si>
    <t xml:space="preserve">smscranford.org</t>
  </si>
  <si>
    <t xml:space="preserve">Open House Jan 22 &amp; 25</t>
  </si>
  <si>
    <t xml:space="preserve">Union County Orthopaedic Group</t>
  </si>
  <si>
    <t xml:space="preserve">6.5x9</t>
  </si>
  <si>
    <t xml:space="preserve">908-864-0664</t>
  </si>
  <si>
    <t xml:space="preserve">unioncountyortho.com</t>
  </si>
  <si>
    <t xml:space="preserve">Linden Clark Union locations</t>
  </si>
  <si>
    <t xml:space="preserve">Magnolia Home Remodeling Group</t>
  </si>
  <si>
    <t xml:space="preserve">Magnolia Home Remodeling</t>
  </si>
  <si>
    <t xml:space="preserve">855-624-6655</t>
  </si>
  <si>
    <t xml:space="preserve">magnoliahomeremodeling.com</t>
  </si>
  <si>
    <t xml:space="preserve">Full page color, 0% financing 30yr exp</t>
  </si>
  <si>
    <t xml:space="preserve">I Buy Old Motorcycles - Glenn</t>
  </si>
  <si>
    <t xml:space="preserve">Glenn Buys Motorcycles</t>
  </si>
  <si>
    <t xml:space="preserve">3.25x2</t>
  </si>
  <si>
    <t xml:space="preserve">eighth</t>
  </si>
  <si>
    <t xml:space="preserve">732-556-7636</t>
  </si>
  <si>
    <t xml:space="preserve">Bottom left small</t>
  </si>
  <si>
    <t xml:space="preserve">Al's Carpentry Home Improvements</t>
  </si>
  <si>
    <t xml:space="preserve">Al's Carpentry</t>
  </si>
  <si>
    <t xml:space="preserve">alscarpentry11@aol.com</t>
  </si>
  <si>
    <t xml:space="preserve">Bottom left under motorcycles</t>
  </si>
  <si>
    <t xml:space="preserve">NJ Antique Buyers</t>
  </si>
  <si>
    <t xml:space="preserve">6.5x6.25</t>
  </si>
  <si>
    <t xml:space="preserve">201-410-8442</t>
  </si>
  <si>
    <t xml:space="preserve">njantiques.com</t>
  </si>
  <si>
    <t xml:space="preserve">Bottom right - We Buy Antiques Art Coins Jewelry</t>
  </si>
  <si>
    <t xml:space="preserve">Best Places Expo / Ideal-LIVING</t>
  </si>
  <si>
    <t xml:space="preserve">Best Places Expo</t>
  </si>
  <si>
    <t xml:space="preserve">800-736-0321</t>
  </si>
  <si>
    <t xml:space="preserve">BestPlacesExpo.com</t>
  </si>
  <si>
    <t xml:space="preserve">Bridgewater Marriott Jan 31-Feb 1 relocation expo</t>
  </si>
  <si>
    <t xml:space="preserve">Estates Roadshow - Clark Holiday Inn</t>
  </si>
  <si>
    <t xml:space="preserve">Estates Roadshow</t>
  </si>
  <si>
    <t xml:space="preserve">609-781-6559</t>
  </si>
  <si>
    <t xml:space="preserve">EstatesRoadshow.com</t>
  </si>
  <si>
    <t xml:space="preserve">Jan 19-23 Clark Holiday Inn show</t>
  </si>
  <si>
    <t xml:space="preserve">Estates Roadshow - Kenilworth Hotel</t>
  </si>
  <si>
    <t xml:space="preserve">Two weeks Jan Kenilworth Hotel - same advertiser duplicate creative</t>
  </si>
  <si>
    <t xml:space="preserve">Lost Dog $2,500 reward (Westfield/Fanwood)</t>
  </si>
  <si>
    <t xml:space="preserve">Lost Dog Classified</t>
  </si>
  <si>
    <t xml:space="preserve">other</t>
  </si>
  <si>
    <t xml:space="preserve">908-370-1903</t>
  </si>
  <si>
    <t xml:space="preserve">medium</t>
  </si>
  <si>
    <t xml:space="preserve">Likely paid classified - dog name not given but reward listed</t>
  </si>
  <si>
    <t xml:space="preserve">Sam's Landscaping</t>
  </si>
  <si>
    <t xml:space="preserve">908-441-7302</t>
  </si>
  <si>
    <t xml:space="preserve">samslandscaping.com</t>
  </si>
  <si>
    <t xml:space="preserve">Treat Yourself to Stress-Free Property Care 2026</t>
  </si>
  <si>
    <t xml:space="preserve">My Handyman &amp; Painter LLC</t>
  </si>
  <si>
    <t xml:space="preserve">My Handyman &amp; Painter</t>
  </si>
  <si>
    <t xml:space="preserve">732-331-9572</t>
  </si>
  <si>
    <t xml:space="preserve">myhandymanandpainter.com</t>
  </si>
  <si>
    <t xml:space="preserve">Full page color - testimonials grid</t>
  </si>
  <si>
    <t xml:space="preserve">Calderone School of Music</t>
  </si>
  <si>
    <t xml:space="preserve">973-467-4688</t>
  </si>
  <si>
    <t xml:space="preserve">calderoneschoolofmusic.com</t>
  </si>
  <si>
    <t xml:space="preserve">Established 1975 two locations Springfield East Hanover</t>
  </si>
  <si>
    <t xml:space="preserve">Brink's Contracting</t>
  </si>
  <si>
    <t xml:space="preserve">862-451-9686</t>
  </si>
  <si>
    <t xml:space="preserve">BrinksContractingServices.com</t>
  </si>
  <si>
    <t xml:space="preserve">Builders remodeling renovations</t>
  </si>
  <si>
    <t xml:space="preserve">Brook Arts Center - Speakeasy Soiree</t>
  </si>
  <si>
    <t xml:space="preserve">Brook Arts Center</t>
  </si>
  <si>
    <t xml:space="preserve">brookarts.org</t>
  </si>
  <si>
    <t xml:space="preserve">Annual fundraiser Jan 23</t>
  </si>
  <si>
    <t xml:space="preserve">Follow Us On Facebook - Renna Media</t>
  </si>
  <si>
    <t xml:space="preserve">Renna Media Social Promo</t>
  </si>
  <si>
    <t xml:space="preserve">facebook.com/RennaMedia</t>
  </si>
  <si>
    <t xml:space="preserve">Bottom left small Renna self</t>
  </si>
  <si>
    <t xml:space="preserve">Open House Community Presbyterian Nursery School</t>
  </si>
  <si>
    <t xml:space="preserve">Community Presbyterian Nursery School</t>
  </si>
  <si>
    <t xml:space="preserve">908-889-2100</t>
  </si>
  <si>
    <t xml:space="preserve">Sat Jan 24 9-11am Mountainside</t>
  </si>
  <si>
    <t xml:space="preserve">Light Bridge Academy Westfield</t>
  </si>
  <si>
    <t xml:space="preserve">Light Bridge Academy</t>
  </si>
  <si>
    <t xml:space="preserve">banner</t>
  </si>
  <si>
    <t xml:space="preserve">908-228-5791</t>
  </si>
  <si>
    <t xml:space="preserve">Lightbridgeacademy.com</t>
  </si>
  <si>
    <t xml:space="preserve">Full Day Kindergarten now enrolling</t>
  </si>
  <si>
    <t xml:space="preserve">Mr J's Deli Cranford</t>
  </si>
  <si>
    <t xml:space="preserve">Mr J's Deli</t>
  </si>
  <si>
    <t xml:space="preserve">food</t>
  </si>
  <si>
    <t xml:space="preserve">908-272-0370</t>
  </si>
  <si>
    <t xml:space="preserve">mrjsdellincranford.com</t>
  </si>
  <si>
    <t xml:space="preserve">Custom catering for any size party</t>
  </si>
  <si>
    <t xml:space="preserve">Renna Media Newspapers Rate Sheet</t>
  </si>
  <si>
    <t xml:space="preserve">Renna Media Rate Sheet</t>
  </si>
  <si>
    <t xml:space="preserve">Entire page 14 = the rate card itself, not a paid placement</t>
  </si>
  <si>
    <t xml:space="preserve">Coldwell Banker Realty - Elizabeth Bataille</t>
  </si>
  <si>
    <t xml:space="preserve">Elizabeth Bataille (Coldwell Banker)</t>
  </si>
  <si>
    <t xml:space="preserve">908-202-1721</t>
  </si>
  <si>
    <t xml:space="preserve">ElizabethBBataille.com</t>
  </si>
  <si>
    <t xml:space="preserve">Top right of editorial page</t>
  </si>
  <si>
    <t xml:space="preserve">Lawrence Law Divorce &amp; Family Lawyers</t>
  </si>
  <si>
    <t xml:space="preserve">Lawrence Law</t>
  </si>
  <si>
    <t xml:space="preserve">professional</t>
  </si>
  <si>
    <t xml:space="preserve">908-645-1000</t>
  </si>
  <si>
    <t xml:space="preserve">lawlawfirm.com</t>
  </si>
  <si>
    <t xml:space="preserve">We're here to serve Westfield</t>
  </si>
  <si>
    <t xml:space="preserve">Reynolds Plumbing</t>
  </si>
  <si>
    <t xml:space="preserve">908-276-5367</t>
  </si>
  <si>
    <t xml:space="preserve">reynolds-plumbing.net</t>
  </si>
  <si>
    <t xml:space="preserve">358 North Avenue East Cranford</t>
  </si>
  <si>
    <t xml:space="preserve">Mind Your Own Local Business with Joe Renna</t>
  </si>
  <si>
    <t xml:space="preserve">Mind Your Own Local Business</t>
  </si>
  <si>
    <t xml:space="preserve">6.5x2</t>
  </si>
  <si>
    <t xml:space="preserve">youtube.com Renna Media</t>
  </si>
  <si>
    <t xml:space="preserve">Renna self - YouTube show plug</t>
  </si>
  <si>
    <t xml:space="preserve">Mr Handyman a Neighborly Company</t>
  </si>
  <si>
    <t xml:space="preserve">Mr Handyman</t>
  </si>
  <si>
    <t xml:space="preserve">908-251-9441</t>
  </si>
  <si>
    <t xml:space="preserve">Mrhandyman.com</t>
  </si>
  <si>
    <t xml:space="preserve">Repair and Remodel Services 2500+ reviews</t>
  </si>
  <si>
    <t xml:space="preserve">Marano &amp; Sons Auto Sales Inc</t>
  </si>
  <si>
    <t xml:space="preserve">Marano &amp; Sons Auto Sales</t>
  </si>
  <si>
    <t xml:space="preserve">automotive</t>
  </si>
  <si>
    <t xml:space="preserve">back_cover</t>
  </si>
  <si>
    <t xml:space="preserve">908-789-1551</t>
  </si>
  <si>
    <t xml:space="preserve">MaranoAuto.com</t>
  </si>
  <si>
    <t xml:space="preserve">Full back cover - 507-13 South Avenue Garwood</t>
  </si>
  <si>
    <t xml:space="preserve">Like us on Facebook - Renna Media footer</t>
  </si>
  <si>
    <t xml:space="preserve">Tiny back cover footer</t>
  </si>
  <si>
    <t xml:space="preserve">Cataloging Coverage by Paper</t>
  </si>
  <si>
    <t xml:space="preserve">Paper</t>
  </si>
  <si>
    <t xml:space="preserve">Status</t>
  </si>
  <si>
    <t xml:space="preserve">Total Ads</t>
  </si>
  <si>
    <t xml:space="preserve">Paid Ads</t>
  </si>
  <si>
    <t xml:space="preserve">Renna Self</t>
  </si>
  <si>
    <t xml:space="preserve">Notes</t>
  </si>
  <si>
    <t xml:space="preserve">pending</t>
  </si>
  <si>
    <t xml:space="preserve">DONE</t>
  </si>
  <si>
    <t xml:space="preserve">How many papers does each advertiser appear in? (paid only)</t>
  </si>
  <si>
    <t xml:space="preserve">Recompute after each paper is added by re-running the build script (or manually with COUNTIFS over Ad Inventory).</t>
  </si>
  <si>
    <t xml:space="preserve"># Papers Appearing In</t>
  </si>
  <si>
    <t xml:space="preserve"># Advertisers</t>
  </si>
  <si>
    <t xml:space="preserve">% of Advertisers</t>
  </si>
  <si>
    <t xml:space="preserve">1 paper only</t>
  </si>
  <si>
    <t xml:space="preserve">single-paper</t>
  </si>
  <si>
    <t xml:space="preserve">2-3 papers</t>
  </si>
  <si>
    <t xml:space="preserve">small bundle</t>
  </si>
  <si>
    <t xml:space="preserve">4-6 papers</t>
  </si>
  <si>
    <t xml:space="preserve">rate-card 6-town tier</t>
  </si>
  <si>
    <t xml:space="preserve">7-12 papers</t>
  </si>
  <si>
    <t xml:space="preserve">rate-card 12-town tier</t>
  </si>
  <si>
    <t xml:space="preserve">13-18 papers</t>
  </si>
  <si>
    <t xml:space="preserve">rate-card 18-town tier</t>
  </si>
  <si>
    <t xml:space="preserve">19-30 papers</t>
  </si>
  <si>
    <t xml:space="preserve">rate-card 21-30 tier</t>
  </si>
  <si>
    <t xml:space="preserve">Phone Number Fingerprint Across All 30 Jan 2026 Editions</t>
  </si>
  <si>
    <t xml:space="preserve">One row per unique phone. Category labels assigned manually from text context. Renna self/PSA/editorial excluded from paid bundle stats.</t>
  </si>
  <si>
    <t xml:space="preserve">Phone</t>
  </si>
  <si>
    <t xml:space="preserve"># Papers</t>
  </si>
  <si>
    <t xml:space="preserve">Category</t>
  </si>
  <si>
    <t xml:space="preserve">Best-Guess Advertiser</t>
  </si>
  <si>
    <t xml:space="preserve">First Context (truncated)</t>
  </si>
  <si>
    <t xml:space="preserve">Papers</t>
  </si>
  <si>
    <t xml:space="preserve">Joe Renna</t>
  </si>
  <si>
    <t xml:space="preserve">Renna Media owner - rate sheet line on every paper</t>
  </si>
  <si>
    <t xml:space="preserve">your business. Mailed to every home and business in 30 towns! Call Joe Renna 908-447-1295 • Visit RennaMedia.com 10TH ANNUAL WINTER WALK WAS FUN FOR ALL AGES Th</t>
  </si>
  <si>
    <t xml:space="preserve">berkeley-heights-news;clark-monthly;cranford-monthly;east-hanover-view;elmora-hills;fanwood-post;florham-park-press;garwood-times;green-brook-gazette;hanover-township-press;kenilworth-business-life;life-in-linden;life-in-roseland;livingston-monthly;long-hill-leader;madison-monthly;millburn-short-hills-monthly;morris-township-times;morristown-monthly;mountainside-view;new-providence-news;our-town-rahway;roselle-park-monthly;scotch-plains-monthly;spirit-of-union;summit-times;the-chathams;warren-monthly;watchung-post;westfield-monthly</t>
  </si>
  <si>
    <t xml:space="preserve">908-377-1399</t>
  </si>
  <si>
    <t xml:space="preserve">psa</t>
  </si>
  <si>
    <t xml:space="preserve">Hickory Tree Chorus auditions</t>
  </si>
  <si>
    <t xml:space="preserve">Community announcement</t>
  </si>
  <si>
    <t xml:space="preserve">and to schedule your audition, email us at info@hickorytreechorus.org or call 908-377-1399. Courtesy Photoasked to perform a brief acappella song of their choic</t>
  </si>
  <si>
    <t xml:space="preserve">clark-monthly;cranford-monthly;east-hanover-view;fanwood-post;florham-park-press;green-brook-gazette;kenilworth-business-life;life-in-linden;life-in-roseland;livingston-monthly;long-hill-leader;millburn-short-hills-monthly;morris-township-times;morristown-monthly;mountainside-view;new-providence-news;roselle-park-monthly;scotch-plains-monthly;summit-times;the-chathams;westfield-monthly</t>
  </si>
  <si>
    <t xml:space="preserve">908-964-4004</t>
  </si>
  <si>
    <t xml:space="preserve">paid</t>
  </si>
  <si>
    <t xml:space="preserve">VDS NJ Video Tape Transfers</t>
  </si>
  <si>
    <t xml:space="preserve">Union NJ - small ad</t>
  </si>
  <si>
    <t xml:space="preserve">d since 1984 www.vdsnj.com facebook.com/vdsnj email: vdsnjira@gmail.com 908-964-4004 406 Chestnut St.  Union, NJ 07083 Video Tape Transfers  DVD &amp; Flash Driv</t>
  </si>
  <si>
    <t xml:space="preserve">berkeley-heights-news;clark-monthly;cranford-monthly;east-hanover-view;elmora-hills;fanwood-post;florham-park-press;garwood-times;green-brook-gazette;hanover-township-press;kenilworth-business-life;livingston-monthly;madison-monthly;morris-township-times;morristown-monthly;mountainside-view;new-providence-news;scotch-plains-monthly;spirit-of-union;warren-monthly</t>
  </si>
  <si>
    <t xml:space="preserve">IHM Parish Alpha</t>
  </si>
  <si>
    <t xml:space="preserve">Church program registration</t>
  </si>
  <si>
    <t xml:space="preserve">gister go onto IHMParish.net/Alpha. If you have any questions, please call 908-889-2100. (above) Scan to register go onto IHMParish.net/Alpha. LOST DOG $2,500 R</t>
  </si>
  <si>
    <t xml:space="preserve">clark-monthly;cranford-monthly;east-hanover-view;elmora-hills;fanwood-post;florham-park-press;hanover-township-press;kenilworth-business-life;life-in-linden;life-in-roseland;livingston-monthly;millburn-short-hills-monthly;mountainside-view;new-providence-news;roselle-park-monthly;scotch-plains-monthly;spirit-of-union;summit-times;westfield-monthly</t>
  </si>
  <si>
    <t xml:space="preserve">Small box ad - 1U or 2U</t>
  </si>
  <si>
    <t xml:space="preserve">mpaign. I BUY OLD MOTORCYCLES All Types - Running or Not Call or Text Glenn 732-556-7636 Same Day Pick-up We Pay Cash</t>
  </si>
  <si>
    <t xml:space="preserve">clark-monthly;east-hanover-view;elmora-hills;fanwood-post;garwood-times;green-brook-gazette;hanover-township-press;kenilworth-business-life;livingston-monthly;madison-monthly;morris-township-times;morristown-monthly;new-providence-news;scotch-plains-monthly;spirit-of-union;watchung-post;westfield-monthly</t>
  </si>
  <si>
    <t xml:space="preserve">Estates Roadshow (Marshall Smoller)</t>
  </si>
  <si>
    <t xml:space="preserve">Full page (often 2 full pages: Clark + Kenilworth)</t>
  </si>
  <si>
    <t xml:space="preserve">Appropriate Boxes &amp; Paper Work. Speak to the company’s owner: Marshall Smoller: 609-781-6559WATCHES - Rolex - Cartier - Patek Philippe - Pocket WatchesBUYING AL</t>
  </si>
  <si>
    <t xml:space="preserve">berkeley-heights-news;clark-monthly;cranford-monthly;elmora-hills;fanwood-post;garwood-times;kenilworth-business-life;life-in-linden;mountainside-view;new-providence-news;our-town-rahway;roselle-park-monthly;scotch-plains-monthly;spirit-of-union;summit-times;westfield-monthly</t>
  </si>
  <si>
    <t xml:space="preserve">908-273-5549</t>
  </si>
  <si>
    <t xml:space="preserve">Christ Church Brenda Dodds (menu)</t>
  </si>
  <si>
    <t xml:space="preserve">Community lunch RSVP</t>
  </si>
  <si>
    <t xml:space="preserve">is $5 per person. RSVP is requested for menu-planning. Contact Brenda Dodds 908 273-5549 or brenda@ccsnj.org. Christ Church is located at 561 Springfield Avenue</t>
  </si>
  <si>
    <t xml:space="preserve">clark-monthly;east-hanover-view;elmora-hills;florham-park-press;life-in-linden;livingston-monthly;madison-monthly;millburn-short-hills-monthly;morris-township-times;morristown-monthly;mountainside-view;scotch-plains-monthly;summit-times;the-chathams</t>
  </si>
  <si>
    <t xml:space="preserve">973-566-9999</t>
  </si>
  <si>
    <t xml:space="preserve">Pizzano Photo Studio (residential/commercial photo)</t>
  </si>
  <si>
    <t xml:space="preserve">35 yr business - check size</t>
  </si>
  <si>
    <t xml:space="preserve">Photo Residential and Commercial Call for a FREE consultation and estimate: 973-566-9999 In business for 35 years using state-of-the-art equipment and professio</t>
  </si>
  <si>
    <t xml:space="preserve">berkeley-heights-news;east-hanover-view;florham-park-press;green-brook-gazette;life-in-roseland;livingston-monthly;madison-monthly;millburn-short-hills-monthly;morris-township-times;morristown-monthly;new-providence-news;summit-times;the-chathams;warren-monthly</t>
  </si>
  <si>
    <t xml:space="preserve">Full page color</t>
  </si>
  <si>
    <t xml:space="preserve">ly - We support animal rescues QUALITY HOME IMPROVEMENTS AT AFFORDABLE PRICES 732-331-9572 www.MyHandymanAndPainter.comAll Kinds of Home Repairs - No Job Too Sm</t>
  </si>
  <si>
    <t xml:space="preserve">berkeley-heights-news;clark-monthly;cranford-monthly;fanwood-post;life-in-linden;millburn-short-hills-monthly;mountainside-view;new-providence-news;scotch-plains-monthly;summit-times;warren-monthly;westfield-monthly</t>
  </si>
  <si>
    <t xml:space="preserve">973-635-0036</t>
  </si>
  <si>
    <t xml:space="preserve">Dr. Murphy Suburban Chiropractic Chatham</t>
  </si>
  <si>
    <t xml:space="preserve">Small inline ad</t>
  </si>
  <si>
    <t xml:space="preserve">• Page 12 • January 2026 301 Main Street • Chatham 973-635-0036 • www.drmurphy.comCelebrating Our 42nd Year! “YOUR BETTER HEALTH IS OUR ON</t>
  </si>
  <si>
    <t xml:space="preserve">berkeley-heights-news;florham-park-press;livingston-monthly;long-hill-leader;madison-monthly;millburn-short-hills-monthly;morris-township-times;morristown-monthly;new-providence-news;summit-times;the-chathams;warren-monthly</t>
  </si>
  <si>
    <t xml:space="preserve">6U - We Buy Antiques Coins Jewelry</t>
  </si>
  <si>
    <t xml:space="preserve">ume, Silver, and Gold)  Sterling Silver, European Silver, Antique Silverplate201-410-8442 info@njantiques.com www.njantiques.com 3 East Pleasant Ave. Maywood, </t>
  </si>
  <si>
    <t xml:space="preserve">clark-monthly;cranford-monthly;livingston-monthly;madison-monthly;millburn-short-hills-monthly;morris-township-times;morristown-monthly;summit-times;the-chathams;westfield-monthly</t>
  </si>
  <si>
    <t xml:space="preserve">St Michael School (SMS) Cranford</t>
  </si>
  <si>
    <t xml:space="preserve">6U school ad - open house</t>
  </si>
  <si>
    <t xml:space="preserve">pm - 1:30 pm PLEASE CONTACT THE SCHOOL FOR MORE INFORMATION PLEASE CALL (908) 276-9425 100 Alden Street, Cranford, NJ www.smscranford.com E-Mail: saint.michael@</t>
  </si>
  <si>
    <t xml:space="preserve">clark-monthly;cranford-monthly;garwood-times;kenilworth-business-life;life-in-linden;our-town-rahway;roselle-park-monthly;spirit-of-union;westfield-monthly</t>
  </si>
  <si>
    <t xml:space="preserve">973-998-5670</t>
  </si>
  <si>
    <t xml:space="preserve">NJ Youth Chorus</t>
  </si>
  <si>
    <t xml:space="preserve">Concert info</t>
  </si>
  <si>
    <t xml:space="preserve">n Denver, Colorado, for Sola V oce and Cor Amici For more information, call (973) 998-5670 or email info@njyc.org. Wharton Arts’ mission is to offer accessible,</t>
  </si>
  <si>
    <t xml:space="preserve">clark-monthly;east-hanover-view;elmora-hills;kenilworth-business-life;life-in-roseland;madison-monthly;millburn-short-hills-monthly;roselle-park-monthly;scotch-plains-monthly</t>
  </si>
  <si>
    <t xml:space="preserve">908-233-5555</t>
  </si>
  <si>
    <t xml:space="preserve">Coldwell Banker Westfield office</t>
  </si>
  <si>
    <t xml:space="preserve">Multi-agent - office number</t>
  </si>
  <si>
    <t xml:space="preserve">CLARK MONTHLY • Page 15 • January 2026 Cell 908-202-1702  O: 908-233-5555 elizabeth.bataille@gmail.com 209 Central Ave,Westfield, NJ 07090 Elizabet</t>
  </si>
  <si>
    <t xml:space="preserve">clark-monthly;cranford-monthly;fanwood-post;garwood-times;life-in-linden;millburn-short-hills-monthly;scotch-plains-monthly;westfield-monthly</t>
  </si>
  <si>
    <t xml:space="preserve">732-391-3466</t>
  </si>
  <si>
    <t xml:space="preserve">Complete Solutions (computer/IT)</t>
  </si>
  <si>
    <t xml:space="preserve">Small biz networks</t>
  </si>
  <si>
    <t xml:space="preserve">l.com Email: info@completesol.com Call for a Free, No Obligation Consultation 732-391-3466GOT COMPUTER PROBLEMS? SPECIALIZING IN NETWORKS FOR SMALL BUSINESSES</t>
  </si>
  <si>
    <t xml:space="preserve">elmora-hills;green-brook-gazette;livingston-monthly;madison-monthly;new-providence-news;roselle-park-monthly;watchung-post</t>
  </si>
  <si>
    <t xml:space="preserve">4U deli/catering</t>
  </si>
  <si>
    <t xml:space="preserve">Wrap Platters  Salads  Wings  Chicken Fingers Plan Ahead - Call Today 908-272-0370 See our full menu online at: mrjsdeliincranford.com 15 Walnut Ave. Cranfo</t>
  </si>
  <si>
    <t xml:space="preserve">clark-monthly;cranford-monthly;fanwood-post;kenilworth-business-life;scotch-plains-monthly;spirit-of-union;westfield-monthly</t>
  </si>
  <si>
    <t xml:space="preserve">973-285-6930</t>
  </si>
  <si>
    <t xml:space="preserve">Morris County Library</t>
  </si>
  <si>
    <t xml:space="preserve">Library calendar</t>
  </si>
  <si>
    <t xml:space="preserve">wnMORRIS COUNTY LIBRARY JANUARY EVENTS 30 E Hanover Ave, Whippany, NJ 07981  (973) 285-6930  www.mclib.info Lunch &amp; Learn: Wills, Trusts, &amp; Estates Fri., Jan.</t>
  </si>
  <si>
    <t xml:space="preserve">east-hanover-view;florham-park-press;hanover-township-press;long-hill-leader;madison-monthly;morris-township-times;morristown-monthly</t>
  </si>
  <si>
    <t xml:space="preserve">201-666-0003</t>
  </si>
  <si>
    <t xml:space="preserve">Reynolds Plumbing Cranford</t>
  </si>
  <si>
    <t xml:space="preserve">Same advertiser as 908-276-5367</t>
  </si>
  <si>
    <t xml:space="preserve">from a satisfied client. Top 1% Sales Associate Nationwide (908) 276-5367 (201) 666-0003 358 North Avenue East Cranford, NJ www.reynolds-plumbing.net Residentia</t>
  </si>
  <si>
    <t xml:space="preserve">clark-monthly;cranford-monthly;kenilworth-business-life;life-in-linden;scotch-plains-monthly;westfield-monthly</t>
  </si>
  <si>
    <t xml:space="preserve">896-465-6973</t>
  </si>
  <si>
    <t xml:space="preserve">Regex artifact of 973-896-4656</t>
  </si>
  <si>
    <t xml:space="preserve">HIGH END TILE &amp; FINISH CARPENTRYHIGH END TILE &amp; FINISH CARPENTRY 973-896-4656973-896-4656Molding/Trim Sheet Rock Doors Tile Work  Ineterior &amp; Ext</t>
  </si>
  <si>
    <t xml:space="preserve">clark-monthly;cranford-monthly;mountainside-view;scotch-plains-monthly;watchung-post;westfield-monthly</t>
  </si>
  <si>
    <t xml:space="preserve">908-202-1702</t>
  </si>
  <si>
    <t xml:space="preserve">Same advertiser as 908-233-5555 - cell</t>
  </si>
  <si>
    <t xml:space="preserve">CLARK MONTHLY • Page 15 • January 2026 Cell 908-202-1702  O: 908-233-5555 elizabeth.bataille@gmail.com 209 Central Ave,Westfield, N</t>
  </si>
  <si>
    <t xml:space="preserve">clark-monthly;cranford-monthly;garwood-times;life-in-linden;scotch-plains-monthly;westfield-monthly</t>
  </si>
  <si>
    <t xml:space="preserve">908-273-3873</t>
  </si>
  <si>
    <t xml:space="preserve">Summit Dentist (summitdentist.com)</t>
  </si>
  <si>
    <t xml:space="preserve">Comfortable Caring Dentistry</t>
  </si>
  <si>
    <t xml:space="preserve">Comfortable &amp; Caring Dentistry Call Us Today to Request an Appointment! 908-273-3873 www.summitdentist.com NO DENTAL INSURANCE? NO PROBLEM. Join our in-hous</t>
  </si>
  <si>
    <t xml:space="preserve">berkeley-heights-news;millburn-short-hills-monthly;mountainside-view;new-providence-news;summit-times;the-chathams</t>
  </si>
  <si>
    <t xml:space="preserve">Primary line</t>
  </si>
  <si>
    <t xml:space="preserve">is a referral from a satisfied client. Top 1% Sales Associate Nationwide (908) 276-5367 (201) 666-0003 358 North Avenue East Cranford, NJ www.reynolds-plumbing</t>
  </si>
  <si>
    <t xml:space="preserve">classified</t>
  </si>
  <si>
    <t xml:space="preserve">Lost Dog $2,500 reward</t>
  </si>
  <si>
    <t xml:space="preserve">Repeat classified - same dog Westfield/Fanwood/Plainfield</t>
  </si>
  <si>
    <t xml:space="preserve">nwood and most recently Plainfield/North Plainfield. CALL 908-370-1903</t>
  </si>
  <si>
    <t xml:space="preserve">clark-monthly;fanwood-post;life-in-linden;our-town-rahway;scotch-plains-monthly;westfield-monthly</t>
  </si>
  <si>
    <t xml:space="preserve">908-463-2089</t>
  </si>
  <si>
    <t xml:space="preserve">Advisory Consultants (FSBO ad) Edison</t>
  </si>
  <si>
    <t xml:space="preserve">Sell house yourself</t>
  </si>
  <si>
    <t xml:space="preserve">Lic. #11749REYNOLDS PLUMBINGCAN SELL YOUR HOUSE YOURSELF? For That, Call: 908-463-2089 E-mail: fsbowner49@gmail.com Advisory Consultants, Edison, NJ 08817 Initi</t>
  </si>
  <si>
    <t xml:space="preserve">clark-monthly;cranford-monthly;elmora-hills;fanwood-post;our-town-rahway;spirit-of-union</t>
  </si>
  <si>
    <t xml:space="preserve">973-377-1006</t>
  </si>
  <si>
    <t xml:space="preserve">Doherty Roofing Company</t>
  </si>
  <si>
    <t xml:space="preserve">josephdohertycompany</t>
  </si>
  <si>
    <t xml:space="preserve">he Suburban Chiropractic Center by visiting their website at drmurphy.com. 973-377-1006  dohertyroofingcompany.com josephdohertycompany@gmail.com 54 Burnet Roa</t>
  </si>
  <si>
    <t xml:space="preserve">florham-park-press;hanover-township-press;madison-monthly;morris-township-times;morristown-monthly;the-chathams</t>
  </si>
  <si>
    <t xml:space="preserve">973-428-0405</t>
  </si>
  <si>
    <t xml:space="preserve">Calderone School of Music East Hanover</t>
  </si>
  <si>
    <t xml:space="preserve">Same advertiser as 973-467-4688</t>
  </si>
  <si>
    <t xml:space="preserve">73-467-4688 Riverwalk Plaza 34 Ridgedale Avenue East Hanover, NJ 07936 973-428-0405 Private Lessons on All Instruments &amp; Voice  All Ages &amp; Levels of Ability</t>
  </si>
  <si>
    <t xml:space="preserve">mountainside-view;new-providence-news;summit-times;the-chathams;watchung-post;westfield-monthly</t>
  </si>
  <si>
    <t xml:space="preserve">Calderone School of Music Springfield</t>
  </si>
  <si>
    <t xml:space="preserve">Music school - 6U typical</t>
  </si>
  <si>
    <t xml:space="preserve">Certified Teachers 2 LOCATIONS 276 Morris Avenue Springfield, NJ 07081 973-467-4688 Riverwalk Plaza 34 Ridgedale Avenue East Hanover, NJ 07936 973-428-040</t>
  </si>
  <si>
    <t xml:space="preserve">973-635-4565</t>
  </si>
  <si>
    <t xml:space="preserve">Chatham Senior Center</t>
  </si>
  <si>
    <t xml:space="preserve">Activities</t>
  </si>
  <si>
    <t xml:space="preserve">ad, Chatham Mon through Fri from 9 a.m. to 3 p.m. For more information call 973-635-4565 or visit chathamseniorcenter.org. (above) Our thanks to the Town and Co</t>
  </si>
  <si>
    <t xml:space="preserve">life-in-roseland;livingston-monthly;long-hill-leader;madison-monthly;millburn-short-hills-monthly;the-chathams</t>
  </si>
  <si>
    <t xml:space="preserve">908-355-2253</t>
  </si>
  <si>
    <t xml:space="preserve">Knights of Columbus Council 253 Elizabeth</t>
  </si>
  <si>
    <t xml:space="preserve">Hall rental ad</t>
  </si>
  <si>
    <t xml:space="preserve">AvailableKnights of Columbus Council 253 328 Union Avenue Elizabeth, NJ 908-355-2253Great Place for Parties for up to 95 People! Celebrate your next event  B</t>
  </si>
  <si>
    <t xml:space="preserve">elmora-hills;kenilworth-business-life;life-in-linden;roselle-park-monthly;spirit-of-union</t>
  </si>
  <si>
    <t xml:space="preserve">908-418-5586</t>
  </si>
  <si>
    <t xml:space="preserve">Renna Media Grow Your Biz filler</t>
  </si>
  <si>
    <t xml:space="preserve">House ad - 'Place your ad in this space'</t>
  </si>
  <si>
    <t xml:space="preserve">y and give more families a happy holiday.” Courtesy PhotoCALL FOR DETAILS 908-418-5586 GROW YOUR BUSINESS Place your ad in this space and be in every mailbox</t>
  </si>
  <si>
    <t xml:space="preserve">cranford-monthly;green-brook-gazette;livingston-monthly;long-hill-leader;watchung-post</t>
  </si>
  <si>
    <t xml:space="preserve">908-528-5080</t>
  </si>
  <si>
    <t xml:space="preserve">Laundry pickup/delivery service</t>
  </si>
  <si>
    <t xml:space="preserve">Pick-up &amp; delivery 6 days</t>
  </si>
  <si>
    <t xml:space="preserve">g on by, pick up your laundry and bring it back clean, fresh and folded 908-528-5080  Pick-Up and Delivery Every Day Monday through Saturday  Special Prici</t>
  </si>
  <si>
    <t xml:space="preserve">cranford-monthly;elmora-hills;life-in-linden;roselle-park-monthly;spirit-of-union</t>
  </si>
  <si>
    <t xml:space="preserve">732-369-6824</t>
  </si>
  <si>
    <t xml:space="preserve">Bistro at Greenbrook</t>
  </si>
  <si>
    <t xml:space="preserve">Restaurant</t>
  </si>
  <si>
    <t xml:space="preserve">estabistrogreenbrooknj.com Call ahead for take out or delivery by DOORDASH 732-369-6824 328 Greenbrook Road • Greenbrook NJ• We are a locally-owned eatery run b</t>
  </si>
  <si>
    <t xml:space="preserve">green-brook-gazette;long-hill-leader;warren-monthly;watchung-post</t>
  </si>
  <si>
    <t xml:space="preserve">732-388-3900</t>
  </si>
  <si>
    <t xml:space="preserve">Eyes On You Optometric Rahway</t>
  </si>
  <si>
    <t xml:space="preserve">Dr M Williams</t>
  </si>
  <si>
    <t xml:space="preserve">the new year?EYES ON YOU 1535 Irving Street, Rahway, NJ  RahwayEyeDoctor.com 732-388-3900 Dr. M. Williams Optometric Physician Lic#. 27OA00565300/27OM00062400 </t>
  </si>
  <si>
    <t xml:space="preserve">clark-monthly;life-in-linden;our-town-rahway;spirit-of-union</t>
  </si>
  <si>
    <t xml:space="preserve">Mr Handyman (Neighborly franchise)</t>
  </si>
  <si>
    <t xml:space="preserve">Different from My Handyman &amp; Painter</t>
  </si>
  <si>
    <t xml:space="preserve">New Providence NEWS  Page 6 • January 2026 908-251-9441 Mrhandyman.comOn Time. Done right. Guaranteed. 10% OFF LABOR On labor only,</t>
  </si>
  <si>
    <t xml:space="preserve">new-providence-news;scotch-plains-monthly;summit-times;westfield-monthly</t>
  </si>
  <si>
    <t xml:space="preserve">908-486-1777</t>
  </si>
  <si>
    <t xml:space="preserve">Literacy New Jersey</t>
  </si>
  <si>
    <t xml:space="preserve">Tutor program</t>
  </si>
  <si>
    <t xml:space="preserve">n Session on Wednesday, January 7, 2026, please call Literacy New Jersey at 908-486-1777 x400 or email Barbara Bagger, Program Director, at bbagger@literacynj.o</t>
  </si>
  <si>
    <t xml:space="preserve">east-hanover-view;livingston-monthly;mountainside-view;the-chathams</t>
  </si>
  <si>
    <t xml:space="preserve">908-955-8700</t>
  </si>
  <si>
    <t xml:space="preserve">Cranford sub/deli (Walnut Ave)</t>
  </si>
  <si>
    <t xml:space="preserve">Sloppy Joes hot/cold platters</t>
  </si>
  <si>
    <t xml:space="preserve">oot Sub Sandwiches  Sloppy Joe Platters  Hot &amp; Cold Foods  Sub Platters 908-955-8700 108 Walnut Ave.  Cranford,NJ HOURS: Tue &amp; Wed: 10a - 6pm Thu &amp; Fri:</t>
  </si>
  <si>
    <t xml:space="preserve">cranford-monthly;kenilworth-business-life;scotch-plains-monthly;spirit-of-union</t>
  </si>
  <si>
    <t xml:space="preserve">732-381-6776</t>
  </si>
  <si>
    <t xml:space="preserve">Witty's Fine Wine Liquors</t>
  </si>
  <si>
    <t xml:space="preserve">Online order pickup</t>
  </si>
  <si>
    <t xml:space="preserve">gmail.comWitty’s Fine Wine and Liquors ORDER ONLINE AT www.wittyswine.com 732-381-6776 PICK-UP CURBSIDEORDER ONLINE AT www.metroliquors.com 908-925-1770 PICK-</t>
  </si>
  <si>
    <t xml:space="preserve">clark-monthly;life-in-linden;our-town-rahway</t>
  </si>
  <si>
    <t xml:space="preserve">732-752-6677</t>
  </si>
  <si>
    <t xml:space="preserve">Access Self Storage Green Brook</t>
  </si>
  <si>
    <t xml:space="preserve">Storage</t>
  </si>
  <si>
    <t xml:space="preserve">elp carry this legacy forward into the next generation. (above) Summer Camps 732.752.6677 223-B Route 22 E, Green Brook, NJ accessselfstorage.com *Offer expires</t>
  </si>
  <si>
    <t xml:space="preserve">green-brook-gazette;warren-monthly;watchung-post</t>
  </si>
  <si>
    <t xml:space="preserve">908-234-2382</t>
  </si>
  <si>
    <t xml:space="preserve">Dumpster rental service</t>
  </si>
  <si>
    <t xml:space="preserve">Fast Friendly Reliable</t>
  </si>
  <si>
    <t xml:space="preserve">Green Brook Gazette  Page 8  January 2026 DO YOU NEED A DUMPSTER? 908-234-2382 Fast, Friendly, Reliable ServiceCall to Reserve One TodayProfessional Deliver</t>
  </si>
  <si>
    <t xml:space="preserve">green-brook-gazette;scotch-plains-monthly;summit-times</t>
  </si>
  <si>
    <t xml:space="preserve">908-370-3700</t>
  </si>
  <si>
    <t xml:space="preserve">Julia DeMilio Dog Walker / Pet Sitter</t>
  </si>
  <si>
    <t xml:space="preserve">All breeds</t>
  </si>
  <si>
    <t xml:space="preserve">n administration ALL BREEDS, ALL NEEDSJulia DeMilio DOG WALKER &amp; PET SITTER 908-370-3700 juliademilio@gmail.comNEW PRINCIPAL MS. MEG BERRY TO TAKE HELM OF GLHS </t>
  </si>
  <si>
    <t xml:space="preserve">berkeley-heights-news;new-providence-news;summit-times</t>
  </si>
  <si>
    <t xml:space="preserve">908-725-5430</t>
  </si>
  <si>
    <t xml:space="preserve">Literacy Somerset</t>
  </si>
  <si>
    <t xml:space="preserve">more info, visit literacysomerset.org, email info@literacysomerset.org, call (908) 725-5430.</t>
  </si>
  <si>
    <t xml:space="preserve">long-hill-leader;warren-monthly;watchung-post</t>
  </si>
  <si>
    <t xml:space="preserve">908-753-9440</t>
  </si>
  <si>
    <t xml:space="preserve">Warren Senior Programs</t>
  </si>
  <si>
    <t xml:space="preserve">Free for members</t>
  </si>
  <si>
    <t xml:space="preserve">00 Warrenville Road. All the programs are FREE for the registered members. Call (908) 753-9440 for more information. Computer Lab – Available daily. Participant</t>
  </si>
  <si>
    <t xml:space="preserve">908-789-0555</t>
  </si>
  <si>
    <t xml:space="preserve">Marano &amp; Sons Auto Sales (location 2)</t>
  </si>
  <si>
    <t xml:space="preserve">Same advertiser - 150 South Ave Garwood</t>
  </si>
  <si>
    <t xml:space="preserve">ed! Like us on Facebook!!!507-13 South Avenue 908-789-1551 150 South Avenue 908-789-0555 Fax 908-789-1792 LOOKING FOR A CAR, TRUCK OR SUV? Visit our lots or sho</t>
  </si>
  <si>
    <t xml:space="preserve">cranford-monthly;scotch-plains-monthly;westfield-monthly</t>
  </si>
  <si>
    <t xml:space="preserve">Primary - 507-13 South Ave Garwood</t>
  </si>
  <si>
    <t xml:space="preserve">blems? Call us to get you approved! Like us on Facebook!!!507-13 South Avenue 908-789-1551 150 South Avenue 908-789-0555 Fax 908-789-1792 LOOKING FOR A CAR, TRU</t>
  </si>
  <si>
    <t xml:space="preserve">908-789-1792</t>
  </si>
  <si>
    <t xml:space="preserve">Fax line</t>
  </si>
  <si>
    <t xml:space="preserve">cebook!!!507-13 South Avenue 908-789-1551 150 South Avenue 908-789-0555 Fax 908-789-1792 LOOKING FOR A CAR, TRUCK OR SUV? Visit our lots or shop at home. Search</t>
  </si>
  <si>
    <t xml:space="preserve">908-925-1770</t>
  </si>
  <si>
    <t xml:space="preserve">Metro Liquors (Metro)</t>
  </si>
  <si>
    <t xml:space="preserve">Online order curbside</t>
  </si>
  <si>
    <t xml:space="preserve">e.com 732-381-6776 PICK-UP CURBSIDEORDER ONLINE AT www.metroliquors.com 908-925-1770 PICK-UP CURBSIDE OR DELIVERY Visit our facebook page for news of next tasti</t>
  </si>
  <si>
    <t xml:space="preserve">908-355-7600</t>
  </si>
  <si>
    <t xml:space="preserve">Greater Elizabeth Chamber of Commerce</t>
  </si>
  <si>
    <t xml:space="preserve">Membership</t>
  </si>
  <si>
    <t xml:space="preserve">h Chamber of Commerce and its benefits, please contact Jennifer M. Costa at 908-355-7600 or via email at jcosta@goelizabethnj.com. For more details, please visi</t>
  </si>
  <si>
    <t xml:space="preserve">elmora-hills;life-in-linden</t>
  </si>
  <si>
    <t xml:space="preserve">908-935-0960</t>
  </si>
  <si>
    <t xml:space="preserve">Same advertiser - efax</t>
  </si>
  <si>
    <t xml:space="preserve">lumbing w #8660Cell 908-202-1702  O: 908-233-5555 ElizabethBHomes.com Efax 908-935-0960  elizabeth.bataille@gmail.com 209 Central Ave,Westfield, NJ 07090 Eliz</t>
  </si>
  <si>
    <t xml:space="preserve">cranford-monthly;westfield-monthly</t>
  </si>
  <si>
    <t xml:space="preserve">908-963-8673</t>
  </si>
  <si>
    <t xml:space="preserve">Mary DePaola (Coldwell Banker)</t>
  </si>
  <si>
    <t xml:space="preserve">Different agent at same office</t>
  </si>
  <si>
    <t xml:space="preserve">ven Coldwell Banker Realty 209 Central Avenue Westfield, NJ 07090 Cell: 908-963-8673 (Best #) Office: 908-233-5555 Mary.depaola@cbrealty.comNew Year! New House?</t>
  </si>
  <si>
    <t xml:space="preserve">fanwood-post;scotch-plains-monthly</t>
  </si>
  <si>
    <t xml:space="preserve">973-525-6418</t>
  </si>
  <si>
    <t xml:space="preserve">Assure Pest Services / Morris County Exterminator</t>
  </si>
  <si>
    <t xml:space="preserve">20 yr lic 99814</t>
  </si>
  <si>
    <t xml:space="preserve">2026 ooo ASSUREooo PEST SERVICES Safe • Professional • Affordable 973-525-6418 MorrisCountyExterminator.com 20 Years Experience • Insured • License #99814</t>
  </si>
  <si>
    <t xml:space="preserve">east-hanover-view;madison-monthly</t>
  </si>
  <si>
    <t xml:space="preserve">973-538-2592</t>
  </si>
  <si>
    <t xml:space="preserve">Morris/Morristown Library tech help</t>
  </si>
  <si>
    <t xml:space="preserve">Library</t>
  </si>
  <si>
    <t xml:space="preserve">ll devices and passwords. Sessions limited to one per person per week. Call 973-538-2592 for more info. FRIENDS OF THE LIBRARY BOOK SALES: every Tuesday and the</t>
  </si>
  <si>
    <t xml:space="preserve">morris-township-times;morristown-monthly</t>
  </si>
  <si>
    <t xml:space="preserve">973-538-6161</t>
  </si>
  <si>
    <t xml:space="preserve">Morristown Morris Twp Library</t>
  </si>
  <si>
    <t xml:space="preserve">Main number</t>
  </si>
  <si>
    <t xml:space="preserve">MORRISTOWN &amp; MORRIS TOWNSHIP LIBRARY 1 Miller Road, Morristown, NJ 07960  973-538-6161 www.MMTLibrary.org  Email: refdesk@mmt.mainlib.org TECH HELP Tues throu</t>
  </si>
  <si>
    <t xml:space="preserve">201-600-3530</t>
  </si>
  <si>
    <t xml:space="preserve">Wired Rite Electrical</t>
  </si>
  <si>
    <t xml:space="preserve">Senior discount 24 hr emergency</t>
  </si>
  <si>
    <t xml:space="preserve">tectors • FREE Estimates SENIOR CITIZEN DISCOUNT - 24 HOUR EMERGENCY SERVICE 201-600-3530 SHORT CIRCUIT SPECIALISTLic.# 888400Bonded &amp; InsuredWIRED RITE ELECTRI</t>
  </si>
  <si>
    <t xml:space="preserve">732-236-4781</t>
  </si>
  <si>
    <t xml:space="preserve">Bseif EAB Realty (real estate)</t>
  </si>
  <si>
    <t xml:space="preserve">Free market analysis</t>
  </si>
  <si>
    <t xml:space="preserve">l handle the other 9) For Your Complimentary MARKET ANALYSIS call or text 732-236-4781 or email bseif@eabrealty.com office: 732-529-0308This is the best time of</t>
  </si>
  <si>
    <t xml:space="preserve">732-382-2272</t>
  </si>
  <si>
    <t xml:space="preserve">Angelo CPA Firm Clark</t>
  </si>
  <si>
    <t xml:space="preserve">Tax accounting</t>
  </si>
  <si>
    <t xml:space="preserve">/Accounting • Custom Tax Strategies • Tax Preparation • Financial Planning732-382-2272 AngeloCPAfirm.com 18 Brant Avenue  Clark, NJ 07066 Serving the Public si</t>
  </si>
  <si>
    <t xml:space="preserve">732-388-5999</t>
  </si>
  <si>
    <t xml:space="preserve">Clark Public Library</t>
  </si>
  <si>
    <t xml:space="preserve">Programs</t>
  </si>
  <si>
    <t xml:space="preserve">CLARK PUBLIC LIBRARY JANUARY EVENTS Website: clarklibrary.org  Phone: 732-388-5999 * Email: librarians@clarklibrary.org Reading Challenge for all ages It’s n</t>
  </si>
  <si>
    <t xml:space="preserve">732-396-3995</t>
  </si>
  <si>
    <t xml:space="preserve">Lkaz realty office</t>
  </si>
  <si>
    <t xml:space="preserve">Comcast.net email</t>
  </si>
  <si>
    <t xml:space="preserve">r.For a free market analysis call Preferred # Cell: 732-713-4984 Office: 732-396-3995 or email me at Lkaz@comcast.net26 years of excellence.</t>
  </si>
  <si>
    <t xml:space="preserve">732-529-0308</t>
  </si>
  <si>
    <t xml:space="preserve">ERA Boniakowski real estate</t>
  </si>
  <si>
    <t xml:space="preserve">Home value</t>
  </si>
  <si>
    <t xml:space="preserve">ALYSIS call or text 732-236-4781 or email bseif@eabrealty.com office: 732-529-0308This is the best time of year to plan your next big move! Looking forward to</t>
  </si>
  <si>
    <t xml:space="preserve">732-713-4984</t>
  </si>
  <si>
    <t xml:space="preserve">Lkaz realty cell</t>
  </si>
  <si>
    <t xml:space="preserve">26 years excellence</t>
  </si>
  <si>
    <t xml:space="preserve">2 Meadow Rd. 74 Hall Dr.For a free market analysis call Preferred # Cell: 732-713-4984 Office: 732-396-3995 or email me at Lkaz@comcast.net26 years of excell</t>
  </si>
  <si>
    <t xml:space="preserve">732-968-0700</t>
  </si>
  <si>
    <t xml:space="preserve">ERA Boniakowski office</t>
  </si>
  <si>
    <t xml:space="preserve">Real estate</t>
  </si>
  <si>
    <t xml:space="preserve">e in 2026? Call to Find Out How Much Your Home is Worth! - “We Can Help!” 732-968-0700 www.eraboniakowski.com • email ERA@eabrealty.com We have been helping fam</t>
  </si>
  <si>
    <t xml:space="preserve">877-232-2142</t>
  </si>
  <si>
    <t xml:space="preserve">editorial</t>
  </si>
  <si>
    <t xml:space="preserve">FINRA disclosure</t>
  </si>
  <si>
    <t xml:space="preserve">Compliance footer in financial advisor ad</t>
  </si>
  <si>
    <t xml:space="preserve">FINRA, SIPC. Main Office: 151 North 8th Street, Suite 450, Lincoln, NE 68508. (877) 232-2142. Check the background of this firm on FINRA’s BrokerCheck we bsite </t>
  </si>
  <si>
    <t xml:space="preserve">Full Day Kindergarten</t>
  </si>
  <si>
    <t xml:space="preserve">Included: Music, Sign Language, Spanish 751 Central Avenue  Westfield, NJ  908-228-5791  LightbridgeAcademy.com FULL-DAY KINDERGARTEN  Wrap Platters  Salad</t>
  </si>
  <si>
    <t xml:space="preserve">908-230-4800</t>
  </si>
  <si>
    <t xml:space="preserve">Eileen Sergent Real Estate (NJAR)</t>
  </si>
  <si>
    <t xml:space="preserve">NJAR Distinguished Sales</t>
  </si>
  <si>
    <t xml:space="preserve">NBS NJAR Distinguished Sales Club NJAR Circle of Excellence ’92-’21 Cell: 908-230-4800 Eileen@SergentRealEstate.comBuying or Selling in this market is stressful</t>
  </si>
  <si>
    <t xml:space="preserve">908-230-9214</t>
  </si>
  <si>
    <t xml:space="preserve">Denise Torsiello realty</t>
  </si>
  <si>
    <t xml:space="preserve">BHHS</t>
  </si>
  <si>
    <t xml:space="preserve">orsiello Ranked #3 in NJ for Q1 sales volume, BHHS network C: 908.230.9214Karen M. Canniffe Honored with the Pillar Award for community service by</t>
  </si>
  <si>
    <t xml:space="preserve">908-232-1776</t>
  </si>
  <si>
    <t xml:space="preserve">Miller Cory House Museum Westfield</t>
  </si>
  <si>
    <t xml:space="preserve">Museum</t>
  </si>
  <si>
    <t xml:space="preserve">useum is located at 614 Mountain Avenue in Westfield, NJ. Call the museum at 908-232-1776 or email millercorymuseum@gmail.com for more information. Since 1968, </t>
  </si>
  <si>
    <t xml:space="preserve">908-233-6300</t>
  </si>
  <si>
    <t xml:space="preserve">Nelson Espeland Allstate Scotch Plains</t>
  </si>
  <si>
    <t xml:space="preserve">Personal financial</t>
  </si>
  <si>
    <t xml:space="preserve">work as hard as you did Nelson Espeland , Personal Financial Representative 908-233-6300 nelson@allstate.com 2284 South Avenue, Scotch Plains Mary DePaola Broke</t>
  </si>
  <si>
    <t xml:space="preserve">908-245-2456</t>
  </si>
  <si>
    <t xml:space="preserve">Roselle Park Veterans Memorial Library</t>
  </si>
  <si>
    <t xml:space="preserve">LLE PARK VETERANS MEMORIAL LIBRARY 404 Chestnut St., Roselle Park, NJ 07204  (908)245-2456  library@rosellepark.net PROGRAMS MARKED *** HA VE LIMITED SPOTS! R</t>
  </si>
  <si>
    <t xml:space="preserve">908-264-3100</t>
  </si>
  <si>
    <t xml:space="preserve">Imagine NJ (grief support nonprofit)</t>
  </si>
  <si>
    <t xml:space="preserve">Support program</t>
  </si>
  <si>
    <t xml:space="preserve">red in English and Spanish. For more information, please contact Imagine at 908-264-3100 or info@imaginenj.org or visit our website at imaginenj.org. (above) Pa</t>
  </si>
  <si>
    <t xml:space="preserve">908-272-7990</t>
  </si>
  <si>
    <t xml:space="preserve">Family Care for Newborns (medical)</t>
  </si>
  <si>
    <t xml:space="preserve">570 South Ave Cranford</t>
  </si>
  <si>
    <t xml:space="preserve">570 South Ave E, Bldg. G | Cranford, NJ 07016 Make your appointment today! 908.272.7990 “Family care for newborns through 100”</t>
  </si>
  <si>
    <t xml:space="preserve">908-273-0400</t>
  </si>
  <si>
    <t xml:space="preserve">Berkshire Hathaway Summit office</t>
  </si>
  <si>
    <t xml:space="preserve">Berkshire Hathaway affiliate. 392 Springfield Ave., Summit, NJ 07901 Office: 908-273-0400 Denise Torsiello Ranked #3 in NJ for Q1 sales volume, BHHS netw</t>
  </si>
  <si>
    <t xml:space="preserve">908-276-2451</t>
  </si>
  <si>
    <t xml:space="preserve">Kenilworth Public Library</t>
  </si>
  <si>
    <t xml:space="preserve">orthlibrary.org.Registration for programs may be done in person or by calling 908 276-2451.The Library is handicapped accessible. facebook.com/kenilworthworth.p</t>
  </si>
  <si>
    <t xml:space="preserve">908-276-4777</t>
  </si>
  <si>
    <t xml:space="preserve">Hobbie &amp; Hobbie Attorneys at Law Cranford</t>
  </si>
  <si>
    <t xml:space="preserve">Estate / general practice</t>
  </si>
  <si>
    <t xml:space="preserve">irection.HOBBIE &amp; HOBBIE ATTORNEYS AT LAW, LLCEDWARD J. HOBBIE MARK E. HOBBIE 908-276-4777 hobbieandhobbie.com fax: 908-709-1663 edward@hobbieandhobbie.com mark</t>
  </si>
  <si>
    <t xml:space="preserve">908-276-8062</t>
  </si>
  <si>
    <t xml:space="preserve">Arnolds Pest Control Cranford</t>
  </si>
  <si>
    <t xml:space="preserve">Lic 90966A</t>
  </si>
  <si>
    <t xml:space="preserve">. . . and everything in between, WE CAN HELP. Business license #90966A 908-276-8062 ArnoldsPestControl.com 9 Quine Street, Cranford, NJ 07016CALL TODAY! CRE</t>
  </si>
  <si>
    <t xml:space="preserve">908-298-3830</t>
  </si>
  <si>
    <t xml:space="preserve">Linden Library</t>
  </si>
  <si>
    <t xml:space="preserve">Events</t>
  </si>
  <si>
    <t xml:space="preserve">Y PROGRAMS To register for events please go to LindenLibrary-NJ.gov or call 908-298-3830. Space is limited. Like us on Facebook, Follow us on Instagram. CHILDRE</t>
  </si>
  <si>
    <t xml:space="preserve">908-325-5000</t>
  </si>
  <si>
    <t xml:space="preserve">Roseann O'Keefe Realty office</t>
  </si>
  <si>
    <t xml:space="preserve">Town Center Drive</t>
  </si>
  <si>
    <t xml:space="preserve">uary 2026 Roseann O’Keefe Broker Associate Direct: 908.720.9205 Office: 908.325.5000 Email: RO@RoseannOKeefe.com www.RoseannOKeefe.com102 TOWN CENTER DRIVE WA</t>
  </si>
  <si>
    <t xml:space="preserve">908-370-1123</t>
  </si>
  <si>
    <t xml:space="preserve">Tussel-Holsten realtor neighborhood</t>
  </si>
  <si>
    <t xml:space="preserve">Berkeley Heights</t>
  </si>
  <si>
    <t xml:space="preserve">We would love to help you get to the next chapter of your life. Call today 908-370-1123 Your local neighborhood experts. Vincent Cirincione Realtor 973-390-3826</t>
  </si>
  <si>
    <t xml:space="preserve">908-379-9731</t>
  </si>
  <si>
    <t xml:space="preserve">AM Brown Law Group Summit</t>
  </si>
  <si>
    <t xml:space="preserve">Real estate Wills</t>
  </si>
  <si>
    <t xml:space="preserve">n Law Group LLC, Representing You. Real Estate • Wills, Trusts Estates (908) 379-9731 350 Springfield Ave, Suite 200, Summit, New Jersey 07901 AMBrownLawGroup.c</t>
  </si>
  <si>
    <t xml:space="preserve">908-499-9092</t>
  </si>
  <si>
    <t xml:space="preserve">Joe Neglio plumbing Cranford</t>
  </si>
  <si>
    <t xml:space="preserve">Master Plumber lic 12951</t>
  </si>
  <si>
    <t xml:space="preserve">tioning Master Plumber Lic. #12951 Located in Cranford, NJ Joe Neglio 908-499-9092 Bonded &amp; Insured HIGH END TILE &amp; FINISH CARPENTRYHIGH END TILE &amp; FINIS</t>
  </si>
  <si>
    <t xml:space="preserve">908-522-1800</t>
  </si>
  <si>
    <t xml:space="preserve">Real estate Summit office (401 Springfield)</t>
  </si>
  <si>
    <t xml:space="preserve">BHHS affiliate</t>
  </si>
  <si>
    <t xml:space="preserve">ECRWSSPRSRT STD U.S. POSTAGE PAID LANCANSTER, PA PERMIT NO. 1325 Office 908-522-1800 401 Springfield Ave, Summit, NJ LOOKING FOR SUCCESS Affiliated real estate </t>
  </si>
  <si>
    <t xml:space="preserve">908-522-9444</t>
  </si>
  <si>
    <t xml:space="preserve">Berkeley Heights real estate ACHIEVERS</t>
  </si>
  <si>
    <t xml:space="preserve">Real estate office</t>
  </si>
  <si>
    <t xml:space="preserve">eley Heights News • Page 6 • January 2026 ACHIEVERS 908-522-9444Each office is individually owned and operated. Serving all your real estate nee</t>
  </si>
  <si>
    <t xml:space="preserve">908-577-0977</t>
  </si>
  <si>
    <t xml:space="preserve">Deborah Citarella Coldwell Banker</t>
  </si>
  <si>
    <t xml:space="preserve">Sales associate</t>
  </si>
  <si>
    <t xml:space="preserve">roup.com amb@ambrownlawgroup.com Deborah Citarella, Sales Associate Cell: (908) 577-0977 Office: (908) 233-5555 Deborah.Citarella@CBRealty.comTHINKING OF SELLIN</t>
  </si>
  <si>
    <t xml:space="preserve">908-625-4891</t>
  </si>
  <si>
    <t xml:space="preserve">Denise Torsiello (alt)</t>
  </si>
  <si>
    <t xml:space="preserve">Same advertiser - foxroach</t>
  </si>
  <si>
    <t xml:space="preserve">with the Pillar Award for community service by Overlook Auxiliary C: 908.625.4891 Denise.Torsiello@foxroach.com www.DeniseTorsiello.comKaren.Canniffe@foxroach.</t>
  </si>
  <si>
    <t xml:space="preserve">908-625-7097</t>
  </si>
  <si>
    <t xml:space="preserve">Mountainside Rotary</t>
  </si>
  <si>
    <t xml:space="preserve">Meeting info</t>
  </si>
  <si>
    <t xml:space="preserve">info about Rotary and to confirm our meeting schedule,rotaryrose@yahoo.com, 908-625-7097. (above, left) Christopher Kinney, Superintendent of Mountainside Schoo</t>
  </si>
  <si>
    <t xml:space="preserve">908-625-8959</t>
  </si>
  <si>
    <t xml:space="preserve">Watchung club Mary Oborne</t>
  </si>
  <si>
    <t xml:space="preserve">information about the Club, and how to become a member contact Mary Oborne at 908-625-8959.</t>
  </si>
  <si>
    <t xml:space="preserve">908-665-0046</t>
  </si>
  <si>
    <t xml:space="preserve">Decorso Community Center New Providence</t>
  </si>
  <si>
    <t xml:space="preserve">Senior events</t>
  </si>
  <si>
    <t xml:space="preserve">• January 2026 DECORSO COMMUNITY CENTER UPCOMING EVENTS FOR SENIORS (908) 665-0046  e-mail: decorsocenter@newprov.us  newprov.us/278/Seniors  Monday-Friday f</t>
  </si>
  <si>
    <t xml:space="preserve">908-665-0311</t>
  </si>
  <si>
    <t xml:space="preserve">New Providence Memorial Library</t>
  </si>
  <si>
    <t xml:space="preserve">Hours</t>
  </si>
  <si>
    <t xml:space="preserve">Y EVENTS AT NEW PROVIDENCE MEMORIAL LIBRARY 377 Elkwood Ave, New Providence  908-665-0311  newprovidencelibrary.org Monday, Tuesday, Thursday: 10:00 AM - 8:30</t>
  </si>
  <si>
    <t xml:space="preserve">908-672-2447</t>
  </si>
  <si>
    <t xml:space="preserve">Brenda real estate Warren</t>
  </si>
  <si>
    <t xml:space="preserve">Marketing exposure</t>
  </si>
  <si>
    <t xml:space="preserve">LANCANSTER, PA PERMIT NO. 1325 IT'S A GREAT TIME TO SELL Call Brenda 908-672-2447 For Superior Marketing, Maximum Exposure, &amp; the Highest Level of Servic</t>
  </si>
  <si>
    <t xml:space="preserve">908-709-1663</t>
  </si>
  <si>
    <t xml:space="preserve">Hobbie &amp; Hobbie fax</t>
  </si>
  <si>
    <t xml:space="preserve">Same advertiser</t>
  </si>
  <si>
    <t xml:space="preserve">W, LLCEDWARD J. HOBBIE MARK E. HOBBIE 908-276-4777 hobbieandhobbie.com fax: 908-709-1663 edward@hobbieandhobbie.com mark@hobbieandhobbie.com 476 South Avenue. E</t>
  </si>
  <si>
    <t xml:space="preserve">908-709-7272</t>
  </si>
  <si>
    <t xml:space="preserve">Cranford Library</t>
  </si>
  <si>
    <t xml:space="preserve">LIBRARY JANUARY PROGRAMS 224 Walnut Avenue, Cranford, NJ 07016  Tel: 908-709-7272  Email: cranfordlibrary@cranfordlibrary.org  cranfordlibrary.org CHILDREN</t>
  </si>
  <si>
    <t xml:space="preserve">908-720-9205</t>
  </si>
  <si>
    <t xml:space="preserve">Roseann O'Keefe direct</t>
  </si>
  <si>
    <t xml:space="preserve">zette  Page 12  January 2026 Roseann O’Keefe Broker Associate Direct: 908.720.9205 Office: 908.325.5000 Email: RO@RoseannOKeefe.com www.RoseannOKeefe.com102</t>
  </si>
  <si>
    <t xml:space="preserve">908-755-5020</t>
  </si>
  <si>
    <t xml:space="preserve">Watchung church listening line</t>
  </si>
  <si>
    <t xml:space="preserve">Pastoral</t>
  </si>
  <si>
    <t xml:space="preserve">rg. For more information - or simply a listening ear - please contact us at (908) 755-5020. The church office is open Monday through Friday, 9:00 a.m. to 12:30 </t>
  </si>
  <si>
    <t xml:space="preserve">908-789-1670</t>
  </si>
  <si>
    <t xml:space="preserve">Garwood Public Library</t>
  </si>
  <si>
    <t xml:space="preserve">tionwideLIBRARY JANUARY PROGRAMS 411 Third Ave  www.https://garwoodpl.org  908-789-1670 or email garwoodlibrary@garwood.org HOURS: Mon, Tues and Thurs 9 am to</t>
  </si>
  <si>
    <t xml:space="preserve">908-845-8400</t>
  </si>
  <si>
    <t xml:space="preserve">SCLSNJ library system</t>
  </si>
  <si>
    <t xml:space="preserve">Watchung</t>
  </si>
  <si>
    <t xml:space="preserve">tion. Visit SCLSNJ.org to register today. For additional assistance, call (908) 845-8400. visit SCLSNJ.org or connect with SCLSNJ on Facebook, Instagram, X or Y</t>
  </si>
  <si>
    <t xml:space="preserve">908-851-5450</t>
  </si>
  <si>
    <t xml:space="preserve">Union Public Library main</t>
  </si>
  <si>
    <t xml:space="preserve">Adult Services</t>
  </si>
  <si>
    <t xml:space="preserve">RENNA MEDIAJANUARY EVENTS AT THE UNION PUBLIC LIBRARY Adult Services at (908)-851-5450 extension 3, or our Vauxhall Branch at (908)-851-5451, or check out our w</t>
  </si>
  <si>
    <t xml:space="preserve">908-851-5451</t>
  </si>
  <si>
    <t xml:space="preserve">Union Public Library Vauxhall</t>
  </si>
  <si>
    <t xml:space="preserve">Branch</t>
  </si>
  <si>
    <t xml:space="preserve">BRARY Adult Services at (908)-851-5450 extension 3, or our Vauxhall Branch at (908)-851-5451, or check out our website at uplnj.org or visit us at the Main Libr</t>
  </si>
  <si>
    <t xml:space="preserve">908-884-4083</t>
  </si>
  <si>
    <t xml:space="preserve">Cranford Knights of Columbus membership</t>
  </si>
  <si>
    <t xml:space="preserve">Tom Turner</t>
  </si>
  <si>
    <t xml:space="preserve">joining the Cranford Council, please contact our Grand Knight Tom Turner at 908-884-4083, or visit our website: cranfordknights.org (above, l-r) Brother Joseph </t>
  </si>
  <si>
    <t xml:space="preserve">973-390-3826</t>
  </si>
  <si>
    <t xml:space="preserve">Vincent Cirincione Realtor</t>
  </si>
  <si>
    <t xml:space="preserve">Berkeley Heights real estate</t>
  </si>
  <si>
    <t xml:space="preserve">908-370-1123 Your local neighborhood experts. Vincent Cirincione Realtor 973-390-3826 - Vinnco565@yahoo.com Laurianne Tussel-Holsten Realtor 908-370-1123 - LTH</t>
  </si>
  <si>
    <t xml:space="preserve">973-822-1465</t>
  </si>
  <si>
    <t xml:space="preserve">Madison Elks Lodge</t>
  </si>
  <si>
    <t xml:space="preserve">Lodge contact</t>
  </si>
  <si>
    <t xml:space="preserve">For more information email: elksmadison1465@gmail.com, or call the Lodge at 973-822-1465.</t>
  </si>
  <si>
    <t xml:space="preserve">973-971-7023</t>
  </si>
  <si>
    <t xml:space="preserve">Medical records transfer notice</t>
  </si>
  <si>
    <t xml:space="preserve">Patient records notice</t>
  </si>
  <si>
    <t xml:space="preserve">r have any questions about how to transfer your medical record, please call (973) 971-7023 and our staff will be happy to assist you.NOTICE</t>
  </si>
  <si>
    <t xml:space="preserve">Bundle Distribution Findings - Jan 2026</t>
  </si>
  <si>
    <t xml:space="preserve">Computed from phone-number fingerprinting of paid advertisers only.</t>
  </si>
  <si>
    <t xml:space="preserve">Paid Advertiser Bundle Histogram</t>
  </si>
  <si>
    <t xml:space="preserve"># Unique Phone Fingerprints (paid only)</t>
  </si>
  <si>
    <t xml:space="preserve">% of Paid Phones</t>
  </si>
  <si>
    <t xml:space="preserve">Rate Card Tier Notes</t>
  </si>
  <si>
    <t xml:space="preserve">1</t>
  </si>
  <si>
    <t xml:space="preserve">Single-paper - local-only advertisers</t>
  </si>
  <si>
    <t xml:space="preserve">2-3</t>
  </si>
  <si>
    <t xml:space="preserve">2-3 papers - small bundle</t>
  </si>
  <si>
    <t xml:space="preserve">4-6</t>
  </si>
  <si>
    <t xml:space="preserve">4-6 papers - rate card 6-town tier (~38% off)</t>
  </si>
  <si>
    <t xml:space="preserve">7-12</t>
  </si>
  <si>
    <t xml:space="preserve">7-12 papers - rate card 9-12-town tier</t>
  </si>
  <si>
    <t xml:space="preserve">13-18</t>
  </si>
  <si>
    <t xml:space="preserve">13-18 papers - rate card 15-18-town tier</t>
  </si>
  <si>
    <t xml:space="preserve">19-30</t>
  </si>
  <si>
    <t xml:space="preserve">19-30 papers - rate card 21-30-town tier (max discount)</t>
  </si>
  <si>
    <t xml:space="preserve">100.0%</t>
  </si>
  <si>
    <t xml:space="preserve">Top Reach Paid Advertisers</t>
  </si>
  <si>
    <t xml:space="preserve">Diligence Implications (auto-generated, edit as needed)</t>
  </si>
  <si>
    <t xml:space="preserve">1. Estates Roadshow (16 papers, full-page x 2) is one of the largest single buyers in Jan 2026. Coupling fact: same buyer takes two FP creatives in same paper. Validate ARPU concentration on this advertiser.</t>
  </si>
  <si>
    <t xml:space="preserve">2. My Handyman &amp; Painter (12 papers, full-page) and Magnolia Home Remodeling (FP, present in westfield - phone not extracted clean) are the multi-paper full-page anchors.</t>
  </si>
  <si>
    <t xml:space="preserve">3. Coldwell Banker Westfield office shows in 8 papers via the office line; multi-agent Coldwell ads stack on top of each other (Bataille, DePaola, Citarella) - real estate is the single most concentrated VERTICAL.</t>
  </si>
  <si>
    <t xml:space="preserve">4. ~25-30 paid phones appear in only 1 paper - the long tail is real but smaller than the multi-paper buyers. Don't underweight it; smaller advertisers may be the most price-sensitive if pricing changes.</t>
  </si>
  <si>
    <t xml:space="preserve">5. The 4-6 paper bucket (rate card 6-town tier) holds the heaviest cluster - matches the rate card discount design and validates the 'discount tier drives the book' hypothesis directionally.</t>
  </si>
  <si>
    <t xml:space="preserve">6. Many ads have multiple phones for the same advertiser (Marano &amp; Sons: 3 phones; Reynolds: 2; Bataille: 3; Calderone: 2). Phone-count overstates unique advertisers by ~10-15%. True unique paid advertisers in this Jan 2026 sample: estimate 50-55.</t>
  </si>
  <si>
    <t xml:space="preserve">7. CIM claims '120 active advertisers'. Phone scan finds ~50-55 paid in Jan 2026 alone. Either (a) CIM counts annual unique advertisers across all months and seasonal, or (b) Jan is a slower month, or (c) CIM is generous. Worth asking Joe directly.</t>
  </si>
  <si>
    <t xml:space="preserve">8. Caveat: this method counts advertisers by phone fingerprint extracted from PDF text. Image-only ads (full pages where the phone is part of the artwork only) may be missed. Westfield manual catalog confirmed several full-page ads with no extractable phone text - should reconcile.</t>
  </si>
  <si>
    <t xml:space="preserve">Jan 2026 Revenue Estimate (rough)</t>
  </si>
  <si>
    <t xml:space="preserve">Per phone fingerprint: assigned size class + rate card lookup at matching town tier. Sums to estimated monthly ad revenue.</t>
  </si>
  <si>
    <t xml:space="preserve">Caveat: misses image-only ads with no extractable phone in PDF text. Likely undercounts full-page color anchors. Floor estimate.</t>
  </si>
  <si>
    <t xml:space="preserve">Advertiser</t>
  </si>
  <si>
    <t xml:space="preserve">Assumed Size</t>
  </si>
  <si>
    <t xml:space="preserve">Tier Used</t>
  </si>
  <si>
    <t xml:space="preserve">Rate (per the card)</t>
  </si>
  <si>
    <t xml:space="preserve">Multiplier</t>
  </si>
  <si>
    <t xml:space="preserve">Estimated $</t>
  </si>
  <si>
    <t xml:space="preserve">VDS NJ Video Tape Transfer</t>
  </si>
  <si>
    <t xml:space="preserve">Glenn Buys Motorcycles - business card</t>
  </si>
  <si>
    <t xml:space="preserve">Estates Roadshow takes TWO full pages per buy. Multiply rate x 2.</t>
  </si>
  <si>
    <t xml:space="preserve">Pizzano Photo half page</t>
  </si>
  <si>
    <t xml:space="preserve">My Handyman &amp; Painter full color full page</t>
  </si>
  <si>
    <t xml:space="preserve">Dr. Murphy small box</t>
  </si>
  <si>
    <t xml:space="preserve">St Michael School</t>
  </si>
  <si>
    <t xml:space="preserve">Coldwell office number - per-agent ads stack</t>
  </si>
  <si>
    <t xml:space="preserve">default assumption (not manually classified)</t>
  </si>
  <si>
    <t xml:space="preserve">Reynolds alt - avoid double count</t>
  </si>
  <si>
    <t xml:space="preserve">Bataille - probably stacked on Coldwell - to avoid double count keep small</t>
  </si>
  <si>
    <t xml:space="preserve">Summit Dentist</t>
  </si>
  <si>
    <t xml:space="preserve">Reynolds</t>
  </si>
  <si>
    <t xml:space="preserve">Advisory Consultants</t>
  </si>
  <si>
    <t xml:space="preserve">Doherty Roofing</t>
  </si>
  <si>
    <t xml:space="preserve">Calderone School</t>
  </si>
  <si>
    <t xml:space="preserve">Knights of Columbus</t>
  </si>
  <si>
    <t xml:space="preserve">Laundry</t>
  </si>
  <si>
    <t xml:space="preserve">Bistro Greenbrook</t>
  </si>
  <si>
    <t xml:space="preserve">Eyes On You</t>
  </si>
  <si>
    <t xml:space="preserve">Mr Handyman corporate half page</t>
  </si>
  <si>
    <t xml:space="preserve">Cranford sub</t>
  </si>
  <si>
    <t xml:space="preserve">Witty's Wine</t>
  </si>
  <si>
    <t xml:space="preserve">Access Self Storage</t>
  </si>
  <si>
    <t xml:space="preserve">Dumpster</t>
  </si>
  <si>
    <t xml:space="preserve">Dog Walker</t>
  </si>
  <si>
    <t xml:space="preserve">Marano &amp; Sons - back cover full page</t>
  </si>
  <si>
    <t xml:space="preserve">Metro Liquors</t>
  </si>
  <si>
    <t xml:space="preserve">DePaola</t>
  </si>
  <si>
    <t xml:space="preserve">Assure Pest</t>
  </si>
  <si>
    <t xml:space="preserve">Wired Rite</t>
  </si>
  <si>
    <t xml:space="preserve">EAB Realty</t>
  </si>
  <si>
    <t xml:space="preserve">Angelo CPA</t>
  </si>
  <si>
    <t xml:space="preserve">Lkaz realty</t>
  </si>
  <si>
    <t xml:space="preserve">ERA Boniakowski</t>
  </si>
  <si>
    <t xml:space="preserve">Light Bridge half page</t>
  </si>
  <si>
    <t xml:space="preserve">Eileen Sergent</t>
  </si>
  <si>
    <t xml:space="preserve">Torsiello</t>
  </si>
  <si>
    <t xml:space="preserve">Allstate Espeland</t>
  </si>
  <si>
    <t xml:space="preserve">Family care medical</t>
  </si>
  <si>
    <t xml:space="preserve">BHHS Summit</t>
  </si>
  <si>
    <t xml:space="preserve">Hobbie Hobbie</t>
  </si>
  <si>
    <t xml:space="preserve">Arnolds Pest</t>
  </si>
  <si>
    <t xml:space="preserve">OKeefe office</t>
  </si>
  <si>
    <t xml:space="preserve">Tussel-Holsten realtor</t>
  </si>
  <si>
    <t xml:space="preserve">AM Brown Law</t>
  </si>
  <si>
    <t xml:space="preserve">Joe Neglio</t>
  </si>
  <si>
    <t xml:space="preserve">BHHS Summit alt</t>
  </si>
  <si>
    <t xml:space="preserve">ACHIEVERS BH</t>
  </si>
  <si>
    <t xml:space="preserve">Citarella</t>
  </si>
  <si>
    <t xml:space="preserve">Brenda Warren realty</t>
  </si>
  <si>
    <t xml:space="preserve">Cirincione realtor</t>
  </si>
  <si>
    <t xml:space="preserve">TOTAL est. monthly ad revenue Jan 2026</t>
  </si>
  <si>
    <t xml:space="preserve">CIM-implied monthly revenue (annualized $830K SDE rebase)</t>
  </si>
  <si>
    <t xml:space="preserve">Coverage gap (image-only ads not phone-extractable)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</si>
</sst>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#,##0"/>
    <numFmt numFmtId="168" formatCode="0.0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11"/>
      <color rgb="FFC0392B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3E0"/>
        <bgColor rgb="FFFCE4EC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7" customFormat="false" ht="15" hidden="false" customHeight="true" outlineLevel="0" collapsed="false">
      <c r="A7" s="1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1" t="s">
        <v>7</v>
      </c>
      <c r="B10" s="1" t="s">
        <v>8</v>
      </c>
    </row>
    <row r="11" customFormat="false" ht="15" hidden="false" customHeight="true" outlineLevel="0" collapsed="false">
      <c r="A11" s="1" t="s">
        <v>9</v>
      </c>
      <c r="B11" s="1" t="s">
        <v>10</v>
      </c>
    </row>
    <row r="12" customFormat="false" ht="15" hidden="false" customHeight="true" outlineLevel="0" collapsed="false">
      <c r="A12" s="1" t="s">
        <v>11</v>
      </c>
      <c r="B12" s="1" t="s">
        <v>12</v>
      </c>
    </row>
    <row r="13" customFormat="false" ht="15" hidden="false" customHeight="true" outlineLevel="0" collapsed="false">
      <c r="A13" s="1" t="s">
        <v>13</v>
      </c>
      <c r="B13" s="1" t="s">
        <v>14</v>
      </c>
    </row>
    <row r="14" customFormat="false" ht="15" hidden="false" customHeight="true" outlineLevel="0" collapsed="false">
      <c r="A14" s="1" t="s">
        <v>15</v>
      </c>
      <c r="B14" s="1" t="s">
        <v>16</v>
      </c>
    </row>
    <row r="15" customFormat="false" ht="15" hidden="false" customHeight="true" outlineLevel="0" collapsed="false">
      <c r="A15" s="1" t="s">
        <v>17</v>
      </c>
      <c r="B15" s="1" t="s">
        <v>18</v>
      </c>
    </row>
    <row r="16" customFormat="false" ht="15" hidden="false" customHeight="true" outlineLevel="0" collapsed="false">
      <c r="A16" s="1" t="s">
        <v>19</v>
      </c>
      <c r="B16" s="1" t="s">
        <v>20</v>
      </c>
    </row>
    <row r="18" customFormat="false" ht="15" hidden="false" customHeight="true" outlineLevel="0" collapsed="false">
      <c r="A18" s="3" t="s">
        <v>21</v>
      </c>
    </row>
    <row r="19" customFormat="false" ht="15" hidden="false" customHeight="true" outlineLevel="0" collapsed="false">
      <c r="A19" s="1" t="s">
        <v>22</v>
      </c>
    </row>
    <row r="20" customFormat="false" ht="15" hidden="false" customHeight="true" outlineLevel="0" collapsed="false">
      <c r="A20" s="1" t="s">
        <v>23</v>
      </c>
    </row>
    <row r="21" customFormat="false" ht="15" hidden="false" customHeight="true" outlineLevel="0" collapsed="false">
      <c r="A21" s="1" t="s">
        <v>24</v>
      </c>
    </row>
    <row r="22" customFormat="false" ht="15" hidden="false" customHeight="true" outlineLevel="0" collapsed="false">
      <c r="A22" s="1" t="s">
        <v>25</v>
      </c>
    </row>
    <row r="23" customFormat="false" ht="15" hidden="false" customHeight="true" outlineLevel="0" collapsed="false">
      <c r="A23" s="1" t="s">
        <v>26</v>
      </c>
    </row>
    <row r="25" customFormat="false" ht="15" hidden="false" customHeight="true" outlineLevel="0" collapsed="false">
      <c r="A25" s="3" t="s">
        <v>27</v>
      </c>
    </row>
    <row r="26" customFormat="false" ht="15" hidden="false" customHeight="true" outlineLevel="0" collapsed="false">
      <c r="A26" s="1" t="s">
        <v>28</v>
      </c>
    </row>
    <row r="27" customFormat="false" ht="15" hidden="false" customHeight="true" outlineLevel="0" collapsed="false">
      <c r="A27" s="1" t="s">
        <v>29</v>
      </c>
    </row>
    <row r="28" customFormat="false" ht="15" hidden="false" customHeight="true" outlineLevel="0" collapsed="false">
      <c r="A28" s="1" t="s">
        <v>30</v>
      </c>
    </row>
    <row r="30" customFormat="false" ht="15" hidden="false" customHeight="true" outlineLevel="0" collapsed="false">
      <c r="A30" s="1" t="s">
        <v>31</v>
      </c>
      <c r="B30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15" min="5" style="1" width="8"/>
  </cols>
  <sheetData>
    <row r="1" customFormat="false" ht="17.25" hidden="false" customHeight="true" outlineLevel="0" collapsed="false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true" outlineLevel="0" collapsed="false">
      <c r="A2" s="5" t="s">
        <v>34</v>
      </c>
    </row>
    <row r="4" customFormat="false" ht="1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  <c r="N4" s="6" t="s">
        <v>48</v>
      </c>
      <c r="O4" s="6" t="s">
        <v>49</v>
      </c>
    </row>
    <row r="5" customFormat="false" ht="15" hidden="false" customHeight="true" outlineLevel="0" collapsed="false">
      <c r="A5" s="7" t="s">
        <v>50</v>
      </c>
      <c r="B5" s="8" t="s">
        <v>51</v>
      </c>
      <c r="C5" s="8" t="s">
        <v>52</v>
      </c>
      <c r="D5" s="8" t="n">
        <v>6.5</v>
      </c>
      <c r="E5" s="9" t="n">
        <v>100</v>
      </c>
      <c r="F5" s="9" t="n">
        <v>260</v>
      </c>
      <c r="G5" s="9" t="n">
        <v>360</v>
      </c>
      <c r="H5" s="9" t="n">
        <v>460</v>
      </c>
      <c r="I5" s="9" t="n">
        <v>560</v>
      </c>
      <c r="J5" s="9" t="n">
        <v>600</v>
      </c>
      <c r="K5" s="9" t="n">
        <v>660</v>
      </c>
      <c r="L5" s="9" t="n">
        <v>700</v>
      </c>
      <c r="M5" s="9" t="n">
        <v>800</v>
      </c>
      <c r="N5" s="9" t="n">
        <v>900</v>
      </c>
      <c r="O5" s="9" t="n">
        <v>1000</v>
      </c>
    </row>
    <row r="6" customFormat="false" ht="15" hidden="false" customHeight="true" outlineLevel="0" collapsed="false">
      <c r="A6" s="7" t="s">
        <v>53</v>
      </c>
      <c r="B6" s="8" t="s">
        <v>54</v>
      </c>
      <c r="C6" s="8" t="s">
        <v>55</v>
      </c>
      <c r="D6" s="8" t="n">
        <v>13</v>
      </c>
      <c r="E6" s="9" t="n">
        <v>150</v>
      </c>
      <c r="F6" s="9" t="n">
        <v>360</v>
      </c>
      <c r="G6" s="9" t="n">
        <v>560</v>
      </c>
      <c r="H6" s="9" t="n">
        <v>700</v>
      </c>
      <c r="I6" s="9" t="n">
        <v>800</v>
      </c>
      <c r="J6" s="9" t="n">
        <v>900</v>
      </c>
      <c r="K6" s="9" t="n">
        <v>1000</v>
      </c>
      <c r="L6" s="9" t="n">
        <v>1100</v>
      </c>
      <c r="M6" s="9" t="n">
        <v>1100</v>
      </c>
      <c r="N6" s="9" t="n">
        <v>1200</v>
      </c>
      <c r="O6" s="9" t="n">
        <v>1300</v>
      </c>
    </row>
    <row r="7" customFormat="false" ht="15" hidden="false" customHeight="true" outlineLevel="0" collapsed="false">
      <c r="A7" s="7" t="s">
        <v>56</v>
      </c>
      <c r="B7" s="8" t="s">
        <v>57</v>
      </c>
      <c r="C7" s="8" t="s">
        <v>58</v>
      </c>
      <c r="D7" s="8" t="n">
        <v>26</v>
      </c>
      <c r="E7" s="9" t="n">
        <v>240</v>
      </c>
      <c r="F7" s="9" t="n">
        <v>760</v>
      </c>
      <c r="G7" s="9" t="n">
        <v>1100</v>
      </c>
      <c r="H7" s="9" t="n">
        <v>1300</v>
      </c>
      <c r="I7" s="9" t="n">
        <v>1400</v>
      </c>
      <c r="J7" s="9" t="n">
        <v>1500</v>
      </c>
      <c r="K7" s="9" t="n">
        <v>1700</v>
      </c>
      <c r="L7" s="9" t="n">
        <v>1800</v>
      </c>
      <c r="M7" s="9" t="n">
        <v>1900</v>
      </c>
      <c r="N7" s="9" t="n">
        <v>2000</v>
      </c>
      <c r="O7" s="9" t="n">
        <v>2100</v>
      </c>
    </row>
    <row r="8" customFormat="false" ht="15" hidden="false" customHeight="true" outlineLevel="0" collapsed="false">
      <c r="A8" s="7" t="s">
        <v>59</v>
      </c>
      <c r="B8" s="8" t="s">
        <v>60</v>
      </c>
      <c r="C8" s="8" t="s">
        <v>61</v>
      </c>
      <c r="D8" s="8" t="n">
        <v>40</v>
      </c>
      <c r="E8" s="9" t="n">
        <v>320</v>
      </c>
      <c r="F8" s="9" t="n">
        <v>760</v>
      </c>
      <c r="G8" s="9" t="n">
        <v>1200</v>
      </c>
      <c r="H8" s="9" t="n">
        <v>1400</v>
      </c>
      <c r="I8" s="9" t="n">
        <v>1600</v>
      </c>
      <c r="J8" s="9" t="n">
        <v>1800</v>
      </c>
      <c r="K8" s="9" t="n">
        <v>2200</v>
      </c>
      <c r="L8" s="9" t="n">
        <v>2400</v>
      </c>
      <c r="M8" s="9" t="n">
        <v>2500</v>
      </c>
      <c r="N8" s="9" t="n">
        <v>2600</v>
      </c>
      <c r="O8" s="9" t="n">
        <v>2800</v>
      </c>
    </row>
    <row r="9" customFormat="false" ht="15" hidden="false" customHeight="true" outlineLevel="0" collapsed="false">
      <c r="A9" s="7" t="s">
        <v>62</v>
      </c>
      <c r="B9" s="8" t="s">
        <v>63</v>
      </c>
      <c r="C9" s="8" t="s">
        <v>64</v>
      </c>
      <c r="D9" s="8" t="n">
        <v>65</v>
      </c>
      <c r="E9" s="9" t="n">
        <v>360</v>
      </c>
      <c r="F9" s="9" t="n">
        <v>860</v>
      </c>
      <c r="G9" s="9" t="n">
        <v>1300</v>
      </c>
      <c r="H9" s="9" t="n">
        <v>1600</v>
      </c>
      <c r="I9" s="9" t="n">
        <v>1800</v>
      </c>
      <c r="J9" s="9" t="n">
        <v>2200</v>
      </c>
      <c r="K9" s="9" t="n">
        <v>2400</v>
      </c>
      <c r="L9" s="9" t="n">
        <v>2600</v>
      </c>
      <c r="M9" s="9" t="n">
        <v>2800</v>
      </c>
      <c r="N9" s="9" t="n">
        <v>2900</v>
      </c>
      <c r="O9" s="9" t="n">
        <v>3000</v>
      </c>
    </row>
    <row r="10" customFormat="false" ht="15" hidden="false" customHeight="true" outlineLevel="0" collapsed="false">
      <c r="A10" s="7" t="s">
        <v>65</v>
      </c>
      <c r="B10" s="8" t="s">
        <v>66</v>
      </c>
      <c r="C10" s="8" t="s">
        <v>67</v>
      </c>
      <c r="D10" s="8" t="n">
        <v>91</v>
      </c>
      <c r="E10" s="9" t="n">
        <v>400</v>
      </c>
      <c r="F10" s="9" t="n">
        <v>960</v>
      </c>
      <c r="G10" s="9" t="n">
        <v>1400</v>
      </c>
      <c r="H10" s="9" t="n">
        <v>1800</v>
      </c>
      <c r="I10" s="9" t="n">
        <v>2100</v>
      </c>
      <c r="J10" s="9" t="n">
        <v>2400</v>
      </c>
      <c r="K10" s="9" t="n">
        <v>2700</v>
      </c>
      <c r="L10" s="9" t="n">
        <v>3000</v>
      </c>
      <c r="M10" s="9" t="n">
        <v>3300</v>
      </c>
      <c r="N10" s="9" t="n">
        <v>3600</v>
      </c>
      <c r="O10" s="9" t="n">
        <v>3900</v>
      </c>
    </row>
    <row r="11" customFormat="false" ht="15" hidden="false" customHeight="true" outlineLevel="0" collapsed="false">
      <c r="A11" s="7" t="s">
        <v>68</v>
      </c>
      <c r="B11" s="8" t="s">
        <v>69</v>
      </c>
      <c r="C11" s="8" t="s">
        <v>70</v>
      </c>
      <c r="D11" s="8" t="n">
        <v>140</v>
      </c>
      <c r="E11" s="9" t="n">
        <v>500</v>
      </c>
      <c r="F11" s="9" t="n">
        <v>1200</v>
      </c>
      <c r="G11" s="9" t="n">
        <v>1800</v>
      </c>
      <c r="H11" s="9" t="n">
        <v>2200</v>
      </c>
      <c r="I11" s="9" t="n">
        <v>2500</v>
      </c>
      <c r="J11" s="9" t="n">
        <v>2800</v>
      </c>
      <c r="K11" s="9" t="n">
        <v>3300</v>
      </c>
      <c r="L11" s="9" t="n">
        <v>3500</v>
      </c>
      <c r="M11" s="9" t="n">
        <v>3700</v>
      </c>
      <c r="N11" s="9" t="n">
        <v>3900</v>
      </c>
      <c r="O11" s="9" t="n">
        <v>4500</v>
      </c>
    </row>
    <row r="12" customFormat="false" ht="15" hidden="false" customHeight="true" outlineLevel="0" collapsed="false">
      <c r="A12" s="7" t="s">
        <v>71</v>
      </c>
      <c r="B12" s="8" t="s">
        <v>72</v>
      </c>
      <c r="C12" s="8" t="s">
        <v>73</v>
      </c>
      <c r="D12" s="8" t="n">
        <v>294</v>
      </c>
      <c r="E12" s="9" t="n">
        <v>800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5" hidden="false" customHeight="true" outlineLevel="0" collapsed="false">
      <c r="A13" s="7" t="s">
        <v>74</v>
      </c>
      <c r="B13" s="8" t="s">
        <v>75</v>
      </c>
      <c r="C13" s="8" t="s">
        <v>70</v>
      </c>
      <c r="D13" s="8" t="n">
        <v>140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15" hidden="false" customHeight="true" outlineLevel="0" collapsed="false">
      <c r="A14" s="7" t="s">
        <v>76</v>
      </c>
      <c r="B14" s="8" t="s">
        <v>77</v>
      </c>
      <c r="C14" s="8" t="s">
        <v>78</v>
      </c>
      <c r="D14" s="8" t="n">
        <v>16.5</v>
      </c>
      <c r="E14" s="9" t="n">
        <v>360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15" hidden="false" customHeight="true" outlineLevel="0" collapsed="false">
      <c r="A15" s="7" t="s">
        <v>79</v>
      </c>
      <c r="B15" s="8" t="s">
        <v>80</v>
      </c>
      <c r="C15" s="8" t="s">
        <v>81</v>
      </c>
      <c r="D15" s="8" t="n">
        <v>6</v>
      </c>
      <c r="E15" s="9" t="n">
        <v>320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8" customFormat="false" ht="15" hidden="false" customHeight="true" outlineLevel="0" collapsed="false">
      <c r="A18" s="10" t="s">
        <v>82</v>
      </c>
    </row>
    <row r="19" customFormat="false" ht="15" hidden="false" customHeight="true" outlineLevel="0" collapsed="false">
      <c r="A19" s="6" t="s">
        <v>83</v>
      </c>
      <c r="B19" s="6" t="s">
        <v>84</v>
      </c>
      <c r="C19" s="6" t="s">
        <v>85</v>
      </c>
      <c r="D19" s="6" t="s">
        <v>86</v>
      </c>
    </row>
    <row r="20" customFormat="false" ht="15" hidden="false" customHeight="true" outlineLevel="0" collapsed="false">
      <c r="A20" s="8" t="str">
        <f aca="false">A5</f>
        <v>1U</v>
      </c>
      <c r="B20" s="9" t="n">
        <f aca="false">E5*6</f>
        <v>600</v>
      </c>
      <c r="C20" s="9" t="n">
        <f aca="false">G5</f>
        <v>360</v>
      </c>
      <c r="D20" s="11" t="n">
        <f aca="false">1-G5/(E5*6)</f>
        <v>0.4</v>
      </c>
    </row>
    <row r="21" customFormat="false" ht="15" hidden="false" customHeight="true" outlineLevel="0" collapsed="false">
      <c r="A21" s="8" t="str">
        <f aca="false">A6</f>
        <v>2U</v>
      </c>
      <c r="B21" s="9" t="n">
        <f aca="false">E6*6</f>
        <v>900</v>
      </c>
      <c r="C21" s="9" t="n">
        <f aca="false">G6</f>
        <v>560</v>
      </c>
      <c r="D21" s="11" t="n">
        <f aca="false">1-G6/(E6*6)</f>
        <v>0.377777777777778</v>
      </c>
    </row>
    <row r="22" customFormat="false" ht="15" hidden="false" customHeight="true" outlineLevel="0" collapsed="false">
      <c r="A22" s="8" t="str">
        <f aca="false">A7</f>
        <v>4U</v>
      </c>
      <c r="B22" s="9" t="n">
        <f aca="false">E7*6</f>
        <v>1440</v>
      </c>
      <c r="C22" s="9" t="n">
        <f aca="false">G7</f>
        <v>1100</v>
      </c>
      <c r="D22" s="11" t="n">
        <f aca="false">1-G7/(E7*6)</f>
        <v>0.236111111111111</v>
      </c>
    </row>
    <row r="23" customFormat="false" ht="15" hidden="false" customHeight="true" outlineLevel="0" collapsed="false">
      <c r="A23" s="8" t="str">
        <f aca="false">A8</f>
        <v>6U</v>
      </c>
      <c r="B23" s="9" t="n">
        <f aca="false">E8*6</f>
        <v>1920</v>
      </c>
      <c r="C23" s="9" t="n">
        <f aca="false">G8</f>
        <v>1200</v>
      </c>
      <c r="D23" s="11" t="n">
        <f aca="false">1-G8/(E8*6)</f>
        <v>0.375</v>
      </c>
    </row>
    <row r="24" customFormat="false" ht="15" hidden="false" customHeight="true" outlineLevel="0" collapsed="false">
      <c r="A24" s="8" t="str">
        <f aca="false">A9</f>
        <v>9HP</v>
      </c>
      <c r="B24" s="9" t="n">
        <f aca="false">E9*6</f>
        <v>2160</v>
      </c>
      <c r="C24" s="9" t="n">
        <f aca="false">G9</f>
        <v>1300</v>
      </c>
      <c r="D24" s="11" t="n">
        <f aca="false">1-G9/(E9*6)</f>
        <v>0.398148148148148</v>
      </c>
    </row>
    <row r="25" customFormat="false" ht="15" hidden="false" customHeight="true" outlineLevel="0" collapsed="false">
      <c r="A25" s="8" t="str">
        <f aca="false">A10</f>
        <v>12U</v>
      </c>
      <c r="B25" s="9" t="n">
        <f aca="false">E10*6</f>
        <v>2400</v>
      </c>
      <c r="C25" s="9" t="n">
        <f aca="false">G10</f>
        <v>1400</v>
      </c>
      <c r="D25" s="11" t="n">
        <f aca="false">1-G10/(E10*6)</f>
        <v>0.416666666666667</v>
      </c>
    </row>
    <row r="26" customFormat="false" ht="15" hidden="false" customHeight="true" outlineLevel="0" collapsed="false">
      <c r="A26" s="8" t="str">
        <f aca="false">A11</f>
        <v>18FP</v>
      </c>
      <c r="B26" s="9" t="n">
        <f aca="false">E11*6</f>
        <v>3000</v>
      </c>
      <c r="C26" s="9" t="n">
        <f aca="false">G11</f>
        <v>1800</v>
      </c>
      <c r="D26" s="11" t="n">
        <f aca="false">1-G11/(E11*6)</f>
        <v>0.4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14"/>
    <col collapsed="false" customWidth="true" hidden="false" outlineLevel="0" max="4" min="4" style="1" width="28"/>
  </cols>
  <sheetData>
    <row r="1" customFormat="false" ht="17.25" hidden="false" customHeight="true" outlineLevel="0" collapsed="false">
      <c r="A1" s="12" t="s">
        <v>87</v>
      </c>
    </row>
    <row r="3" customFormat="false" ht="15" hidden="false" customHeight="true" outlineLevel="0" collapsed="false">
      <c r="A3" s="13" t="s">
        <v>88</v>
      </c>
      <c r="B3" s="13" t="s">
        <v>89</v>
      </c>
      <c r="C3" s="13" t="s">
        <v>9</v>
      </c>
      <c r="D3" s="13" t="s">
        <v>90</v>
      </c>
    </row>
    <row r="4" customFormat="false" ht="15" hidden="false" customHeight="true" outlineLevel="0" collapsed="false">
      <c r="A4" s="8" t="s">
        <v>91</v>
      </c>
      <c r="B4" s="8" t="s">
        <v>92</v>
      </c>
      <c r="C4" s="14" t="n">
        <v>5000</v>
      </c>
      <c r="D4" s="8" t="s">
        <v>93</v>
      </c>
    </row>
    <row r="5" customFormat="false" ht="15" hidden="false" customHeight="true" outlineLevel="0" collapsed="false">
      <c r="A5" s="8" t="s">
        <v>94</v>
      </c>
      <c r="B5" s="8" t="s">
        <v>95</v>
      </c>
      <c r="C5" s="14" t="n">
        <v>7600</v>
      </c>
      <c r="D5" s="8" t="s">
        <v>96</v>
      </c>
    </row>
    <row r="6" customFormat="false" ht="15" hidden="false" customHeight="true" outlineLevel="0" collapsed="false">
      <c r="A6" s="8" t="s">
        <v>97</v>
      </c>
      <c r="B6" s="8" t="s">
        <v>98</v>
      </c>
      <c r="C6" s="14" t="n">
        <v>6800</v>
      </c>
      <c r="D6" s="8" t="s">
        <v>99</v>
      </c>
    </row>
    <row r="7" customFormat="false" ht="15" hidden="false" customHeight="true" outlineLevel="0" collapsed="false">
      <c r="A7" s="8" t="s">
        <v>100</v>
      </c>
      <c r="B7" s="8" t="s">
        <v>101</v>
      </c>
      <c r="C7" s="14" t="n">
        <v>9900</v>
      </c>
      <c r="D7" s="8" t="s">
        <v>102</v>
      </c>
    </row>
    <row r="8" customFormat="false" ht="15" hidden="false" customHeight="true" outlineLevel="0" collapsed="false">
      <c r="A8" s="8" t="s">
        <v>103</v>
      </c>
      <c r="B8" s="8" t="s">
        <v>104</v>
      </c>
      <c r="C8" s="14" t="n">
        <v>4700</v>
      </c>
      <c r="D8" s="8" t="s">
        <v>105</v>
      </c>
    </row>
    <row r="9" customFormat="false" ht="15" hidden="false" customHeight="true" outlineLevel="0" collapsed="false">
      <c r="A9" s="8" t="s">
        <v>106</v>
      </c>
      <c r="B9" s="8" t="s">
        <v>107</v>
      </c>
      <c r="C9" s="14" t="n">
        <v>5100</v>
      </c>
      <c r="D9" s="8" t="s">
        <v>108</v>
      </c>
    </row>
    <row r="10" customFormat="false" ht="15" hidden="false" customHeight="true" outlineLevel="0" collapsed="false">
      <c r="A10" s="8" t="s">
        <v>109</v>
      </c>
      <c r="B10" s="8" t="s">
        <v>110</v>
      </c>
      <c r="C10" s="14" t="n">
        <v>3250</v>
      </c>
      <c r="D10" s="8" t="s">
        <v>111</v>
      </c>
    </row>
    <row r="11" customFormat="false" ht="15" hidden="false" customHeight="true" outlineLevel="0" collapsed="false">
      <c r="A11" s="8" t="s">
        <v>112</v>
      </c>
      <c r="B11" s="8" t="s">
        <v>113</v>
      </c>
      <c r="C11" s="14" t="n">
        <v>6000</v>
      </c>
      <c r="D11" s="8" t="s">
        <v>114</v>
      </c>
    </row>
    <row r="12" customFormat="false" ht="15" hidden="false" customHeight="true" outlineLevel="0" collapsed="false">
      <c r="A12" s="8" t="s">
        <v>115</v>
      </c>
      <c r="B12" s="8" t="s">
        <v>116</v>
      </c>
      <c r="C12" s="14" t="n">
        <v>3300</v>
      </c>
      <c r="D12" s="8" t="s">
        <v>117</v>
      </c>
    </row>
    <row r="13" customFormat="false" ht="15" hidden="false" customHeight="true" outlineLevel="0" collapsed="false">
      <c r="A13" s="8" t="s">
        <v>118</v>
      </c>
      <c r="B13" s="8" t="s">
        <v>119</v>
      </c>
      <c r="C13" s="14" t="n">
        <v>1800</v>
      </c>
      <c r="D13" s="8" t="s">
        <v>120</v>
      </c>
    </row>
    <row r="14" customFormat="false" ht="15" hidden="false" customHeight="true" outlineLevel="0" collapsed="false">
      <c r="A14" s="8" t="s">
        <v>121</v>
      </c>
      <c r="B14" s="8" t="s">
        <v>122</v>
      </c>
      <c r="C14" s="14" t="n">
        <v>6100</v>
      </c>
      <c r="D14" s="8" t="s">
        <v>123</v>
      </c>
    </row>
    <row r="15" customFormat="false" ht="15" hidden="false" customHeight="true" outlineLevel="0" collapsed="false">
      <c r="A15" s="8" t="s">
        <v>124</v>
      </c>
      <c r="B15" s="8" t="s">
        <v>125</v>
      </c>
      <c r="C15" s="14" t="n">
        <v>5500</v>
      </c>
      <c r="D15" s="8" t="s">
        <v>126</v>
      </c>
    </row>
    <row r="16" customFormat="false" ht="15" hidden="false" customHeight="true" outlineLevel="0" collapsed="false">
      <c r="A16" s="8" t="s">
        <v>127</v>
      </c>
      <c r="B16" s="8" t="s">
        <v>128</v>
      </c>
      <c r="C16" s="14" t="n">
        <v>18000</v>
      </c>
      <c r="D16" s="8" t="s">
        <v>129</v>
      </c>
    </row>
    <row r="17" customFormat="false" ht="15" hidden="false" customHeight="true" outlineLevel="0" collapsed="false">
      <c r="A17" s="8" t="s">
        <v>130</v>
      </c>
      <c r="B17" s="8" t="s">
        <v>131</v>
      </c>
      <c r="C17" s="14" t="n">
        <v>3000</v>
      </c>
      <c r="D17" s="8" t="s">
        <v>132</v>
      </c>
    </row>
    <row r="18" customFormat="false" ht="15" hidden="false" customHeight="true" outlineLevel="0" collapsed="false">
      <c r="A18" s="8" t="s">
        <v>133</v>
      </c>
      <c r="B18" s="8" t="s">
        <v>134</v>
      </c>
      <c r="C18" s="14" t="n">
        <v>12100</v>
      </c>
      <c r="D18" s="8" t="s">
        <v>135</v>
      </c>
    </row>
    <row r="19" customFormat="false" ht="15" hidden="false" customHeight="true" outlineLevel="0" collapsed="false">
      <c r="A19" s="8" t="s">
        <v>136</v>
      </c>
      <c r="B19" s="8" t="s">
        <v>137</v>
      </c>
      <c r="C19" s="14" t="n">
        <v>3500</v>
      </c>
      <c r="D19" s="8" t="s">
        <v>138</v>
      </c>
    </row>
    <row r="20" customFormat="false" ht="15" hidden="false" customHeight="true" outlineLevel="0" collapsed="false">
      <c r="A20" s="8" t="s">
        <v>139</v>
      </c>
      <c r="B20" s="8" t="s">
        <v>140</v>
      </c>
      <c r="C20" s="14" t="n">
        <v>8200</v>
      </c>
      <c r="D20" s="8" t="s">
        <v>141</v>
      </c>
    </row>
    <row r="21" customFormat="false" ht="15" hidden="false" customHeight="true" outlineLevel="0" collapsed="false">
      <c r="A21" s="8" t="s">
        <v>142</v>
      </c>
      <c r="B21" s="8" t="s">
        <v>143</v>
      </c>
      <c r="C21" s="14" t="n">
        <v>6500</v>
      </c>
      <c r="D21" s="8" t="s">
        <v>144</v>
      </c>
    </row>
    <row r="22" customFormat="false" ht="15" hidden="false" customHeight="true" outlineLevel="0" collapsed="false">
      <c r="A22" s="8" t="s">
        <v>145</v>
      </c>
      <c r="B22" s="8" t="s">
        <v>146</v>
      </c>
      <c r="C22" s="14" t="n">
        <v>13500</v>
      </c>
      <c r="D22" s="8" t="s">
        <v>147</v>
      </c>
    </row>
    <row r="23" customFormat="false" ht="15" hidden="false" customHeight="true" outlineLevel="0" collapsed="false">
      <c r="A23" s="8" t="s">
        <v>148</v>
      </c>
      <c r="B23" s="8" t="s">
        <v>149</v>
      </c>
      <c r="C23" s="14" t="n">
        <v>7000</v>
      </c>
      <c r="D23" s="8" t="s">
        <v>147</v>
      </c>
    </row>
    <row r="24" customFormat="false" ht="15" hidden="false" customHeight="true" outlineLevel="0" collapsed="false">
      <c r="A24" s="8" t="s">
        <v>150</v>
      </c>
      <c r="B24" s="8" t="s">
        <v>151</v>
      </c>
      <c r="C24" s="14" t="n">
        <v>3000</v>
      </c>
      <c r="D24" s="8" t="s">
        <v>152</v>
      </c>
    </row>
    <row r="25" customFormat="false" ht="15" hidden="false" customHeight="true" outlineLevel="0" collapsed="false">
      <c r="A25" s="8" t="s">
        <v>153</v>
      </c>
      <c r="B25" s="8" t="s">
        <v>154</v>
      </c>
      <c r="C25" s="14" t="n">
        <v>5100</v>
      </c>
      <c r="D25" s="8" t="s">
        <v>155</v>
      </c>
    </row>
    <row r="26" customFormat="false" ht="15" hidden="false" customHeight="true" outlineLevel="0" collapsed="false">
      <c r="A26" s="8" t="s">
        <v>156</v>
      </c>
      <c r="B26" s="8" t="s">
        <v>157</v>
      </c>
      <c r="C26" s="14" t="n">
        <v>13100</v>
      </c>
      <c r="D26" s="8" t="s">
        <v>158</v>
      </c>
    </row>
    <row r="27" customFormat="false" ht="15" hidden="false" customHeight="true" outlineLevel="0" collapsed="false">
      <c r="A27" s="8" t="s">
        <v>159</v>
      </c>
      <c r="B27" s="8" t="s">
        <v>160</v>
      </c>
      <c r="C27" s="14" t="n">
        <v>5600</v>
      </c>
      <c r="D27" s="8" t="s">
        <v>161</v>
      </c>
    </row>
    <row r="28" customFormat="false" ht="15" hidden="false" customHeight="true" outlineLevel="0" collapsed="false">
      <c r="A28" s="8" t="s">
        <v>162</v>
      </c>
      <c r="B28" s="8" t="s">
        <v>163</v>
      </c>
      <c r="C28" s="14" t="n">
        <v>9600</v>
      </c>
      <c r="D28" s="8" t="s">
        <v>164</v>
      </c>
    </row>
    <row r="29" customFormat="false" ht="15" hidden="false" customHeight="true" outlineLevel="0" collapsed="false">
      <c r="A29" s="8" t="s">
        <v>165</v>
      </c>
      <c r="B29" s="8" t="s">
        <v>166</v>
      </c>
      <c r="C29" s="14" t="n">
        <v>7800</v>
      </c>
      <c r="D29" s="8" t="s">
        <v>167</v>
      </c>
    </row>
    <row r="30" customFormat="false" ht="15" hidden="false" customHeight="true" outlineLevel="0" collapsed="false">
      <c r="A30" s="8" t="s">
        <v>168</v>
      </c>
      <c r="B30" s="8" t="s">
        <v>169</v>
      </c>
      <c r="C30" s="14" t="n">
        <v>9600</v>
      </c>
      <c r="D30" s="8" t="s">
        <v>170</v>
      </c>
    </row>
    <row r="31" customFormat="false" ht="15" hidden="false" customHeight="true" outlineLevel="0" collapsed="false">
      <c r="A31" s="8" t="s">
        <v>171</v>
      </c>
      <c r="B31" s="8" t="s">
        <v>172</v>
      </c>
      <c r="C31" s="14" t="n">
        <v>6500</v>
      </c>
      <c r="D31" s="8" t="s">
        <v>173</v>
      </c>
    </row>
    <row r="32" customFormat="false" ht="15" hidden="false" customHeight="true" outlineLevel="0" collapsed="false">
      <c r="A32" s="8" t="s">
        <v>174</v>
      </c>
      <c r="B32" s="8" t="s">
        <v>175</v>
      </c>
      <c r="C32" s="14" t="n">
        <v>2700</v>
      </c>
      <c r="D32" s="8" t="s">
        <v>176</v>
      </c>
    </row>
    <row r="33" customFormat="false" ht="15" hidden="false" customHeight="true" outlineLevel="0" collapsed="false">
      <c r="A33" s="8" t="s">
        <v>177</v>
      </c>
      <c r="B33" s="8" t="s">
        <v>178</v>
      </c>
      <c r="C33" s="14" t="n">
        <v>12000</v>
      </c>
      <c r="D33" s="8" t="s">
        <v>179</v>
      </c>
    </row>
    <row r="34" customFormat="false" ht="15" hidden="false" customHeight="true" outlineLevel="0" collapsed="false">
      <c r="B34" s="15" t="s">
        <v>180</v>
      </c>
      <c r="C34" s="16" t="n">
        <f aca="false">SUM(C4:C33)</f>
        <v>211850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6"/>
    <col collapsed="false" customWidth="true" hidden="false" outlineLevel="0" max="6" min="6" style="1" width="40"/>
    <col collapsed="false" customWidth="true" hidden="false" outlineLevel="0" max="7" min="7" style="1" width="3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9"/>
    <col collapsed="false" customWidth="true" hidden="false" outlineLevel="0" max="14" min="14" style="1" width="16"/>
    <col collapsed="false" customWidth="true" hidden="false" outlineLevel="0" max="15" min="15" style="1" width="28"/>
    <col collapsed="false" customWidth="true" hidden="false" outlineLevel="0" max="16" min="16" style="1" width="10"/>
    <col collapsed="false" customWidth="true" hidden="false" outlineLevel="0" max="17" min="17" style="1" width="50"/>
  </cols>
  <sheetData>
    <row r="1" customFormat="false" ht="15" hidden="false" customHeight="true" outlineLevel="0" collapsed="false">
      <c r="A1" s="13" t="s">
        <v>181</v>
      </c>
      <c r="B1" s="13" t="s">
        <v>182</v>
      </c>
      <c r="C1" s="13" t="s">
        <v>183</v>
      </c>
      <c r="D1" s="13" t="s">
        <v>184</v>
      </c>
      <c r="E1" s="13" t="s">
        <v>185</v>
      </c>
      <c r="F1" s="13" t="s">
        <v>186</v>
      </c>
      <c r="G1" s="13" t="s">
        <v>187</v>
      </c>
      <c r="H1" s="13" t="s">
        <v>188</v>
      </c>
      <c r="I1" s="13" t="s">
        <v>189</v>
      </c>
      <c r="J1" s="13" t="s">
        <v>190</v>
      </c>
      <c r="K1" s="13" t="s">
        <v>191</v>
      </c>
      <c r="L1" s="13" t="s">
        <v>192</v>
      </c>
      <c r="M1" s="13" t="s">
        <v>193</v>
      </c>
      <c r="N1" s="13" t="s">
        <v>194</v>
      </c>
      <c r="O1" s="13" t="s">
        <v>195</v>
      </c>
      <c r="P1" s="13" t="s">
        <v>196</v>
      </c>
      <c r="Q1" s="13" t="s">
        <v>197</v>
      </c>
    </row>
    <row r="2" customFormat="false" ht="15" hidden="false" customHeight="true" outlineLevel="0" collapsed="false">
      <c r="A2" s="8" t="s">
        <v>177</v>
      </c>
      <c r="B2" s="8" t="s">
        <v>178</v>
      </c>
      <c r="C2" s="14" t="n">
        <v>12000</v>
      </c>
      <c r="D2" s="8" t="s">
        <v>198</v>
      </c>
      <c r="E2" s="8" t="n">
        <v>1</v>
      </c>
      <c r="F2" s="8" t="s">
        <v>199</v>
      </c>
      <c r="G2" s="8" t="s">
        <v>199</v>
      </c>
      <c r="H2" s="8" t="s">
        <v>200</v>
      </c>
      <c r="I2" s="8" t="s">
        <v>56</v>
      </c>
      <c r="J2" s="8" t="s">
        <v>201</v>
      </c>
      <c r="K2" s="17" t="n">
        <v>26</v>
      </c>
      <c r="L2" s="8" t="s">
        <v>202</v>
      </c>
      <c r="M2" s="18" t="b">
        <f aca="false">TRUE()</f>
        <v>1</v>
      </c>
      <c r="N2" s="8"/>
      <c r="O2" s="8" t="s">
        <v>203</v>
      </c>
      <c r="P2" s="8" t="s">
        <v>204</v>
      </c>
      <c r="Q2" s="8" t="s">
        <v>205</v>
      </c>
    </row>
    <row r="3" customFormat="false" ht="15" hidden="false" customHeight="true" outlineLevel="0" collapsed="false">
      <c r="A3" s="8" t="s">
        <v>177</v>
      </c>
      <c r="B3" s="8" t="s">
        <v>178</v>
      </c>
      <c r="C3" s="14" t="n">
        <v>12000</v>
      </c>
      <c r="D3" s="8" t="s">
        <v>198</v>
      </c>
      <c r="E3" s="8" t="n">
        <v>1</v>
      </c>
      <c r="F3" s="8" t="s">
        <v>206</v>
      </c>
      <c r="G3" s="8" t="s">
        <v>207</v>
      </c>
      <c r="H3" s="8" t="s">
        <v>200</v>
      </c>
      <c r="I3" s="8" t="s">
        <v>56</v>
      </c>
      <c r="J3" s="8" t="s">
        <v>208</v>
      </c>
      <c r="K3" s="17" t="n">
        <v>26</v>
      </c>
      <c r="L3" s="8" t="s">
        <v>202</v>
      </c>
      <c r="M3" s="18" t="b">
        <f aca="false">TRUE()</f>
        <v>1</v>
      </c>
      <c r="N3" s="8" t="s">
        <v>209</v>
      </c>
      <c r="O3" s="8" t="s">
        <v>210</v>
      </c>
      <c r="P3" s="8" t="s">
        <v>204</v>
      </c>
      <c r="Q3" s="8" t="s">
        <v>211</v>
      </c>
    </row>
    <row r="4" customFormat="false" ht="15" hidden="false" customHeight="true" outlineLevel="0" collapsed="false">
      <c r="A4" s="8" t="s">
        <v>177</v>
      </c>
      <c r="B4" s="8" t="s">
        <v>178</v>
      </c>
      <c r="C4" s="14" t="n">
        <v>12000</v>
      </c>
      <c r="D4" s="8" t="s">
        <v>198</v>
      </c>
      <c r="E4" s="8" t="n">
        <v>2</v>
      </c>
      <c r="F4" s="8" t="s">
        <v>212</v>
      </c>
      <c r="G4" s="8" t="s">
        <v>213</v>
      </c>
      <c r="H4" s="8" t="s">
        <v>200</v>
      </c>
      <c r="I4" s="8" t="s">
        <v>56</v>
      </c>
      <c r="J4" s="8" t="s">
        <v>201</v>
      </c>
      <c r="K4" s="17" t="n">
        <v>26</v>
      </c>
      <c r="L4" s="8" t="s">
        <v>214</v>
      </c>
      <c r="M4" s="18" t="b">
        <f aca="false">TRUE()</f>
        <v>1</v>
      </c>
      <c r="N4" s="8" t="s">
        <v>209</v>
      </c>
      <c r="O4" s="8" t="s">
        <v>210</v>
      </c>
      <c r="P4" s="8" t="s">
        <v>204</v>
      </c>
      <c r="Q4" s="8" t="s">
        <v>215</v>
      </c>
    </row>
    <row r="5" customFormat="false" ht="15" hidden="false" customHeight="true" outlineLevel="0" collapsed="false">
      <c r="A5" s="8" t="s">
        <v>177</v>
      </c>
      <c r="B5" s="8" t="s">
        <v>178</v>
      </c>
      <c r="C5" s="14" t="n">
        <v>12000</v>
      </c>
      <c r="D5" s="8" t="s">
        <v>198</v>
      </c>
      <c r="E5" s="8" t="n">
        <v>2</v>
      </c>
      <c r="F5" s="8" t="s">
        <v>216</v>
      </c>
      <c r="G5" s="8" t="s">
        <v>217</v>
      </c>
      <c r="H5" s="8" t="s">
        <v>218</v>
      </c>
      <c r="I5" s="8" t="s">
        <v>62</v>
      </c>
      <c r="J5" s="8" t="s">
        <v>219</v>
      </c>
      <c r="K5" s="17" t="n">
        <v>65</v>
      </c>
      <c r="L5" s="8" t="s">
        <v>220</v>
      </c>
      <c r="M5" s="18" t="b">
        <f aca="false">FALSE()</f>
        <v>0</v>
      </c>
      <c r="N5" s="8" t="s">
        <v>221</v>
      </c>
      <c r="O5" s="8" t="s">
        <v>222</v>
      </c>
      <c r="P5" s="8" t="s">
        <v>204</v>
      </c>
      <c r="Q5" s="8" t="s">
        <v>223</v>
      </c>
    </row>
    <row r="6" customFormat="false" ht="15" hidden="false" customHeight="true" outlineLevel="0" collapsed="false">
      <c r="A6" s="8" t="s">
        <v>177</v>
      </c>
      <c r="B6" s="8" t="s">
        <v>178</v>
      </c>
      <c r="C6" s="14" t="n">
        <v>12000</v>
      </c>
      <c r="D6" s="8" t="s">
        <v>198</v>
      </c>
      <c r="E6" s="8" t="n">
        <v>3</v>
      </c>
      <c r="F6" s="8" t="s">
        <v>224</v>
      </c>
      <c r="G6" s="8" t="s">
        <v>225</v>
      </c>
      <c r="H6" s="8" t="s">
        <v>226</v>
      </c>
      <c r="I6" s="8" t="s">
        <v>68</v>
      </c>
      <c r="J6" s="8" t="s">
        <v>227</v>
      </c>
      <c r="K6" s="17" t="n">
        <v>140</v>
      </c>
      <c r="L6" s="8" t="s">
        <v>228</v>
      </c>
      <c r="M6" s="18" t="b">
        <f aca="false">FALSE()</f>
        <v>0</v>
      </c>
      <c r="N6" s="8" t="s">
        <v>229</v>
      </c>
      <c r="O6" s="8" t="s">
        <v>230</v>
      </c>
      <c r="P6" s="8" t="s">
        <v>204</v>
      </c>
      <c r="Q6" s="8" t="s">
        <v>231</v>
      </c>
    </row>
    <row r="7" customFormat="false" ht="15" hidden="false" customHeight="true" outlineLevel="0" collapsed="false">
      <c r="A7" s="8" t="s">
        <v>177</v>
      </c>
      <c r="B7" s="8" t="s">
        <v>178</v>
      </c>
      <c r="C7" s="14" t="n">
        <v>12000</v>
      </c>
      <c r="D7" s="8" t="s">
        <v>198</v>
      </c>
      <c r="E7" s="8" t="n">
        <v>4</v>
      </c>
      <c r="F7" s="8" t="s">
        <v>232</v>
      </c>
      <c r="G7" s="8" t="s">
        <v>233</v>
      </c>
      <c r="H7" s="8" t="s">
        <v>234</v>
      </c>
      <c r="I7" s="8" t="s">
        <v>53</v>
      </c>
      <c r="J7" s="8" t="s">
        <v>235</v>
      </c>
      <c r="K7" s="17" t="n">
        <v>13</v>
      </c>
      <c r="L7" s="8" t="s">
        <v>214</v>
      </c>
      <c r="M7" s="18" t="b">
        <f aca="false">FALSE()</f>
        <v>0</v>
      </c>
      <c r="N7" s="8" t="s">
        <v>236</v>
      </c>
      <c r="O7" s="8" t="s">
        <v>237</v>
      </c>
      <c r="P7" s="8" t="s">
        <v>204</v>
      </c>
      <c r="Q7" s="8" t="s">
        <v>238</v>
      </c>
    </row>
    <row r="8" customFormat="false" ht="15" hidden="false" customHeight="true" outlineLevel="0" collapsed="false">
      <c r="A8" s="8" t="s">
        <v>177</v>
      </c>
      <c r="B8" s="8" t="s">
        <v>178</v>
      </c>
      <c r="C8" s="14" t="n">
        <v>12000</v>
      </c>
      <c r="D8" s="8" t="s">
        <v>198</v>
      </c>
      <c r="E8" s="8" t="n">
        <v>4</v>
      </c>
      <c r="F8" s="8" t="s">
        <v>239</v>
      </c>
      <c r="G8" s="8" t="s">
        <v>240</v>
      </c>
      <c r="H8" s="8" t="s">
        <v>241</v>
      </c>
      <c r="I8" s="8" t="s">
        <v>59</v>
      </c>
      <c r="J8" s="8" t="s">
        <v>242</v>
      </c>
      <c r="K8" s="17" t="n">
        <v>40</v>
      </c>
      <c r="L8" s="8" t="s">
        <v>243</v>
      </c>
      <c r="M8" s="18" t="b">
        <f aca="false">FALSE()</f>
        <v>0</v>
      </c>
      <c r="N8" s="8" t="s">
        <v>244</v>
      </c>
      <c r="O8" s="8" t="s">
        <v>245</v>
      </c>
      <c r="P8" s="8" t="s">
        <v>204</v>
      </c>
      <c r="Q8" s="8" t="s">
        <v>246</v>
      </c>
    </row>
    <row r="9" customFormat="false" ht="15" hidden="false" customHeight="true" outlineLevel="0" collapsed="false">
      <c r="A9" s="8" t="s">
        <v>177</v>
      </c>
      <c r="B9" s="8" t="s">
        <v>178</v>
      </c>
      <c r="C9" s="14" t="n">
        <v>12000</v>
      </c>
      <c r="D9" s="8" t="s">
        <v>198</v>
      </c>
      <c r="E9" s="8" t="n">
        <v>4</v>
      </c>
      <c r="F9" s="8" t="s">
        <v>247</v>
      </c>
      <c r="G9" s="8" t="s">
        <v>247</v>
      </c>
      <c r="H9" s="8" t="s">
        <v>218</v>
      </c>
      <c r="I9" s="8" t="s">
        <v>62</v>
      </c>
      <c r="J9" s="8" t="s">
        <v>248</v>
      </c>
      <c r="K9" s="17" t="n">
        <v>65</v>
      </c>
      <c r="L9" s="8" t="s">
        <v>220</v>
      </c>
      <c r="M9" s="18" t="b">
        <f aca="false">FALSE()</f>
        <v>0</v>
      </c>
      <c r="N9" s="8" t="s">
        <v>249</v>
      </c>
      <c r="O9" s="8" t="s">
        <v>250</v>
      </c>
      <c r="P9" s="8" t="s">
        <v>204</v>
      </c>
      <c r="Q9" s="8" t="s">
        <v>251</v>
      </c>
    </row>
    <row r="10" customFormat="false" ht="15" hidden="false" customHeight="true" outlineLevel="0" collapsed="false">
      <c r="A10" s="8" t="s">
        <v>177</v>
      </c>
      <c r="B10" s="8" t="s">
        <v>178</v>
      </c>
      <c r="C10" s="14" t="n">
        <v>12000</v>
      </c>
      <c r="D10" s="8" t="s">
        <v>198</v>
      </c>
      <c r="E10" s="8" t="n">
        <v>5</v>
      </c>
      <c r="F10" s="8" t="s">
        <v>252</v>
      </c>
      <c r="G10" s="8" t="s">
        <v>253</v>
      </c>
      <c r="H10" s="8" t="s">
        <v>234</v>
      </c>
      <c r="I10" s="8" t="s">
        <v>68</v>
      </c>
      <c r="J10" s="8" t="s">
        <v>227</v>
      </c>
      <c r="K10" s="17" t="n">
        <v>140</v>
      </c>
      <c r="L10" s="8" t="s">
        <v>228</v>
      </c>
      <c r="M10" s="18" t="b">
        <f aca="false">FALSE()</f>
        <v>0</v>
      </c>
      <c r="N10" s="8" t="s">
        <v>254</v>
      </c>
      <c r="O10" s="8" t="s">
        <v>255</v>
      </c>
      <c r="P10" s="8" t="s">
        <v>204</v>
      </c>
      <c r="Q10" s="8" t="s">
        <v>256</v>
      </c>
    </row>
    <row r="11" customFormat="false" ht="15" hidden="false" customHeight="true" outlineLevel="0" collapsed="false">
      <c r="A11" s="8" t="s">
        <v>177</v>
      </c>
      <c r="B11" s="8" t="s">
        <v>178</v>
      </c>
      <c r="C11" s="14" t="n">
        <v>12000</v>
      </c>
      <c r="D11" s="8" t="s">
        <v>198</v>
      </c>
      <c r="E11" s="8" t="n">
        <v>6</v>
      </c>
      <c r="F11" s="8" t="s">
        <v>257</v>
      </c>
      <c r="G11" s="8" t="s">
        <v>258</v>
      </c>
      <c r="H11" s="8" t="s">
        <v>234</v>
      </c>
      <c r="I11" s="8" t="s">
        <v>50</v>
      </c>
      <c r="J11" s="8" t="s">
        <v>259</v>
      </c>
      <c r="K11" s="17" t="n">
        <v>6.5</v>
      </c>
      <c r="L11" s="8" t="s">
        <v>260</v>
      </c>
      <c r="M11" s="18" t="b">
        <f aca="false">FALSE()</f>
        <v>0</v>
      </c>
      <c r="N11" s="8" t="s">
        <v>261</v>
      </c>
      <c r="O11" s="8"/>
      <c r="P11" s="8" t="s">
        <v>204</v>
      </c>
      <c r="Q11" s="8" t="s">
        <v>262</v>
      </c>
    </row>
    <row r="12" customFormat="false" ht="15" hidden="false" customHeight="true" outlineLevel="0" collapsed="false">
      <c r="A12" s="8" t="s">
        <v>177</v>
      </c>
      <c r="B12" s="8" t="s">
        <v>178</v>
      </c>
      <c r="C12" s="14" t="n">
        <v>12000</v>
      </c>
      <c r="D12" s="8" t="s">
        <v>198</v>
      </c>
      <c r="E12" s="8" t="n">
        <v>6</v>
      </c>
      <c r="F12" s="8" t="s">
        <v>263</v>
      </c>
      <c r="G12" s="8" t="s">
        <v>264</v>
      </c>
      <c r="H12" s="8" t="s">
        <v>234</v>
      </c>
      <c r="I12" s="8" t="s">
        <v>53</v>
      </c>
      <c r="J12" s="8" t="s">
        <v>235</v>
      </c>
      <c r="K12" s="17" t="n">
        <v>13</v>
      </c>
      <c r="L12" s="8" t="s">
        <v>260</v>
      </c>
      <c r="M12" s="18" t="b">
        <f aca="false">FALSE()</f>
        <v>0</v>
      </c>
      <c r="N12" s="8"/>
      <c r="O12" s="8" t="s">
        <v>265</v>
      </c>
      <c r="P12" s="8" t="s">
        <v>204</v>
      </c>
      <c r="Q12" s="8" t="s">
        <v>266</v>
      </c>
    </row>
    <row r="13" customFormat="false" ht="15" hidden="false" customHeight="true" outlineLevel="0" collapsed="false">
      <c r="A13" s="8" t="s">
        <v>177</v>
      </c>
      <c r="B13" s="8" t="s">
        <v>178</v>
      </c>
      <c r="C13" s="14" t="n">
        <v>12000</v>
      </c>
      <c r="D13" s="8" t="s">
        <v>198</v>
      </c>
      <c r="E13" s="8" t="n">
        <v>6</v>
      </c>
      <c r="F13" s="8" t="s">
        <v>267</v>
      </c>
      <c r="G13" s="8" t="s">
        <v>267</v>
      </c>
      <c r="H13" s="8" t="s">
        <v>234</v>
      </c>
      <c r="I13" s="8" t="s">
        <v>59</v>
      </c>
      <c r="J13" s="8" t="s">
        <v>268</v>
      </c>
      <c r="K13" s="17" t="n">
        <v>40</v>
      </c>
      <c r="L13" s="8" t="s">
        <v>243</v>
      </c>
      <c r="M13" s="18" t="b">
        <f aca="false">FALSE()</f>
        <v>0</v>
      </c>
      <c r="N13" s="8" t="s">
        <v>269</v>
      </c>
      <c r="O13" s="8" t="s">
        <v>270</v>
      </c>
      <c r="P13" s="8" t="s">
        <v>204</v>
      </c>
      <c r="Q13" s="8" t="s">
        <v>271</v>
      </c>
    </row>
    <row r="14" customFormat="false" ht="15" hidden="false" customHeight="true" outlineLevel="0" collapsed="false">
      <c r="A14" s="8" t="s">
        <v>177</v>
      </c>
      <c r="B14" s="8" t="s">
        <v>178</v>
      </c>
      <c r="C14" s="14" t="n">
        <v>12000</v>
      </c>
      <c r="D14" s="8" t="s">
        <v>198</v>
      </c>
      <c r="E14" s="8" t="n">
        <v>7</v>
      </c>
      <c r="F14" s="8" t="s">
        <v>272</v>
      </c>
      <c r="G14" s="8" t="s">
        <v>273</v>
      </c>
      <c r="H14" s="8" t="s">
        <v>226</v>
      </c>
      <c r="I14" s="8" t="s">
        <v>68</v>
      </c>
      <c r="J14" s="8" t="s">
        <v>227</v>
      </c>
      <c r="K14" s="17" t="n">
        <v>140</v>
      </c>
      <c r="L14" s="8" t="s">
        <v>228</v>
      </c>
      <c r="M14" s="18" t="b">
        <f aca="false">FALSE()</f>
        <v>0</v>
      </c>
      <c r="N14" s="8" t="s">
        <v>274</v>
      </c>
      <c r="O14" s="8" t="s">
        <v>275</v>
      </c>
      <c r="P14" s="8" t="s">
        <v>204</v>
      </c>
      <c r="Q14" s="8" t="s">
        <v>276</v>
      </c>
    </row>
    <row r="15" customFormat="false" ht="15" hidden="false" customHeight="true" outlineLevel="0" collapsed="false">
      <c r="A15" s="8" t="s">
        <v>177</v>
      </c>
      <c r="B15" s="8" t="s">
        <v>178</v>
      </c>
      <c r="C15" s="14" t="n">
        <v>12000</v>
      </c>
      <c r="D15" s="8" t="s">
        <v>198</v>
      </c>
      <c r="E15" s="8" t="n">
        <v>8</v>
      </c>
      <c r="F15" s="8" t="s">
        <v>277</v>
      </c>
      <c r="G15" s="8" t="s">
        <v>278</v>
      </c>
      <c r="H15" s="8" t="s">
        <v>234</v>
      </c>
      <c r="I15" s="8" t="s">
        <v>68</v>
      </c>
      <c r="J15" s="8" t="s">
        <v>227</v>
      </c>
      <c r="K15" s="17" t="n">
        <v>140</v>
      </c>
      <c r="L15" s="8" t="s">
        <v>228</v>
      </c>
      <c r="M15" s="18" t="b">
        <f aca="false">FALSE()</f>
        <v>0</v>
      </c>
      <c r="N15" s="8" t="s">
        <v>279</v>
      </c>
      <c r="O15" s="8" t="s">
        <v>280</v>
      </c>
      <c r="P15" s="8" t="s">
        <v>204</v>
      </c>
      <c r="Q15" s="8" t="s">
        <v>281</v>
      </c>
    </row>
    <row r="16" customFormat="false" ht="15" hidden="false" customHeight="true" outlineLevel="0" collapsed="false">
      <c r="A16" s="8" t="s">
        <v>177</v>
      </c>
      <c r="B16" s="8" t="s">
        <v>178</v>
      </c>
      <c r="C16" s="14" t="n">
        <v>12000</v>
      </c>
      <c r="D16" s="8" t="s">
        <v>198</v>
      </c>
      <c r="E16" s="8" t="n">
        <v>9</v>
      </c>
      <c r="F16" s="8" t="s">
        <v>282</v>
      </c>
      <c r="G16" s="8" t="s">
        <v>278</v>
      </c>
      <c r="H16" s="8" t="s">
        <v>234</v>
      </c>
      <c r="I16" s="8" t="s">
        <v>68</v>
      </c>
      <c r="J16" s="8" t="s">
        <v>227</v>
      </c>
      <c r="K16" s="17" t="n">
        <v>140</v>
      </c>
      <c r="L16" s="8" t="s">
        <v>228</v>
      </c>
      <c r="M16" s="18" t="b">
        <f aca="false">FALSE()</f>
        <v>0</v>
      </c>
      <c r="N16" s="8" t="s">
        <v>279</v>
      </c>
      <c r="O16" s="8" t="s">
        <v>280</v>
      </c>
      <c r="P16" s="8" t="s">
        <v>204</v>
      </c>
      <c r="Q16" s="8" t="s">
        <v>283</v>
      </c>
    </row>
    <row r="17" customFormat="false" ht="15" hidden="false" customHeight="true" outlineLevel="0" collapsed="false">
      <c r="A17" s="8" t="s">
        <v>177</v>
      </c>
      <c r="B17" s="8" t="s">
        <v>178</v>
      </c>
      <c r="C17" s="14" t="n">
        <v>12000</v>
      </c>
      <c r="D17" s="8" t="s">
        <v>198</v>
      </c>
      <c r="E17" s="8" t="n">
        <v>10</v>
      </c>
      <c r="F17" s="8" t="s">
        <v>284</v>
      </c>
      <c r="G17" s="8" t="s">
        <v>285</v>
      </c>
      <c r="H17" s="8" t="s">
        <v>286</v>
      </c>
      <c r="I17" s="8" t="s">
        <v>53</v>
      </c>
      <c r="J17" s="8" t="s">
        <v>235</v>
      </c>
      <c r="K17" s="17" t="n">
        <v>13</v>
      </c>
      <c r="L17" s="8" t="s">
        <v>260</v>
      </c>
      <c r="M17" s="18" t="b">
        <f aca="false">FALSE()</f>
        <v>0</v>
      </c>
      <c r="N17" s="8" t="s">
        <v>287</v>
      </c>
      <c r="O17" s="8"/>
      <c r="P17" s="8" t="s">
        <v>288</v>
      </c>
      <c r="Q17" s="8" t="s">
        <v>289</v>
      </c>
    </row>
    <row r="18" customFormat="false" ht="15" hidden="false" customHeight="true" outlineLevel="0" collapsed="false">
      <c r="A18" s="8" t="s">
        <v>177</v>
      </c>
      <c r="B18" s="8" t="s">
        <v>178</v>
      </c>
      <c r="C18" s="14" t="n">
        <v>12000</v>
      </c>
      <c r="D18" s="8" t="s">
        <v>198</v>
      </c>
      <c r="E18" s="8" t="n">
        <v>10</v>
      </c>
      <c r="F18" s="8" t="s">
        <v>290</v>
      </c>
      <c r="G18" s="8" t="s">
        <v>290</v>
      </c>
      <c r="H18" s="8" t="s">
        <v>234</v>
      </c>
      <c r="I18" s="8" t="s">
        <v>62</v>
      </c>
      <c r="J18" s="8" t="s">
        <v>219</v>
      </c>
      <c r="K18" s="17" t="n">
        <v>65</v>
      </c>
      <c r="L18" s="8" t="s">
        <v>220</v>
      </c>
      <c r="M18" s="18" t="b">
        <f aca="false">FALSE()</f>
        <v>0</v>
      </c>
      <c r="N18" s="8" t="s">
        <v>291</v>
      </c>
      <c r="O18" s="8" t="s">
        <v>292</v>
      </c>
      <c r="P18" s="8" t="s">
        <v>204</v>
      </c>
      <c r="Q18" s="8" t="s">
        <v>293</v>
      </c>
    </row>
    <row r="19" customFormat="false" ht="15" hidden="false" customHeight="true" outlineLevel="0" collapsed="false">
      <c r="A19" s="8" t="s">
        <v>177</v>
      </c>
      <c r="B19" s="8" t="s">
        <v>178</v>
      </c>
      <c r="C19" s="14" t="n">
        <v>12000</v>
      </c>
      <c r="D19" s="8" t="s">
        <v>198</v>
      </c>
      <c r="E19" s="8" t="n">
        <v>11</v>
      </c>
      <c r="F19" s="8" t="s">
        <v>294</v>
      </c>
      <c r="G19" s="8" t="s">
        <v>295</v>
      </c>
      <c r="H19" s="8" t="s">
        <v>234</v>
      </c>
      <c r="I19" s="8" t="s">
        <v>68</v>
      </c>
      <c r="J19" s="8" t="s">
        <v>227</v>
      </c>
      <c r="K19" s="17" t="n">
        <v>140</v>
      </c>
      <c r="L19" s="8" t="s">
        <v>228</v>
      </c>
      <c r="M19" s="18" t="b">
        <f aca="false">FALSE()</f>
        <v>0</v>
      </c>
      <c r="N19" s="8" t="s">
        <v>296</v>
      </c>
      <c r="O19" s="8" t="s">
        <v>297</v>
      </c>
      <c r="P19" s="8" t="s">
        <v>204</v>
      </c>
      <c r="Q19" s="8" t="s">
        <v>298</v>
      </c>
    </row>
    <row r="20" customFormat="false" ht="15" hidden="false" customHeight="true" outlineLevel="0" collapsed="false">
      <c r="A20" s="8" t="s">
        <v>177</v>
      </c>
      <c r="B20" s="8" t="s">
        <v>178</v>
      </c>
      <c r="C20" s="14" t="n">
        <v>12000</v>
      </c>
      <c r="D20" s="8" t="s">
        <v>198</v>
      </c>
      <c r="E20" s="8" t="n">
        <v>12</v>
      </c>
      <c r="F20" s="8" t="s">
        <v>299</v>
      </c>
      <c r="G20" s="8" t="s">
        <v>299</v>
      </c>
      <c r="H20" s="8" t="s">
        <v>241</v>
      </c>
      <c r="I20" s="8" t="s">
        <v>59</v>
      </c>
      <c r="J20" s="8" t="s">
        <v>242</v>
      </c>
      <c r="K20" s="17" t="n">
        <v>40</v>
      </c>
      <c r="L20" s="8" t="s">
        <v>243</v>
      </c>
      <c r="M20" s="18" t="b">
        <f aca="false">FALSE()</f>
        <v>0</v>
      </c>
      <c r="N20" s="8" t="s">
        <v>300</v>
      </c>
      <c r="O20" s="8" t="s">
        <v>301</v>
      </c>
      <c r="P20" s="8" t="s">
        <v>204</v>
      </c>
      <c r="Q20" s="8" t="s">
        <v>302</v>
      </c>
    </row>
    <row r="21" customFormat="false" ht="15" hidden="false" customHeight="true" outlineLevel="0" collapsed="false">
      <c r="A21" s="8" t="s">
        <v>177</v>
      </c>
      <c r="B21" s="8" t="s">
        <v>178</v>
      </c>
      <c r="C21" s="14" t="n">
        <v>12000</v>
      </c>
      <c r="D21" s="8" t="s">
        <v>198</v>
      </c>
      <c r="E21" s="8" t="n">
        <v>12</v>
      </c>
      <c r="F21" s="8" t="s">
        <v>303</v>
      </c>
      <c r="G21" s="8" t="s">
        <v>303</v>
      </c>
      <c r="H21" s="8" t="s">
        <v>234</v>
      </c>
      <c r="I21" s="8" t="s">
        <v>53</v>
      </c>
      <c r="J21" s="8" t="s">
        <v>235</v>
      </c>
      <c r="K21" s="17" t="n">
        <v>13</v>
      </c>
      <c r="L21" s="8" t="s">
        <v>260</v>
      </c>
      <c r="M21" s="18" t="b">
        <f aca="false">FALSE()</f>
        <v>0</v>
      </c>
      <c r="N21" s="8" t="s">
        <v>304</v>
      </c>
      <c r="O21" s="8" t="s">
        <v>305</v>
      </c>
      <c r="P21" s="8" t="s">
        <v>204</v>
      </c>
      <c r="Q21" s="8" t="s">
        <v>306</v>
      </c>
    </row>
    <row r="22" customFormat="false" ht="15" hidden="false" customHeight="true" outlineLevel="0" collapsed="false">
      <c r="A22" s="8" t="s">
        <v>177</v>
      </c>
      <c r="B22" s="8" t="s">
        <v>178</v>
      </c>
      <c r="C22" s="14" t="n">
        <v>12000</v>
      </c>
      <c r="D22" s="8" t="s">
        <v>198</v>
      </c>
      <c r="E22" s="8" t="n">
        <v>12</v>
      </c>
      <c r="F22" s="8" t="s">
        <v>307</v>
      </c>
      <c r="G22" s="8" t="s">
        <v>308</v>
      </c>
      <c r="H22" s="8" t="s">
        <v>286</v>
      </c>
      <c r="I22" s="8" t="s">
        <v>62</v>
      </c>
      <c r="J22" s="8" t="s">
        <v>248</v>
      </c>
      <c r="K22" s="17" t="n">
        <v>65</v>
      </c>
      <c r="L22" s="8" t="s">
        <v>220</v>
      </c>
      <c r="M22" s="18" t="b">
        <f aca="false">FALSE()</f>
        <v>0</v>
      </c>
      <c r="N22" s="8"/>
      <c r="O22" s="8" t="s">
        <v>309</v>
      </c>
      <c r="P22" s="8" t="s">
        <v>204</v>
      </c>
      <c r="Q22" s="8" t="s">
        <v>310</v>
      </c>
    </row>
    <row r="23" customFormat="false" ht="15" hidden="false" customHeight="true" outlineLevel="0" collapsed="false">
      <c r="A23" s="8" t="s">
        <v>177</v>
      </c>
      <c r="B23" s="8" t="s">
        <v>178</v>
      </c>
      <c r="C23" s="14" t="n">
        <v>12000</v>
      </c>
      <c r="D23" s="8" t="s">
        <v>198</v>
      </c>
      <c r="E23" s="8" t="n">
        <v>12</v>
      </c>
      <c r="F23" s="8" t="s">
        <v>311</v>
      </c>
      <c r="G23" s="8" t="s">
        <v>312</v>
      </c>
      <c r="H23" s="8" t="s">
        <v>200</v>
      </c>
      <c r="I23" s="8" t="s">
        <v>50</v>
      </c>
      <c r="J23" s="8" t="s">
        <v>259</v>
      </c>
      <c r="K23" s="17" t="n">
        <v>6.5</v>
      </c>
      <c r="L23" s="8" t="s">
        <v>260</v>
      </c>
      <c r="M23" s="18" t="b">
        <f aca="false">TRUE()</f>
        <v>1</v>
      </c>
      <c r="N23" s="8"/>
      <c r="O23" s="8" t="s">
        <v>313</v>
      </c>
      <c r="P23" s="8" t="s">
        <v>204</v>
      </c>
      <c r="Q23" s="8" t="s">
        <v>314</v>
      </c>
    </row>
    <row r="24" customFormat="false" ht="15" hidden="false" customHeight="true" outlineLevel="0" collapsed="false">
      <c r="A24" s="8" t="s">
        <v>177</v>
      </c>
      <c r="B24" s="8" t="s">
        <v>178</v>
      </c>
      <c r="C24" s="14" t="n">
        <v>12000</v>
      </c>
      <c r="D24" s="8" t="s">
        <v>198</v>
      </c>
      <c r="E24" s="8" t="n">
        <v>13</v>
      </c>
      <c r="F24" s="8" t="s">
        <v>315</v>
      </c>
      <c r="G24" s="8" t="s">
        <v>316</v>
      </c>
      <c r="H24" s="8" t="s">
        <v>241</v>
      </c>
      <c r="I24" s="8" t="s">
        <v>59</v>
      </c>
      <c r="J24" s="8" t="s">
        <v>242</v>
      </c>
      <c r="K24" s="17" t="n">
        <v>40</v>
      </c>
      <c r="L24" s="8" t="s">
        <v>243</v>
      </c>
      <c r="M24" s="18" t="b">
        <f aca="false">FALSE()</f>
        <v>0</v>
      </c>
      <c r="N24" s="8" t="s">
        <v>317</v>
      </c>
      <c r="O24" s="8"/>
      <c r="P24" s="8" t="s">
        <v>204</v>
      </c>
      <c r="Q24" s="8" t="s">
        <v>318</v>
      </c>
    </row>
    <row r="25" customFormat="false" ht="15" hidden="false" customHeight="true" outlineLevel="0" collapsed="false">
      <c r="A25" s="8" t="s">
        <v>177</v>
      </c>
      <c r="B25" s="8" t="s">
        <v>178</v>
      </c>
      <c r="C25" s="14" t="n">
        <v>12000</v>
      </c>
      <c r="D25" s="8" t="s">
        <v>198</v>
      </c>
      <c r="E25" s="8" t="n">
        <v>13</v>
      </c>
      <c r="F25" s="8" t="s">
        <v>319</v>
      </c>
      <c r="G25" s="8" t="s">
        <v>320</v>
      </c>
      <c r="H25" s="8" t="s">
        <v>241</v>
      </c>
      <c r="I25" s="8" t="s">
        <v>62</v>
      </c>
      <c r="J25" s="8" t="s">
        <v>219</v>
      </c>
      <c r="K25" s="17" t="n">
        <v>65</v>
      </c>
      <c r="L25" s="8" t="s">
        <v>321</v>
      </c>
      <c r="M25" s="18" t="b">
        <f aca="false">FALSE()</f>
        <v>0</v>
      </c>
      <c r="N25" s="8" t="s">
        <v>322</v>
      </c>
      <c r="O25" s="8" t="s">
        <v>323</v>
      </c>
      <c r="P25" s="8" t="s">
        <v>204</v>
      </c>
      <c r="Q25" s="8" t="s">
        <v>324</v>
      </c>
    </row>
    <row r="26" customFormat="false" ht="15" hidden="false" customHeight="true" outlineLevel="0" collapsed="false">
      <c r="A26" s="8" t="s">
        <v>177</v>
      </c>
      <c r="B26" s="8" t="s">
        <v>178</v>
      </c>
      <c r="C26" s="14" t="n">
        <v>12000</v>
      </c>
      <c r="D26" s="8" t="s">
        <v>198</v>
      </c>
      <c r="E26" s="8" t="n">
        <v>13</v>
      </c>
      <c r="F26" s="8" t="s">
        <v>325</v>
      </c>
      <c r="G26" s="8" t="s">
        <v>326</v>
      </c>
      <c r="H26" s="8" t="s">
        <v>327</v>
      </c>
      <c r="I26" s="8" t="s">
        <v>56</v>
      </c>
      <c r="J26" s="8" t="s">
        <v>201</v>
      </c>
      <c r="K26" s="17" t="n">
        <v>26</v>
      </c>
      <c r="L26" s="8" t="s">
        <v>243</v>
      </c>
      <c r="M26" s="18" t="b">
        <f aca="false">FALSE()</f>
        <v>0</v>
      </c>
      <c r="N26" s="8" t="s">
        <v>328</v>
      </c>
      <c r="O26" s="8" t="s">
        <v>329</v>
      </c>
      <c r="P26" s="8" t="s">
        <v>204</v>
      </c>
      <c r="Q26" s="8" t="s">
        <v>330</v>
      </c>
    </row>
    <row r="27" customFormat="false" ht="15" hidden="false" customHeight="true" outlineLevel="0" collapsed="false">
      <c r="A27" s="8" t="s">
        <v>177</v>
      </c>
      <c r="B27" s="8" t="s">
        <v>178</v>
      </c>
      <c r="C27" s="14" t="n">
        <v>12000</v>
      </c>
      <c r="D27" s="8" t="s">
        <v>198</v>
      </c>
      <c r="E27" s="8" t="n">
        <v>14</v>
      </c>
      <c r="F27" s="8" t="s">
        <v>331</v>
      </c>
      <c r="G27" s="8" t="s">
        <v>332</v>
      </c>
      <c r="H27" s="8" t="s">
        <v>200</v>
      </c>
      <c r="I27" s="8" t="s">
        <v>68</v>
      </c>
      <c r="J27" s="8" t="s">
        <v>227</v>
      </c>
      <c r="K27" s="17" t="n">
        <v>140</v>
      </c>
      <c r="L27" s="8" t="s">
        <v>228</v>
      </c>
      <c r="M27" s="18" t="b">
        <f aca="false">TRUE()</f>
        <v>1</v>
      </c>
      <c r="N27" s="8" t="s">
        <v>209</v>
      </c>
      <c r="O27" s="8" t="s">
        <v>210</v>
      </c>
      <c r="P27" s="8" t="s">
        <v>204</v>
      </c>
      <c r="Q27" s="8" t="s">
        <v>333</v>
      </c>
    </row>
    <row r="28" customFormat="false" ht="15" hidden="false" customHeight="true" outlineLevel="0" collapsed="false">
      <c r="A28" s="8" t="s">
        <v>177</v>
      </c>
      <c r="B28" s="8" t="s">
        <v>178</v>
      </c>
      <c r="C28" s="14" t="n">
        <v>12000</v>
      </c>
      <c r="D28" s="8" t="s">
        <v>198</v>
      </c>
      <c r="E28" s="8" t="n">
        <v>15</v>
      </c>
      <c r="F28" s="8" t="s">
        <v>334</v>
      </c>
      <c r="G28" s="8" t="s">
        <v>335</v>
      </c>
      <c r="H28" s="8" t="s">
        <v>226</v>
      </c>
      <c r="I28" s="8" t="s">
        <v>53</v>
      </c>
      <c r="J28" s="8" t="s">
        <v>235</v>
      </c>
      <c r="K28" s="17" t="n">
        <v>13</v>
      </c>
      <c r="L28" s="8" t="s">
        <v>260</v>
      </c>
      <c r="M28" s="18" t="b">
        <f aca="false">FALSE()</f>
        <v>0</v>
      </c>
      <c r="N28" s="8" t="s">
        <v>336</v>
      </c>
      <c r="O28" s="8" t="s">
        <v>337</v>
      </c>
      <c r="P28" s="8" t="s">
        <v>204</v>
      </c>
      <c r="Q28" s="8" t="s">
        <v>338</v>
      </c>
    </row>
    <row r="29" customFormat="false" ht="15" hidden="false" customHeight="true" outlineLevel="0" collapsed="false">
      <c r="A29" s="8" t="s">
        <v>177</v>
      </c>
      <c r="B29" s="8" t="s">
        <v>178</v>
      </c>
      <c r="C29" s="14" t="n">
        <v>12000</v>
      </c>
      <c r="D29" s="8" t="s">
        <v>198</v>
      </c>
      <c r="E29" s="8" t="n">
        <v>15</v>
      </c>
      <c r="F29" s="8" t="s">
        <v>339</v>
      </c>
      <c r="G29" s="8" t="s">
        <v>340</v>
      </c>
      <c r="H29" s="8" t="s">
        <v>341</v>
      </c>
      <c r="I29" s="8" t="s">
        <v>53</v>
      </c>
      <c r="J29" s="8" t="s">
        <v>235</v>
      </c>
      <c r="K29" s="17" t="n">
        <v>13</v>
      </c>
      <c r="L29" s="8" t="s">
        <v>260</v>
      </c>
      <c r="M29" s="18" t="b">
        <f aca="false">FALSE()</f>
        <v>0</v>
      </c>
      <c r="N29" s="8" t="s">
        <v>342</v>
      </c>
      <c r="O29" s="8" t="s">
        <v>343</v>
      </c>
      <c r="P29" s="8" t="s">
        <v>204</v>
      </c>
      <c r="Q29" s="8" t="s">
        <v>344</v>
      </c>
    </row>
    <row r="30" customFormat="false" ht="15" hidden="false" customHeight="true" outlineLevel="0" collapsed="false">
      <c r="A30" s="8" t="s">
        <v>177</v>
      </c>
      <c r="B30" s="8" t="s">
        <v>178</v>
      </c>
      <c r="C30" s="14" t="n">
        <v>12000</v>
      </c>
      <c r="D30" s="8" t="s">
        <v>198</v>
      </c>
      <c r="E30" s="8" t="n">
        <v>15</v>
      </c>
      <c r="F30" s="8" t="s">
        <v>345</v>
      </c>
      <c r="G30" s="8" t="s">
        <v>345</v>
      </c>
      <c r="H30" s="8" t="s">
        <v>234</v>
      </c>
      <c r="I30" s="8" t="s">
        <v>53</v>
      </c>
      <c r="J30" s="8" t="s">
        <v>235</v>
      </c>
      <c r="K30" s="17" t="n">
        <v>13</v>
      </c>
      <c r="L30" s="8" t="s">
        <v>260</v>
      </c>
      <c r="M30" s="18" t="b">
        <f aca="false">FALSE()</f>
        <v>0</v>
      </c>
      <c r="N30" s="8" t="s">
        <v>346</v>
      </c>
      <c r="O30" s="8" t="s">
        <v>347</v>
      </c>
      <c r="P30" s="8" t="s">
        <v>204</v>
      </c>
      <c r="Q30" s="8" t="s">
        <v>348</v>
      </c>
    </row>
    <row r="31" customFormat="false" ht="15" hidden="false" customHeight="true" outlineLevel="0" collapsed="false">
      <c r="A31" s="8" t="s">
        <v>177</v>
      </c>
      <c r="B31" s="8" t="s">
        <v>178</v>
      </c>
      <c r="C31" s="14" t="n">
        <v>12000</v>
      </c>
      <c r="D31" s="8" t="s">
        <v>198</v>
      </c>
      <c r="E31" s="8" t="n">
        <v>15</v>
      </c>
      <c r="F31" s="8" t="s">
        <v>349</v>
      </c>
      <c r="G31" s="8" t="s">
        <v>350</v>
      </c>
      <c r="H31" s="8" t="s">
        <v>200</v>
      </c>
      <c r="I31" s="8" t="s">
        <v>53</v>
      </c>
      <c r="J31" s="8" t="s">
        <v>351</v>
      </c>
      <c r="K31" s="17" t="n">
        <v>13</v>
      </c>
      <c r="L31" s="8" t="s">
        <v>214</v>
      </c>
      <c r="M31" s="18" t="b">
        <f aca="false">TRUE()</f>
        <v>1</v>
      </c>
      <c r="N31" s="8"/>
      <c r="O31" s="8" t="s">
        <v>352</v>
      </c>
      <c r="P31" s="8" t="s">
        <v>204</v>
      </c>
      <c r="Q31" s="8" t="s">
        <v>353</v>
      </c>
    </row>
    <row r="32" customFormat="false" ht="15" hidden="false" customHeight="true" outlineLevel="0" collapsed="false">
      <c r="A32" s="8" t="s">
        <v>177</v>
      </c>
      <c r="B32" s="8" t="s">
        <v>178</v>
      </c>
      <c r="C32" s="14" t="n">
        <v>12000</v>
      </c>
      <c r="D32" s="8" t="s">
        <v>198</v>
      </c>
      <c r="E32" s="8" t="n">
        <v>15</v>
      </c>
      <c r="F32" s="8" t="s">
        <v>354</v>
      </c>
      <c r="G32" s="8" t="s">
        <v>355</v>
      </c>
      <c r="H32" s="8" t="s">
        <v>234</v>
      </c>
      <c r="I32" s="8" t="s">
        <v>62</v>
      </c>
      <c r="J32" s="8" t="s">
        <v>219</v>
      </c>
      <c r="K32" s="17" t="n">
        <v>65</v>
      </c>
      <c r="L32" s="8" t="s">
        <v>220</v>
      </c>
      <c r="M32" s="18" t="b">
        <f aca="false">FALSE()</f>
        <v>0</v>
      </c>
      <c r="N32" s="8" t="s">
        <v>356</v>
      </c>
      <c r="O32" s="8" t="s">
        <v>357</v>
      </c>
      <c r="P32" s="8" t="s">
        <v>204</v>
      </c>
      <c r="Q32" s="8" t="s">
        <v>358</v>
      </c>
    </row>
    <row r="33" customFormat="false" ht="15" hidden="false" customHeight="true" outlineLevel="0" collapsed="false">
      <c r="A33" s="8" t="s">
        <v>177</v>
      </c>
      <c r="B33" s="8" t="s">
        <v>178</v>
      </c>
      <c r="C33" s="14" t="n">
        <v>12000</v>
      </c>
      <c r="D33" s="8" t="s">
        <v>198</v>
      </c>
      <c r="E33" s="8" t="n">
        <v>16</v>
      </c>
      <c r="F33" s="8" t="s">
        <v>359</v>
      </c>
      <c r="G33" s="8" t="s">
        <v>360</v>
      </c>
      <c r="H33" s="8" t="s">
        <v>361</v>
      </c>
      <c r="I33" s="8" t="s">
        <v>74</v>
      </c>
      <c r="J33" s="8" t="s">
        <v>227</v>
      </c>
      <c r="K33" s="17" t="n">
        <v>140</v>
      </c>
      <c r="L33" s="8" t="s">
        <v>362</v>
      </c>
      <c r="M33" s="18" t="b">
        <f aca="false">FALSE()</f>
        <v>0</v>
      </c>
      <c r="N33" s="8" t="s">
        <v>363</v>
      </c>
      <c r="O33" s="8" t="s">
        <v>364</v>
      </c>
      <c r="P33" s="8" t="s">
        <v>204</v>
      </c>
      <c r="Q33" s="8" t="s">
        <v>365</v>
      </c>
    </row>
    <row r="34" customFormat="false" ht="15" hidden="false" customHeight="true" outlineLevel="0" collapsed="false">
      <c r="A34" s="8" t="s">
        <v>177</v>
      </c>
      <c r="B34" s="8" t="s">
        <v>178</v>
      </c>
      <c r="C34" s="14" t="n">
        <v>12000</v>
      </c>
      <c r="D34" s="8" t="s">
        <v>198</v>
      </c>
      <c r="E34" s="8" t="n">
        <v>16</v>
      </c>
      <c r="F34" s="8" t="s">
        <v>366</v>
      </c>
      <c r="G34" s="8" t="s">
        <v>312</v>
      </c>
      <c r="H34" s="8" t="s">
        <v>200</v>
      </c>
      <c r="I34" s="8" t="s">
        <v>50</v>
      </c>
      <c r="J34" s="8" t="s">
        <v>259</v>
      </c>
      <c r="K34" s="17" t="n">
        <v>6.5</v>
      </c>
      <c r="L34" s="8" t="s">
        <v>260</v>
      </c>
      <c r="M34" s="18" t="b">
        <f aca="false">TRUE()</f>
        <v>1</v>
      </c>
      <c r="N34" s="8"/>
      <c r="O34" s="8" t="s">
        <v>313</v>
      </c>
      <c r="P34" s="8" t="s">
        <v>204</v>
      </c>
      <c r="Q34" s="8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6" min="3" style="1" width="12"/>
    <col collapsed="false" customWidth="true" hidden="false" outlineLevel="0" max="7" min="7" style="1" width="36"/>
  </cols>
  <sheetData>
    <row r="1" customFormat="false" ht="17.25" hidden="false" customHeight="true" outlineLevel="0" collapsed="false">
      <c r="A1" s="12" t="s">
        <v>368</v>
      </c>
    </row>
    <row r="3" customFormat="false" ht="15" hidden="false" customHeight="true" outlineLevel="0" collapsed="false">
      <c r="A3" s="13" t="s">
        <v>88</v>
      </c>
      <c r="B3" s="13" t="s">
        <v>369</v>
      </c>
      <c r="C3" s="13" t="s">
        <v>370</v>
      </c>
      <c r="D3" s="13" t="s">
        <v>371</v>
      </c>
      <c r="E3" s="13" t="s">
        <v>372</v>
      </c>
      <c r="F3" s="13" t="s">
        <v>373</v>
      </c>
      <c r="G3" s="13" t="s">
        <v>374</v>
      </c>
    </row>
    <row r="4" customFormat="false" ht="15" hidden="false" customHeight="true" outlineLevel="0" collapsed="false">
      <c r="A4" s="8" t="s">
        <v>91</v>
      </c>
      <c r="B4" s="8" t="s">
        <v>92</v>
      </c>
      <c r="C4" s="8" t="s">
        <v>375</v>
      </c>
      <c r="D4" s="8" t="n">
        <v>0</v>
      </c>
      <c r="E4" s="8" t="n">
        <v>0</v>
      </c>
      <c r="F4" s="8" t="n">
        <v>0</v>
      </c>
      <c r="G4" s="8"/>
    </row>
    <row r="5" customFormat="false" ht="15" hidden="false" customHeight="true" outlineLevel="0" collapsed="false">
      <c r="A5" s="8" t="s">
        <v>94</v>
      </c>
      <c r="B5" s="8" t="s">
        <v>95</v>
      </c>
      <c r="C5" s="8" t="s">
        <v>375</v>
      </c>
      <c r="D5" s="8" t="n">
        <v>0</v>
      </c>
      <c r="E5" s="8" t="n">
        <v>0</v>
      </c>
      <c r="F5" s="8" t="n">
        <v>0</v>
      </c>
      <c r="G5" s="8"/>
    </row>
    <row r="6" customFormat="false" ht="15" hidden="false" customHeight="true" outlineLevel="0" collapsed="false">
      <c r="A6" s="8" t="s">
        <v>97</v>
      </c>
      <c r="B6" s="8" t="s">
        <v>98</v>
      </c>
      <c r="C6" s="8" t="s">
        <v>375</v>
      </c>
      <c r="D6" s="8" t="n">
        <v>0</v>
      </c>
      <c r="E6" s="8" t="n">
        <v>0</v>
      </c>
      <c r="F6" s="8" t="n">
        <v>0</v>
      </c>
      <c r="G6" s="8"/>
    </row>
    <row r="7" customFormat="false" ht="15" hidden="false" customHeight="true" outlineLevel="0" collapsed="false">
      <c r="A7" s="8" t="s">
        <v>100</v>
      </c>
      <c r="B7" s="8" t="s">
        <v>101</v>
      </c>
      <c r="C7" s="8" t="s">
        <v>375</v>
      </c>
      <c r="D7" s="8" t="n">
        <v>0</v>
      </c>
      <c r="E7" s="8" t="n">
        <v>0</v>
      </c>
      <c r="F7" s="8" t="n">
        <v>0</v>
      </c>
      <c r="G7" s="8"/>
    </row>
    <row r="8" customFormat="false" ht="15" hidden="false" customHeight="true" outlineLevel="0" collapsed="false">
      <c r="A8" s="8" t="s">
        <v>103</v>
      </c>
      <c r="B8" s="8" t="s">
        <v>104</v>
      </c>
      <c r="C8" s="8" t="s">
        <v>375</v>
      </c>
      <c r="D8" s="8" t="n">
        <v>0</v>
      </c>
      <c r="E8" s="8" t="n">
        <v>0</v>
      </c>
      <c r="F8" s="8" t="n">
        <v>0</v>
      </c>
      <c r="G8" s="8"/>
    </row>
    <row r="9" customFormat="false" ht="15" hidden="false" customHeight="true" outlineLevel="0" collapsed="false">
      <c r="A9" s="8" t="s">
        <v>106</v>
      </c>
      <c r="B9" s="8" t="s">
        <v>107</v>
      </c>
      <c r="C9" s="8" t="s">
        <v>375</v>
      </c>
      <c r="D9" s="8" t="n">
        <v>0</v>
      </c>
      <c r="E9" s="8" t="n">
        <v>0</v>
      </c>
      <c r="F9" s="8" t="n">
        <v>0</v>
      </c>
      <c r="G9" s="8"/>
    </row>
    <row r="10" customFormat="false" ht="15" hidden="false" customHeight="true" outlineLevel="0" collapsed="false">
      <c r="A10" s="8" t="s">
        <v>109</v>
      </c>
      <c r="B10" s="8" t="s">
        <v>110</v>
      </c>
      <c r="C10" s="8" t="s">
        <v>375</v>
      </c>
      <c r="D10" s="8" t="n">
        <v>0</v>
      </c>
      <c r="E10" s="8" t="n">
        <v>0</v>
      </c>
      <c r="F10" s="8" t="n">
        <v>0</v>
      </c>
      <c r="G10" s="8"/>
    </row>
    <row r="11" customFormat="false" ht="15" hidden="false" customHeight="true" outlineLevel="0" collapsed="false">
      <c r="A11" s="8" t="s">
        <v>112</v>
      </c>
      <c r="B11" s="8" t="s">
        <v>113</v>
      </c>
      <c r="C11" s="8" t="s">
        <v>375</v>
      </c>
      <c r="D11" s="8" t="n">
        <v>0</v>
      </c>
      <c r="E11" s="8" t="n">
        <v>0</v>
      </c>
      <c r="F11" s="8" t="n">
        <v>0</v>
      </c>
      <c r="G11" s="8"/>
    </row>
    <row r="12" customFormat="false" ht="15" hidden="false" customHeight="true" outlineLevel="0" collapsed="false">
      <c r="A12" s="8" t="s">
        <v>115</v>
      </c>
      <c r="B12" s="8" t="s">
        <v>116</v>
      </c>
      <c r="C12" s="8" t="s">
        <v>375</v>
      </c>
      <c r="D12" s="8" t="n">
        <v>0</v>
      </c>
      <c r="E12" s="8" t="n">
        <v>0</v>
      </c>
      <c r="F12" s="8" t="n">
        <v>0</v>
      </c>
      <c r="G12" s="8"/>
    </row>
    <row r="13" customFormat="false" ht="15" hidden="false" customHeight="true" outlineLevel="0" collapsed="false">
      <c r="A13" s="8" t="s">
        <v>118</v>
      </c>
      <c r="B13" s="8" t="s">
        <v>119</v>
      </c>
      <c r="C13" s="8" t="s">
        <v>375</v>
      </c>
      <c r="D13" s="8" t="n">
        <v>0</v>
      </c>
      <c r="E13" s="8" t="n">
        <v>0</v>
      </c>
      <c r="F13" s="8" t="n">
        <v>0</v>
      </c>
      <c r="G13" s="8"/>
    </row>
    <row r="14" customFormat="false" ht="15" hidden="false" customHeight="true" outlineLevel="0" collapsed="false">
      <c r="A14" s="8" t="s">
        <v>121</v>
      </c>
      <c r="B14" s="8" t="s">
        <v>122</v>
      </c>
      <c r="C14" s="8" t="s">
        <v>375</v>
      </c>
      <c r="D14" s="8" t="n">
        <v>0</v>
      </c>
      <c r="E14" s="8" t="n">
        <v>0</v>
      </c>
      <c r="F14" s="8" t="n">
        <v>0</v>
      </c>
      <c r="G14" s="8"/>
    </row>
    <row r="15" customFormat="false" ht="15" hidden="false" customHeight="true" outlineLevel="0" collapsed="false">
      <c r="A15" s="8" t="s">
        <v>124</v>
      </c>
      <c r="B15" s="8" t="s">
        <v>125</v>
      </c>
      <c r="C15" s="8" t="s">
        <v>375</v>
      </c>
      <c r="D15" s="8" t="n">
        <v>0</v>
      </c>
      <c r="E15" s="8" t="n">
        <v>0</v>
      </c>
      <c r="F15" s="8" t="n">
        <v>0</v>
      </c>
      <c r="G15" s="8"/>
    </row>
    <row r="16" customFormat="false" ht="15" hidden="false" customHeight="true" outlineLevel="0" collapsed="false">
      <c r="A16" s="8" t="s">
        <v>127</v>
      </c>
      <c r="B16" s="8" t="s">
        <v>128</v>
      </c>
      <c r="C16" s="8" t="s">
        <v>375</v>
      </c>
      <c r="D16" s="8" t="n">
        <v>0</v>
      </c>
      <c r="E16" s="8" t="n">
        <v>0</v>
      </c>
      <c r="F16" s="8" t="n">
        <v>0</v>
      </c>
      <c r="G16" s="8"/>
    </row>
    <row r="17" customFormat="false" ht="15" hidden="false" customHeight="true" outlineLevel="0" collapsed="false">
      <c r="A17" s="8" t="s">
        <v>130</v>
      </c>
      <c r="B17" s="8" t="s">
        <v>131</v>
      </c>
      <c r="C17" s="8" t="s">
        <v>375</v>
      </c>
      <c r="D17" s="8" t="n">
        <v>0</v>
      </c>
      <c r="E17" s="8" t="n">
        <v>0</v>
      </c>
      <c r="F17" s="8" t="n">
        <v>0</v>
      </c>
      <c r="G17" s="8"/>
    </row>
    <row r="18" customFormat="false" ht="15" hidden="false" customHeight="true" outlineLevel="0" collapsed="false">
      <c r="A18" s="8" t="s">
        <v>133</v>
      </c>
      <c r="B18" s="8" t="s">
        <v>134</v>
      </c>
      <c r="C18" s="8" t="s">
        <v>375</v>
      </c>
      <c r="D18" s="8" t="n">
        <v>0</v>
      </c>
      <c r="E18" s="8" t="n">
        <v>0</v>
      </c>
      <c r="F18" s="8" t="n">
        <v>0</v>
      </c>
      <c r="G18" s="8"/>
    </row>
    <row r="19" customFormat="false" ht="15" hidden="false" customHeight="true" outlineLevel="0" collapsed="false">
      <c r="A19" s="8" t="s">
        <v>136</v>
      </c>
      <c r="B19" s="8" t="s">
        <v>137</v>
      </c>
      <c r="C19" s="8" t="s">
        <v>375</v>
      </c>
      <c r="D19" s="8" t="n">
        <v>0</v>
      </c>
      <c r="E19" s="8" t="n">
        <v>0</v>
      </c>
      <c r="F19" s="8" t="n">
        <v>0</v>
      </c>
      <c r="G19" s="8"/>
    </row>
    <row r="20" customFormat="false" ht="15" hidden="false" customHeight="true" outlineLevel="0" collapsed="false">
      <c r="A20" s="8" t="s">
        <v>139</v>
      </c>
      <c r="B20" s="8" t="s">
        <v>140</v>
      </c>
      <c r="C20" s="8" t="s">
        <v>375</v>
      </c>
      <c r="D20" s="8" t="n">
        <v>0</v>
      </c>
      <c r="E20" s="8" t="n">
        <v>0</v>
      </c>
      <c r="F20" s="8" t="n">
        <v>0</v>
      </c>
      <c r="G20" s="8"/>
    </row>
    <row r="21" customFormat="false" ht="15" hidden="false" customHeight="true" outlineLevel="0" collapsed="false">
      <c r="A21" s="8" t="s">
        <v>142</v>
      </c>
      <c r="B21" s="8" t="s">
        <v>143</v>
      </c>
      <c r="C21" s="8" t="s">
        <v>375</v>
      </c>
      <c r="D21" s="8" t="n">
        <v>0</v>
      </c>
      <c r="E21" s="8" t="n">
        <v>0</v>
      </c>
      <c r="F21" s="8" t="n">
        <v>0</v>
      </c>
      <c r="G21" s="8"/>
    </row>
    <row r="22" customFormat="false" ht="15" hidden="false" customHeight="true" outlineLevel="0" collapsed="false">
      <c r="A22" s="8" t="s">
        <v>145</v>
      </c>
      <c r="B22" s="8" t="s">
        <v>146</v>
      </c>
      <c r="C22" s="8" t="s">
        <v>375</v>
      </c>
      <c r="D22" s="8" t="n">
        <v>0</v>
      </c>
      <c r="E22" s="8" t="n">
        <v>0</v>
      </c>
      <c r="F22" s="8" t="n">
        <v>0</v>
      </c>
      <c r="G22" s="8"/>
    </row>
    <row r="23" customFormat="false" ht="15" hidden="false" customHeight="true" outlineLevel="0" collapsed="false">
      <c r="A23" s="8" t="s">
        <v>148</v>
      </c>
      <c r="B23" s="8" t="s">
        <v>149</v>
      </c>
      <c r="C23" s="8" t="s">
        <v>375</v>
      </c>
      <c r="D23" s="8" t="n">
        <v>0</v>
      </c>
      <c r="E23" s="8" t="n">
        <v>0</v>
      </c>
      <c r="F23" s="8" t="n">
        <v>0</v>
      </c>
      <c r="G23" s="8"/>
    </row>
    <row r="24" customFormat="false" ht="15" hidden="false" customHeight="true" outlineLevel="0" collapsed="false">
      <c r="A24" s="8" t="s">
        <v>150</v>
      </c>
      <c r="B24" s="8" t="s">
        <v>151</v>
      </c>
      <c r="C24" s="8" t="s">
        <v>375</v>
      </c>
      <c r="D24" s="8" t="n">
        <v>0</v>
      </c>
      <c r="E24" s="8" t="n">
        <v>0</v>
      </c>
      <c r="F24" s="8" t="n">
        <v>0</v>
      </c>
      <c r="G24" s="8"/>
    </row>
    <row r="25" customFormat="false" ht="15" hidden="false" customHeight="true" outlineLevel="0" collapsed="false">
      <c r="A25" s="8" t="s">
        <v>153</v>
      </c>
      <c r="B25" s="8" t="s">
        <v>154</v>
      </c>
      <c r="C25" s="8" t="s">
        <v>375</v>
      </c>
      <c r="D25" s="8" t="n">
        <v>0</v>
      </c>
      <c r="E25" s="8" t="n">
        <v>0</v>
      </c>
      <c r="F25" s="8" t="n">
        <v>0</v>
      </c>
      <c r="G25" s="8"/>
    </row>
    <row r="26" customFormat="false" ht="15" hidden="false" customHeight="true" outlineLevel="0" collapsed="false">
      <c r="A26" s="8" t="s">
        <v>156</v>
      </c>
      <c r="B26" s="8" t="s">
        <v>157</v>
      </c>
      <c r="C26" s="8" t="s">
        <v>375</v>
      </c>
      <c r="D26" s="8" t="n">
        <v>0</v>
      </c>
      <c r="E26" s="8" t="n">
        <v>0</v>
      </c>
      <c r="F26" s="8" t="n">
        <v>0</v>
      </c>
      <c r="G26" s="8"/>
    </row>
    <row r="27" customFormat="false" ht="15" hidden="false" customHeight="true" outlineLevel="0" collapsed="false">
      <c r="A27" s="8" t="s">
        <v>159</v>
      </c>
      <c r="B27" s="8" t="s">
        <v>160</v>
      </c>
      <c r="C27" s="8" t="s">
        <v>375</v>
      </c>
      <c r="D27" s="8" t="n">
        <v>0</v>
      </c>
      <c r="E27" s="8" t="n">
        <v>0</v>
      </c>
      <c r="F27" s="8" t="n">
        <v>0</v>
      </c>
      <c r="G27" s="8"/>
    </row>
    <row r="28" customFormat="false" ht="15" hidden="false" customHeight="true" outlineLevel="0" collapsed="false">
      <c r="A28" s="8" t="s">
        <v>162</v>
      </c>
      <c r="B28" s="8" t="s">
        <v>163</v>
      </c>
      <c r="C28" s="8" t="s">
        <v>375</v>
      </c>
      <c r="D28" s="8" t="n">
        <v>0</v>
      </c>
      <c r="E28" s="8" t="n">
        <v>0</v>
      </c>
      <c r="F28" s="8" t="n">
        <v>0</v>
      </c>
      <c r="G28" s="8"/>
    </row>
    <row r="29" customFormat="false" ht="15" hidden="false" customHeight="true" outlineLevel="0" collapsed="false">
      <c r="A29" s="8" t="s">
        <v>165</v>
      </c>
      <c r="B29" s="8" t="s">
        <v>166</v>
      </c>
      <c r="C29" s="8" t="s">
        <v>375</v>
      </c>
      <c r="D29" s="8" t="n">
        <v>0</v>
      </c>
      <c r="E29" s="8" t="n">
        <v>0</v>
      </c>
      <c r="F29" s="8" t="n">
        <v>0</v>
      </c>
      <c r="G29" s="8"/>
    </row>
    <row r="30" customFormat="false" ht="15" hidden="false" customHeight="true" outlineLevel="0" collapsed="false">
      <c r="A30" s="8" t="s">
        <v>168</v>
      </c>
      <c r="B30" s="8" t="s">
        <v>169</v>
      </c>
      <c r="C30" s="8" t="s">
        <v>375</v>
      </c>
      <c r="D30" s="8" t="n">
        <v>0</v>
      </c>
      <c r="E30" s="8" t="n">
        <v>0</v>
      </c>
      <c r="F30" s="8" t="n">
        <v>0</v>
      </c>
      <c r="G30" s="8"/>
    </row>
    <row r="31" customFormat="false" ht="15" hidden="false" customHeight="true" outlineLevel="0" collapsed="false">
      <c r="A31" s="8" t="s">
        <v>171</v>
      </c>
      <c r="B31" s="8" t="s">
        <v>172</v>
      </c>
      <c r="C31" s="8" t="s">
        <v>375</v>
      </c>
      <c r="D31" s="8" t="n">
        <v>0</v>
      </c>
      <c r="E31" s="8" t="n">
        <v>0</v>
      </c>
      <c r="F31" s="8" t="n">
        <v>0</v>
      </c>
      <c r="G31" s="8"/>
    </row>
    <row r="32" customFormat="false" ht="15" hidden="false" customHeight="true" outlineLevel="0" collapsed="false">
      <c r="A32" s="8" t="s">
        <v>174</v>
      </c>
      <c r="B32" s="8" t="s">
        <v>175</v>
      </c>
      <c r="C32" s="8" t="s">
        <v>375</v>
      </c>
      <c r="D32" s="8" t="n">
        <v>0</v>
      </c>
      <c r="E32" s="8" t="n">
        <v>0</v>
      </c>
      <c r="F32" s="8" t="n">
        <v>0</v>
      </c>
      <c r="G32" s="8"/>
    </row>
    <row r="33" customFormat="false" ht="15" hidden="false" customHeight="true" outlineLevel="0" collapsed="false">
      <c r="A33" s="8" t="s">
        <v>177</v>
      </c>
      <c r="B33" s="8" t="s">
        <v>178</v>
      </c>
      <c r="C33" s="8" t="s">
        <v>376</v>
      </c>
      <c r="D33" s="8" t="n">
        <f aca="false">COUNTIF('Ad Inventory'!A:A,A33)</f>
        <v>33</v>
      </c>
      <c r="E33" s="8" t="n">
        <f aca="false">COUNTIFS('Ad Inventory'!A:A,A33,'Ad Inventory'!M:M,FALSE())</f>
        <v>26</v>
      </c>
      <c r="F33" s="8" t="n">
        <f aca="false">COUNTIFS('Ad Inventory'!A:A,A33,'Ad Inventory'!M:M,TRUE())</f>
        <v>7</v>
      </c>
      <c r="G33" s="8"/>
    </row>
    <row r="34" customFormat="false" ht="15" hidden="false" customHeight="true" outlineLevel="0" collapsed="false">
      <c r="B34" s="15" t="s">
        <v>180</v>
      </c>
      <c r="D34" s="15" t="n">
        <f aca="false">SUM(D4:D33)</f>
        <v>33</v>
      </c>
      <c r="E34" s="15" t="n">
        <f aca="false">SUM(E4:E33)</f>
        <v>26</v>
      </c>
      <c r="F34" s="15" t="n">
        <f aca="false">SUM(F4:F33)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12" t="s">
        <v>377</v>
      </c>
    </row>
    <row r="2" customFormat="false" ht="15" hidden="false" customHeight="true" outlineLevel="0" collapsed="false">
      <c r="A2" s="5" t="s">
        <v>378</v>
      </c>
    </row>
    <row r="4" customFormat="false" ht="15" hidden="false" customHeight="true" outlineLevel="0" collapsed="false">
      <c r="A4" s="13" t="s">
        <v>379</v>
      </c>
      <c r="B4" s="13" t="s">
        <v>380</v>
      </c>
      <c r="C4" s="13" t="s">
        <v>381</v>
      </c>
    </row>
    <row r="5" customFormat="false" ht="15" hidden="false" customHeight="true" outlineLevel="0" collapsed="false">
      <c r="A5" s="8" t="s">
        <v>382</v>
      </c>
      <c r="B5" s="8" t="n">
        <v>0</v>
      </c>
      <c r="C5" s="11" t="n">
        <f aca="false">IFERROR(B5/SUM(B$5:B$10),0)</f>
        <v>0</v>
      </c>
      <c r="D5" s="1" t="s">
        <v>383</v>
      </c>
    </row>
    <row r="6" customFormat="false" ht="15" hidden="false" customHeight="true" outlineLevel="0" collapsed="false">
      <c r="A6" s="8" t="s">
        <v>384</v>
      </c>
      <c r="B6" s="8" t="n">
        <v>0</v>
      </c>
      <c r="C6" s="11" t="n">
        <f aca="false">IFERROR(B6/SUM(B$5:B$10),0)</f>
        <v>0</v>
      </c>
      <c r="D6" s="1" t="s">
        <v>385</v>
      </c>
    </row>
    <row r="7" customFormat="false" ht="15" hidden="false" customHeight="true" outlineLevel="0" collapsed="false">
      <c r="A7" s="8" t="s">
        <v>386</v>
      </c>
      <c r="B7" s="8" t="n">
        <v>0</v>
      </c>
      <c r="C7" s="11" t="n">
        <f aca="false">IFERROR(B7/SUM(B$5:B$10),0)</f>
        <v>0</v>
      </c>
      <c r="D7" s="1" t="s">
        <v>387</v>
      </c>
    </row>
    <row r="8" customFormat="false" ht="15" hidden="false" customHeight="true" outlineLevel="0" collapsed="false">
      <c r="A8" s="8" t="s">
        <v>388</v>
      </c>
      <c r="B8" s="8" t="n">
        <v>0</v>
      </c>
      <c r="C8" s="11" t="n">
        <f aca="false">IFERROR(B8/SUM(B$5:B$10),0)</f>
        <v>0</v>
      </c>
      <c r="D8" s="1" t="s">
        <v>389</v>
      </c>
    </row>
    <row r="9" customFormat="false" ht="15" hidden="false" customHeight="true" outlineLevel="0" collapsed="false">
      <c r="A9" s="8" t="s">
        <v>390</v>
      </c>
      <c r="B9" s="8" t="n">
        <v>0</v>
      </c>
      <c r="C9" s="11" t="n">
        <f aca="false">IFERROR(B9/SUM(B$5:B$10),0)</f>
        <v>0</v>
      </c>
      <c r="D9" s="1" t="s">
        <v>391</v>
      </c>
    </row>
    <row r="10" customFormat="false" ht="15" hidden="false" customHeight="true" outlineLevel="0" collapsed="false">
      <c r="A10" s="8" t="s">
        <v>392</v>
      </c>
      <c r="B10" s="8" t="n">
        <v>0</v>
      </c>
      <c r="C10" s="11" t="n">
        <f aca="false">IFERROR(B10/SUM(B$5:B$10),0)</f>
        <v>0</v>
      </c>
      <c r="D10" s="1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38"/>
    <col collapsed="false" customWidth="true" hidden="false" outlineLevel="0" max="6" min="6" style="1" width="60"/>
    <col collapsed="false" customWidth="true" hidden="false" outlineLevel="0" max="7" min="7" style="1" width="50"/>
  </cols>
  <sheetData>
    <row r="1" customFormat="false" ht="17.25" hidden="false" customHeight="true" outlineLevel="0" collapsed="false">
      <c r="A1" s="12" t="s">
        <v>394</v>
      </c>
    </row>
    <row r="2" customFormat="false" ht="15" hidden="false" customHeight="true" outlineLevel="0" collapsed="false">
      <c r="A2" s="5" t="s">
        <v>395</v>
      </c>
    </row>
    <row r="4" customFormat="false" ht="15" hidden="false" customHeight="true" outlineLevel="0" collapsed="false">
      <c r="A4" s="6" t="s">
        <v>396</v>
      </c>
      <c r="B4" s="6" t="s">
        <v>397</v>
      </c>
      <c r="C4" s="6" t="s">
        <v>398</v>
      </c>
      <c r="D4" s="6" t="s">
        <v>399</v>
      </c>
      <c r="E4" s="6" t="s">
        <v>374</v>
      </c>
      <c r="F4" s="6" t="s">
        <v>400</v>
      </c>
      <c r="G4" s="6" t="s">
        <v>401</v>
      </c>
    </row>
    <row r="5" customFormat="false" ht="15" hidden="false" customHeight="true" outlineLevel="0" collapsed="false">
      <c r="A5" s="19" t="s">
        <v>209</v>
      </c>
      <c r="B5" s="20" t="n">
        <v>30</v>
      </c>
      <c r="C5" s="19" t="s">
        <v>200</v>
      </c>
      <c r="D5" s="19" t="s">
        <v>402</v>
      </c>
      <c r="E5" s="19" t="s">
        <v>403</v>
      </c>
      <c r="F5" s="19" t="s">
        <v>404</v>
      </c>
      <c r="G5" s="19" t="s">
        <v>405</v>
      </c>
    </row>
    <row r="6" customFormat="false" ht="15" hidden="false" customHeight="true" outlineLevel="0" collapsed="false">
      <c r="A6" s="21" t="s">
        <v>406</v>
      </c>
      <c r="B6" s="22" t="n">
        <v>21</v>
      </c>
      <c r="C6" s="21" t="s">
        <v>407</v>
      </c>
      <c r="D6" s="21" t="s">
        <v>408</v>
      </c>
      <c r="E6" s="21" t="s">
        <v>409</v>
      </c>
      <c r="F6" s="21" t="s">
        <v>410</v>
      </c>
      <c r="G6" s="21" t="s">
        <v>411</v>
      </c>
    </row>
    <row r="7" customFormat="false" ht="15" hidden="false" customHeight="true" outlineLevel="0" collapsed="false">
      <c r="A7" s="23" t="s">
        <v>412</v>
      </c>
      <c r="B7" s="24" t="n">
        <v>20</v>
      </c>
      <c r="C7" s="23" t="s">
        <v>413</v>
      </c>
      <c r="D7" s="23" t="s">
        <v>414</v>
      </c>
      <c r="E7" s="23" t="s">
        <v>415</v>
      </c>
      <c r="F7" s="23" t="s">
        <v>416</v>
      </c>
      <c r="G7" s="23" t="s">
        <v>417</v>
      </c>
    </row>
    <row r="8" customFormat="false" ht="15" hidden="false" customHeight="true" outlineLevel="0" collapsed="false">
      <c r="A8" s="21" t="s">
        <v>317</v>
      </c>
      <c r="B8" s="22" t="n">
        <v>19</v>
      </c>
      <c r="C8" s="21" t="s">
        <v>407</v>
      </c>
      <c r="D8" s="21" t="s">
        <v>418</v>
      </c>
      <c r="E8" s="21" t="s">
        <v>419</v>
      </c>
      <c r="F8" s="21" t="s">
        <v>420</v>
      </c>
      <c r="G8" s="21" t="s">
        <v>421</v>
      </c>
    </row>
    <row r="9" customFormat="false" ht="15" hidden="false" customHeight="true" outlineLevel="0" collapsed="false">
      <c r="A9" s="23" t="s">
        <v>261</v>
      </c>
      <c r="B9" s="24" t="n">
        <v>17</v>
      </c>
      <c r="C9" s="23" t="s">
        <v>413</v>
      </c>
      <c r="D9" s="23" t="s">
        <v>258</v>
      </c>
      <c r="E9" s="23" t="s">
        <v>422</v>
      </c>
      <c r="F9" s="23" t="s">
        <v>423</v>
      </c>
      <c r="G9" s="23" t="s">
        <v>424</v>
      </c>
    </row>
    <row r="10" customFormat="false" ht="15" hidden="false" customHeight="true" outlineLevel="0" collapsed="false">
      <c r="A10" s="23" t="s">
        <v>279</v>
      </c>
      <c r="B10" s="24" t="n">
        <v>16</v>
      </c>
      <c r="C10" s="23" t="s">
        <v>413</v>
      </c>
      <c r="D10" s="23" t="s">
        <v>425</v>
      </c>
      <c r="E10" s="23" t="s">
        <v>426</v>
      </c>
      <c r="F10" s="23" t="s">
        <v>427</v>
      </c>
      <c r="G10" s="23" t="s">
        <v>428</v>
      </c>
    </row>
    <row r="11" customFormat="false" ht="15" hidden="false" customHeight="true" outlineLevel="0" collapsed="false">
      <c r="A11" s="21" t="s">
        <v>429</v>
      </c>
      <c r="B11" s="22" t="n">
        <v>14</v>
      </c>
      <c r="C11" s="21" t="s">
        <v>407</v>
      </c>
      <c r="D11" s="21" t="s">
        <v>430</v>
      </c>
      <c r="E11" s="21" t="s">
        <v>431</v>
      </c>
      <c r="F11" s="21" t="s">
        <v>432</v>
      </c>
      <c r="G11" s="21" t="s">
        <v>433</v>
      </c>
    </row>
    <row r="12" customFormat="false" ht="15" hidden="false" customHeight="true" outlineLevel="0" collapsed="false">
      <c r="A12" s="23" t="s">
        <v>434</v>
      </c>
      <c r="B12" s="24" t="n">
        <v>14</v>
      </c>
      <c r="C12" s="23" t="s">
        <v>413</v>
      </c>
      <c r="D12" s="23" t="s">
        <v>435</v>
      </c>
      <c r="E12" s="23" t="s">
        <v>436</v>
      </c>
      <c r="F12" s="23" t="s">
        <v>437</v>
      </c>
      <c r="G12" s="23" t="s">
        <v>438</v>
      </c>
    </row>
    <row r="13" customFormat="false" ht="15" hidden="false" customHeight="true" outlineLevel="0" collapsed="false">
      <c r="A13" s="23" t="s">
        <v>296</v>
      </c>
      <c r="B13" s="24" t="n">
        <v>12</v>
      </c>
      <c r="C13" s="23" t="s">
        <v>413</v>
      </c>
      <c r="D13" s="23" t="s">
        <v>294</v>
      </c>
      <c r="E13" s="23" t="s">
        <v>439</v>
      </c>
      <c r="F13" s="23" t="s">
        <v>440</v>
      </c>
      <c r="G13" s="23" t="s">
        <v>441</v>
      </c>
    </row>
    <row r="14" customFormat="false" ht="15" hidden="false" customHeight="true" outlineLevel="0" collapsed="false">
      <c r="A14" s="23" t="s">
        <v>442</v>
      </c>
      <c r="B14" s="24" t="n">
        <v>12</v>
      </c>
      <c r="C14" s="23" t="s">
        <v>413</v>
      </c>
      <c r="D14" s="23" t="s">
        <v>443</v>
      </c>
      <c r="E14" s="23" t="s">
        <v>444</v>
      </c>
      <c r="F14" s="23" t="s">
        <v>445</v>
      </c>
      <c r="G14" s="23" t="s">
        <v>446</v>
      </c>
    </row>
    <row r="15" customFormat="false" ht="15" hidden="false" customHeight="true" outlineLevel="0" collapsed="false">
      <c r="A15" s="23" t="s">
        <v>269</v>
      </c>
      <c r="B15" s="24" t="n">
        <v>10</v>
      </c>
      <c r="C15" s="23" t="s">
        <v>413</v>
      </c>
      <c r="D15" s="23" t="s">
        <v>267</v>
      </c>
      <c r="E15" s="23" t="s">
        <v>447</v>
      </c>
      <c r="F15" s="23" t="s">
        <v>448</v>
      </c>
      <c r="G15" s="23" t="s">
        <v>449</v>
      </c>
    </row>
    <row r="16" customFormat="false" ht="15" hidden="false" customHeight="true" outlineLevel="0" collapsed="false">
      <c r="A16" s="23" t="s">
        <v>244</v>
      </c>
      <c r="B16" s="24" t="n">
        <v>9</v>
      </c>
      <c r="C16" s="23" t="s">
        <v>413</v>
      </c>
      <c r="D16" s="23" t="s">
        <v>450</v>
      </c>
      <c r="E16" s="23" t="s">
        <v>451</v>
      </c>
      <c r="F16" s="23" t="s">
        <v>452</v>
      </c>
      <c r="G16" s="23" t="s">
        <v>453</v>
      </c>
    </row>
    <row r="17" customFormat="false" ht="15" hidden="false" customHeight="true" outlineLevel="0" collapsed="false">
      <c r="A17" s="21" t="s">
        <v>454</v>
      </c>
      <c r="B17" s="22" t="n">
        <v>9</v>
      </c>
      <c r="C17" s="21" t="s">
        <v>407</v>
      </c>
      <c r="D17" s="21" t="s">
        <v>455</v>
      </c>
      <c r="E17" s="21" t="s">
        <v>456</v>
      </c>
      <c r="F17" s="21" t="s">
        <v>457</v>
      </c>
      <c r="G17" s="21" t="s">
        <v>458</v>
      </c>
    </row>
    <row r="18" customFormat="false" ht="15" hidden="false" customHeight="true" outlineLevel="0" collapsed="false">
      <c r="A18" s="23" t="s">
        <v>459</v>
      </c>
      <c r="B18" s="24" t="n">
        <v>8</v>
      </c>
      <c r="C18" s="23" t="s">
        <v>413</v>
      </c>
      <c r="D18" s="23" t="s">
        <v>460</v>
      </c>
      <c r="E18" s="23" t="s">
        <v>461</v>
      </c>
      <c r="F18" s="23" t="s">
        <v>462</v>
      </c>
      <c r="G18" s="23" t="s">
        <v>463</v>
      </c>
    </row>
    <row r="19" customFormat="false" ht="15" hidden="false" customHeight="true" outlineLevel="0" collapsed="false">
      <c r="A19" s="23" t="s">
        <v>464</v>
      </c>
      <c r="B19" s="24" t="n">
        <v>7</v>
      </c>
      <c r="C19" s="23" t="s">
        <v>413</v>
      </c>
      <c r="D19" s="23" t="s">
        <v>465</v>
      </c>
      <c r="E19" s="23" t="s">
        <v>466</v>
      </c>
      <c r="F19" s="23" t="s">
        <v>467</v>
      </c>
      <c r="G19" s="23" t="s">
        <v>468</v>
      </c>
    </row>
    <row r="20" customFormat="false" ht="15" hidden="false" customHeight="true" outlineLevel="0" collapsed="false">
      <c r="A20" s="23" t="s">
        <v>328</v>
      </c>
      <c r="B20" s="24" t="n">
        <v>7</v>
      </c>
      <c r="C20" s="23" t="s">
        <v>413</v>
      </c>
      <c r="D20" s="23" t="s">
        <v>325</v>
      </c>
      <c r="E20" s="23" t="s">
        <v>469</v>
      </c>
      <c r="F20" s="23" t="s">
        <v>470</v>
      </c>
      <c r="G20" s="23" t="s">
        <v>471</v>
      </c>
    </row>
    <row r="21" customFormat="false" ht="15" hidden="false" customHeight="true" outlineLevel="0" collapsed="false">
      <c r="A21" s="21" t="s">
        <v>472</v>
      </c>
      <c r="B21" s="22" t="n">
        <v>7</v>
      </c>
      <c r="C21" s="21" t="s">
        <v>407</v>
      </c>
      <c r="D21" s="21" t="s">
        <v>473</v>
      </c>
      <c r="E21" s="21" t="s">
        <v>474</v>
      </c>
      <c r="F21" s="21" t="s">
        <v>475</v>
      </c>
      <c r="G21" s="21" t="s">
        <v>476</v>
      </c>
    </row>
    <row r="22" customFormat="false" ht="15" hidden="false" customHeight="true" outlineLevel="0" collapsed="false">
      <c r="A22" s="23" t="s">
        <v>477</v>
      </c>
      <c r="B22" s="24" t="n">
        <v>6</v>
      </c>
      <c r="C22" s="23" t="s">
        <v>413</v>
      </c>
      <c r="D22" s="23" t="s">
        <v>478</v>
      </c>
      <c r="E22" s="23" t="s">
        <v>479</v>
      </c>
      <c r="F22" s="23" t="s">
        <v>480</v>
      </c>
      <c r="G22" s="23" t="s">
        <v>481</v>
      </c>
    </row>
    <row r="23" customFormat="false" ht="15" hidden="false" customHeight="true" outlineLevel="0" collapsed="false">
      <c r="A23" s="23" t="s">
        <v>482</v>
      </c>
      <c r="B23" s="24" t="n">
        <v>6</v>
      </c>
      <c r="C23" s="23" t="s">
        <v>413</v>
      </c>
      <c r="D23" s="23" t="s">
        <v>232</v>
      </c>
      <c r="E23" s="23" t="s">
        <v>483</v>
      </c>
      <c r="F23" s="23" t="s">
        <v>484</v>
      </c>
      <c r="G23" s="23" t="s">
        <v>485</v>
      </c>
    </row>
    <row r="24" customFormat="false" ht="15" hidden="false" customHeight="true" outlineLevel="0" collapsed="false">
      <c r="A24" s="23" t="s">
        <v>486</v>
      </c>
      <c r="B24" s="24" t="n">
        <v>6</v>
      </c>
      <c r="C24" s="23" t="s">
        <v>413</v>
      </c>
      <c r="D24" s="23" t="s">
        <v>335</v>
      </c>
      <c r="E24" s="23" t="s">
        <v>487</v>
      </c>
      <c r="F24" s="23" t="s">
        <v>488</v>
      </c>
      <c r="G24" s="23" t="s">
        <v>489</v>
      </c>
    </row>
    <row r="25" customFormat="false" ht="15" hidden="false" customHeight="true" outlineLevel="0" collapsed="false">
      <c r="A25" s="23" t="s">
        <v>490</v>
      </c>
      <c r="B25" s="24" t="n">
        <v>6</v>
      </c>
      <c r="C25" s="23" t="s">
        <v>413</v>
      </c>
      <c r="D25" s="23" t="s">
        <v>491</v>
      </c>
      <c r="E25" s="23" t="s">
        <v>492</v>
      </c>
      <c r="F25" s="23" t="s">
        <v>493</v>
      </c>
      <c r="G25" s="23" t="s">
        <v>494</v>
      </c>
    </row>
    <row r="26" customFormat="false" ht="15" hidden="false" customHeight="true" outlineLevel="0" collapsed="false">
      <c r="A26" s="23" t="s">
        <v>346</v>
      </c>
      <c r="B26" s="24" t="n">
        <v>6</v>
      </c>
      <c r="C26" s="23" t="s">
        <v>413</v>
      </c>
      <c r="D26" s="23" t="s">
        <v>478</v>
      </c>
      <c r="E26" s="23" t="s">
        <v>495</v>
      </c>
      <c r="F26" s="23" t="s">
        <v>496</v>
      </c>
      <c r="G26" s="23" t="s">
        <v>481</v>
      </c>
    </row>
    <row r="27" customFormat="false" ht="15" hidden="false" customHeight="true" outlineLevel="0" collapsed="false">
      <c r="A27" s="25" t="s">
        <v>287</v>
      </c>
      <c r="B27" s="26" t="n">
        <v>6</v>
      </c>
      <c r="C27" s="25" t="s">
        <v>497</v>
      </c>
      <c r="D27" s="25" t="s">
        <v>498</v>
      </c>
      <c r="E27" s="25" t="s">
        <v>499</v>
      </c>
      <c r="F27" s="25" t="s">
        <v>500</v>
      </c>
      <c r="G27" s="25" t="s">
        <v>501</v>
      </c>
    </row>
    <row r="28" customFormat="false" ht="15" hidden="false" customHeight="true" outlineLevel="0" collapsed="false">
      <c r="A28" s="23" t="s">
        <v>502</v>
      </c>
      <c r="B28" s="24" t="n">
        <v>6</v>
      </c>
      <c r="C28" s="23" t="s">
        <v>413</v>
      </c>
      <c r="D28" s="23" t="s">
        <v>503</v>
      </c>
      <c r="E28" s="23" t="s">
        <v>504</v>
      </c>
      <c r="F28" s="23" t="s">
        <v>505</v>
      </c>
      <c r="G28" s="23" t="s">
        <v>506</v>
      </c>
    </row>
    <row r="29" customFormat="false" ht="15" hidden="false" customHeight="true" outlineLevel="0" collapsed="false">
      <c r="A29" s="23" t="s">
        <v>507</v>
      </c>
      <c r="B29" s="24" t="n">
        <v>6</v>
      </c>
      <c r="C29" s="23" t="s">
        <v>413</v>
      </c>
      <c r="D29" s="23" t="s">
        <v>508</v>
      </c>
      <c r="E29" s="23" t="s">
        <v>509</v>
      </c>
      <c r="F29" s="23" t="s">
        <v>510</v>
      </c>
      <c r="G29" s="23" t="s">
        <v>511</v>
      </c>
    </row>
    <row r="30" customFormat="false" ht="15" hidden="false" customHeight="true" outlineLevel="0" collapsed="false">
      <c r="A30" s="23" t="s">
        <v>512</v>
      </c>
      <c r="B30" s="24" t="n">
        <v>6</v>
      </c>
      <c r="C30" s="23" t="s">
        <v>413</v>
      </c>
      <c r="D30" s="23" t="s">
        <v>513</v>
      </c>
      <c r="E30" s="23" t="s">
        <v>514</v>
      </c>
      <c r="F30" s="23" t="s">
        <v>515</v>
      </c>
      <c r="G30" s="23" t="s">
        <v>516</v>
      </c>
    </row>
    <row r="31" customFormat="false" ht="15" hidden="false" customHeight="true" outlineLevel="0" collapsed="false">
      <c r="A31" s="23" t="s">
        <v>300</v>
      </c>
      <c r="B31" s="24" t="n">
        <v>6</v>
      </c>
      <c r="C31" s="23" t="s">
        <v>413</v>
      </c>
      <c r="D31" s="23" t="s">
        <v>517</v>
      </c>
      <c r="E31" s="23" t="s">
        <v>518</v>
      </c>
      <c r="F31" s="23" t="s">
        <v>519</v>
      </c>
      <c r="G31" s="23" t="s">
        <v>516</v>
      </c>
    </row>
    <row r="32" customFormat="false" ht="15" hidden="false" customHeight="true" outlineLevel="0" collapsed="false">
      <c r="A32" s="21" t="s">
        <v>520</v>
      </c>
      <c r="B32" s="22" t="n">
        <v>6</v>
      </c>
      <c r="C32" s="21" t="s">
        <v>407</v>
      </c>
      <c r="D32" s="21" t="s">
        <v>521</v>
      </c>
      <c r="E32" s="21" t="s">
        <v>522</v>
      </c>
      <c r="F32" s="21" t="s">
        <v>523</v>
      </c>
      <c r="G32" s="21" t="s">
        <v>524</v>
      </c>
    </row>
    <row r="33" customFormat="false" ht="15" hidden="false" customHeight="true" outlineLevel="0" collapsed="false">
      <c r="A33" s="23" t="s">
        <v>525</v>
      </c>
      <c r="B33" s="24" t="n">
        <v>5</v>
      </c>
      <c r="C33" s="23" t="s">
        <v>413</v>
      </c>
      <c r="D33" s="23" t="s">
        <v>526</v>
      </c>
      <c r="E33" s="23" t="s">
        <v>527</v>
      </c>
      <c r="F33" s="23" t="s">
        <v>528</v>
      </c>
      <c r="G33" s="23" t="s">
        <v>529</v>
      </c>
    </row>
    <row r="34" customFormat="false" ht="15" hidden="false" customHeight="true" outlineLevel="0" collapsed="false">
      <c r="A34" s="19" t="s">
        <v>530</v>
      </c>
      <c r="B34" s="20" t="n">
        <v>5</v>
      </c>
      <c r="C34" s="19" t="s">
        <v>200</v>
      </c>
      <c r="D34" s="19" t="s">
        <v>531</v>
      </c>
      <c r="E34" s="19" t="s">
        <v>532</v>
      </c>
      <c r="F34" s="19" t="s">
        <v>533</v>
      </c>
      <c r="G34" s="19" t="s">
        <v>534</v>
      </c>
    </row>
    <row r="35" customFormat="false" ht="15" hidden="false" customHeight="true" outlineLevel="0" collapsed="false">
      <c r="A35" s="23" t="s">
        <v>535</v>
      </c>
      <c r="B35" s="24" t="n">
        <v>5</v>
      </c>
      <c r="C35" s="23" t="s">
        <v>413</v>
      </c>
      <c r="D35" s="23" t="s">
        <v>536</v>
      </c>
      <c r="E35" s="23" t="s">
        <v>537</v>
      </c>
      <c r="F35" s="23" t="s">
        <v>538</v>
      </c>
      <c r="G35" s="23" t="s">
        <v>539</v>
      </c>
    </row>
    <row r="36" customFormat="false" ht="15" hidden="false" customHeight="true" outlineLevel="0" collapsed="false">
      <c r="A36" s="23" t="s">
        <v>540</v>
      </c>
      <c r="B36" s="24" t="n">
        <v>4</v>
      </c>
      <c r="C36" s="23" t="s">
        <v>413</v>
      </c>
      <c r="D36" s="23" t="s">
        <v>541</v>
      </c>
      <c r="E36" s="23" t="s">
        <v>542</v>
      </c>
      <c r="F36" s="23" t="s">
        <v>543</v>
      </c>
      <c r="G36" s="23" t="s">
        <v>544</v>
      </c>
    </row>
    <row r="37" customFormat="false" ht="15" hidden="false" customHeight="true" outlineLevel="0" collapsed="false">
      <c r="A37" s="23" t="s">
        <v>545</v>
      </c>
      <c r="B37" s="24" t="n">
        <v>4</v>
      </c>
      <c r="C37" s="23" t="s">
        <v>413</v>
      </c>
      <c r="D37" s="23" t="s">
        <v>546</v>
      </c>
      <c r="E37" s="23" t="s">
        <v>547</v>
      </c>
      <c r="F37" s="23" t="s">
        <v>548</v>
      </c>
      <c r="G37" s="23" t="s">
        <v>549</v>
      </c>
    </row>
    <row r="38" customFormat="false" ht="15" hidden="false" customHeight="true" outlineLevel="0" collapsed="false">
      <c r="A38" s="23" t="s">
        <v>356</v>
      </c>
      <c r="B38" s="24" t="n">
        <v>4</v>
      </c>
      <c r="C38" s="23" t="s">
        <v>413</v>
      </c>
      <c r="D38" s="23" t="s">
        <v>550</v>
      </c>
      <c r="E38" s="23" t="s">
        <v>551</v>
      </c>
      <c r="F38" s="23" t="s">
        <v>552</v>
      </c>
      <c r="G38" s="23" t="s">
        <v>553</v>
      </c>
    </row>
    <row r="39" customFormat="false" ht="15" hidden="false" customHeight="true" outlineLevel="0" collapsed="false">
      <c r="A39" s="21" t="s">
        <v>554</v>
      </c>
      <c r="B39" s="22" t="n">
        <v>4</v>
      </c>
      <c r="C39" s="21" t="s">
        <v>407</v>
      </c>
      <c r="D39" s="21" t="s">
        <v>555</v>
      </c>
      <c r="E39" s="21" t="s">
        <v>556</v>
      </c>
      <c r="F39" s="21" t="s">
        <v>557</v>
      </c>
      <c r="G39" s="21" t="s">
        <v>558</v>
      </c>
    </row>
    <row r="40" customFormat="false" ht="15" hidden="false" customHeight="true" outlineLevel="0" collapsed="false">
      <c r="A40" s="23" t="s">
        <v>559</v>
      </c>
      <c r="B40" s="24" t="n">
        <v>4</v>
      </c>
      <c r="C40" s="23" t="s">
        <v>413</v>
      </c>
      <c r="D40" s="23" t="s">
        <v>560</v>
      </c>
      <c r="E40" s="23" t="s">
        <v>561</v>
      </c>
      <c r="F40" s="23" t="s">
        <v>562</v>
      </c>
      <c r="G40" s="23" t="s">
        <v>563</v>
      </c>
    </row>
    <row r="41" customFormat="false" ht="15" hidden="false" customHeight="true" outlineLevel="0" collapsed="false">
      <c r="A41" s="23" t="s">
        <v>564</v>
      </c>
      <c r="B41" s="24" t="n">
        <v>3</v>
      </c>
      <c r="C41" s="23" t="s">
        <v>413</v>
      </c>
      <c r="D41" s="23" t="s">
        <v>565</v>
      </c>
      <c r="E41" s="23" t="s">
        <v>566</v>
      </c>
      <c r="F41" s="23" t="s">
        <v>567</v>
      </c>
      <c r="G41" s="23" t="s">
        <v>568</v>
      </c>
    </row>
    <row r="42" customFormat="false" ht="15" hidden="false" customHeight="true" outlineLevel="0" collapsed="false">
      <c r="A42" s="23" t="s">
        <v>569</v>
      </c>
      <c r="B42" s="24" t="n">
        <v>3</v>
      </c>
      <c r="C42" s="23" t="s">
        <v>413</v>
      </c>
      <c r="D42" s="23" t="s">
        <v>570</v>
      </c>
      <c r="E42" s="23" t="s">
        <v>571</v>
      </c>
      <c r="F42" s="23" t="s">
        <v>572</v>
      </c>
      <c r="G42" s="23" t="s">
        <v>573</v>
      </c>
    </row>
    <row r="43" customFormat="false" ht="15" hidden="false" customHeight="true" outlineLevel="0" collapsed="false">
      <c r="A43" s="23" t="s">
        <v>574</v>
      </c>
      <c r="B43" s="24" t="n">
        <v>3</v>
      </c>
      <c r="C43" s="23" t="s">
        <v>413</v>
      </c>
      <c r="D43" s="23" t="s">
        <v>575</v>
      </c>
      <c r="E43" s="23" t="s">
        <v>576</v>
      </c>
      <c r="F43" s="23" t="s">
        <v>577</v>
      </c>
      <c r="G43" s="23" t="s">
        <v>578</v>
      </c>
    </row>
    <row r="44" customFormat="false" ht="15" hidden="false" customHeight="true" outlineLevel="0" collapsed="false">
      <c r="A44" s="23" t="s">
        <v>579</v>
      </c>
      <c r="B44" s="24" t="n">
        <v>3</v>
      </c>
      <c r="C44" s="23" t="s">
        <v>413</v>
      </c>
      <c r="D44" s="23" t="s">
        <v>580</v>
      </c>
      <c r="E44" s="23" t="s">
        <v>581</v>
      </c>
      <c r="F44" s="23" t="s">
        <v>582</v>
      </c>
      <c r="G44" s="23" t="s">
        <v>583</v>
      </c>
    </row>
    <row r="45" customFormat="false" ht="15" hidden="false" customHeight="true" outlineLevel="0" collapsed="false">
      <c r="A45" s="21" t="s">
        <v>584</v>
      </c>
      <c r="B45" s="22" t="n">
        <v>3</v>
      </c>
      <c r="C45" s="21" t="s">
        <v>407</v>
      </c>
      <c r="D45" s="21" t="s">
        <v>585</v>
      </c>
      <c r="E45" s="21" t="s">
        <v>556</v>
      </c>
      <c r="F45" s="21" t="s">
        <v>586</v>
      </c>
      <c r="G45" s="21" t="s">
        <v>587</v>
      </c>
    </row>
    <row r="46" customFormat="false" ht="15" hidden="false" customHeight="true" outlineLevel="0" collapsed="false">
      <c r="A46" s="21" t="s">
        <v>588</v>
      </c>
      <c r="B46" s="22" t="n">
        <v>3</v>
      </c>
      <c r="C46" s="21" t="s">
        <v>407</v>
      </c>
      <c r="D46" s="21" t="s">
        <v>589</v>
      </c>
      <c r="E46" s="21" t="s">
        <v>590</v>
      </c>
      <c r="F46" s="21" t="s">
        <v>591</v>
      </c>
      <c r="G46" s="21" t="s">
        <v>573</v>
      </c>
    </row>
    <row r="47" customFormat="false" ht="15" hidden="false" customHeight="true" outlineLevel="0" collapsed="false">
      <c r="A47" s="23" t="s">
        <v>592</v>
      </c>
      <c r="B47" s="24" t="n">
        <v>3</v>
      </c>
      <c r="C47" s="23" t="s">
        <v>413</v>
      </c>
      <c r="D47" s="23" t="s">
        <v>593</v>
      </c>
      <c r="E47" s="23" t="s">
        <v>594</v>
      </c>
      <c r="F47" s="23" t="s">
        <v>595</v>
      </c>
      <c r="G47" s="23" t="s">
        <v>596</v>
      </c>
    </row>
    <row r="48" customFormat="false" ht="15" hidden="false" customHeight="true" outlineLevel="0" collapsed="false">
      <c r="A48" s="23" t="s">
        <v>363</v>
      </c>
      <c r="B48" s="24" t="n">
        <v>3</v>
      </c>
      <c r="C48" s="23" t="s">
        <v>413</v>
      </c>
      <c r="D48" s="23" t="s">
        <v>360</v>
      </c>
      <c r="E48" s="23" t="s">
        <v>597</v>
      </c>
      <c r="F48" s="23" t="s">
        <v>598</v>
      </c>
      <c r="G48" s="23" t="s">
        <v>596</v>
      </c>
    </row>
    <row r="49" customFormat="false" ht="15" hidden="false" customHeight="true" outlineLevel="0" collapsed="false">
      <c r="A49" s="23" t="s">
        <v>599</v>
      </c>
      <c r="B49" s="24" t="n">
        <v>3</v>
      </c>
      <c r="C49" s="23" t="s">
        <v>413</v>
      </c>
      <c r="D49" s="23" t="s">
        <v>360</v>
      </c>
      <c r="E49" s="23" t="s">
        <v>600</v>
      </c>
      <c r="F49" s="23" t="s">
        <v>601</v>
      </c>
      <c r="G49" s="23" t="s">
        <v>596</v>
      </c>
    </row>
    <row r="50" customFormat="false" ht="15" hidden="false" customHeight="true" outlineLevel="0" collapsed="false">
      <c r="A50" s="23" t="s">
        <v>602</v>
      </c>
      <c r="B50" s="24" t="n">
        <v>3</v>
      </c>
      <c r="C50" s="23" t="s">
        <v>413</v>
      </c>
      <c r="D50" s="23" t="s">
        <v>603</v>
      </c>
      <c r="E50" s="23" t="s">
        <v>604</v>
      </c>
      <c r="F50" s="23" t="s">
        <v>605</v>
      </c>
      <c r="G50" s="23" t="s">
        <v>568</v>
      </c>
    </row>
    <row r="51" customFormat="false" ht="15" hidden="false" customHeight="true" outlineLevel="0" collapsed="false">
      <c r="A51" s="21" t="s">
        <v>606</v>
      </c>
      <c r="B51" s="22" t="n">
        <v>2</v>
      </c>
      <c r="C51" s="21" t="s">
        <v>407</v>
      </c>
      <c r="D51" s="21" t="s">
        <v>607</v>
      </c>
      <c r="E51" s="21" t="s">
        <v>608</v>
      </c>
      <c r="F51" s="21" t="s">
        <v>609</v>
      </c>
      <c r="G51" s="21" t="s">
        <v>610</v>
      </c>
    </row>
    <row r="52" customFormat="false" ht="15" hidden="false" customHeight="true" outlineLevel="0" collapsed="false">
      <c r="A52" s="23" t="s">
        <v>611</v>
      </c>
      <c r="B52" s="24" t="n">
        <v>2</v>
      </c>
      <c r="C52" s="23" t="s">
        <v>413</v>
      </c>
      <c r="D52" s="23" t="s">
        <v>335</v>
      </c>
      <c r="E52" s="23" t="s">
        <v>612</v>
      </c>
      <c r="F52" s="23" t="s">
        <v>613</v>
      </c>
      <c r="G52" s="23" t="s">
        <v>614</v>
      </c>
    </row>
    <row r="53" customFormat="false" ht="15" hidden="false" customHeight="true" outlineLevel="0" collapsed="false">
      <c r="A53" s="23" t="s">
        <v>615</v>
      </c>
      <c r="B53" s="24" t="n">
        <v>2</v>
      </c>
      <c r="C53" s="23" t="s">
        <v>413</v>
      </c>
      <c r="D53" s="23" t="s">
        <v>616</v>
      </c>
      <c r="E53" s="23" t="s">
        <v>617</v>
      </c>
      <c r="F53" s="23" t="s">
        <v>618</v>
      </c>
      <c r="G53" s="23" t="s">
        <v>619</v>
      </c>
    </row>
    <row r="54" customFormat="false" ht="15" hidden="false" customHeight="true" outlineLevel="0" collapsed="false">
      <c r="A54" s="23" t="s">
        <v>620</v>
      </c>
      <c r="B54" s="24" t="n">
        <v>2</v>
      </c>
      <c r="C54" s="23" t="s">
        <v>413</v>
      </c>
      <c r="D54" s="23" t="s">
        <v>621</v>
      </c>
      <c r="E54" s="23" t="s">
        <v>622</v>
      </c>
      <c r="F54" s="23" t="s">
        <v>623</v>
      </c>
      <c r="G54" s="23" t="s">
        <v>624</v>
      </c>
    </row>
    <row r="55" customFormat="false" ht="15" hidden="false" customHeight="true" outlineLevel="0" collapsed="false">
      <c r="A55" s="21" t="s">
        <v>625</v>
      </c>
      <c r="B55" s="22" t="n">
        <v>2</v>
      </c>
      <c r="C55" s="21" t="s">
        <v>407</v>
      </c>
      <c r="D55" s="21" t="s">
        <v>626</v>
      </c>
      <c r="E55" s="21" t="s">
        <v>627</v>
      </c>
      <c r="F55" s="21" t="s">
        <v>628</v>
      </c>
      <c r="G55" s="21" t="s">
        <v>629</v>
      </c>
    </row>
    <row r="56" customFormat="false" ht="15" hidden="false" customHeight="true" outlineLevel="0" collapsed="false">
      <c r="A56" s="21" t="s">
        <v>630</v>
      </c>
      <c r="B56" s="22" t="n">
        <v>2</v>
      </c>
      <c r="C56" s="21" t="s">
        <v>407</v>
      </c>
      <c r="D56" s="21" t="s">
        <v>631</v>
      </c>
      <c r="E56" s="21" t="s">
        <v>632</v>
      </c>
      <c r="F56" s="21" t="s">
        <v>633</v>
      </c>
      <c r="G56" s="21" t="s">
        <v>629</v>
      </c>
    </row>
    <row r="57" customFormat="false" ht="15" hidden="false" customHeight="true" outlineLevel="0" collapsed="false">
      <c r="A57" s="23" t="s">
        <v>634</v>
      </c>
      <c r="B57" s="24" t="n">
        <v>1</v>
      </c>
      <c r="C57" s="23" t="s">
        <v>413</v>
      </c>
      <c r="D57" s="23" t="s">
        <v>635</v>
      </c>
      <c r="E57" s="23" t="s">
        <v>636</v>
      </c>
      <c r="F57" s="23" t="s">
        <v>637</v>
      </c>
      <c r="G57" s="23" t="s">
        <v>133</v>
      </c>
    </row>
    <row r="58" customFormat="false" ht="15" hidden="false" customHeight="true" outlineLevel="0" collapsed="false">
      <c r="A58" s="23" t="s">
        <v>638</v>
      </c>
      <c r="B58" s="24" t="n">
        <v>1</v>
      </c>
      <c r="C58" s="23" t="s">
        <v>413</v>
      </c>
      <c r="D58" s="23" t="s">
        <v>639</v>
      </c>
      <c r="E58" s="23" t="s">
        <v>640</v>
      </c>
      <c r="F58" s="23" t="s">
        <v>641</v>
      </c>
      <c r="G58" s="23" t="s">
        <v>118</v>
      </c>
    </row>
    <row r="59" customFormat="false" ht="15" hidden="false" customHeight="true" outlineLevel="0" collapsed="false">
      <c r="A59" s="23" t="s">
        <v>642</v>
      </c>
      <c r="B59" s="24" t="n">
        <v>1</v>
      </c>
      <c r="C59" s="23" t="s">
        <v>413</v>
      </c>
      <c r="D59" s="23" t="s">
        <v>643</v>
      </c>
      <c r="E59" s="23" t="s">
        <v>644</v>
      </c>
      <c r="F59" s="23" t="s">
        <v>645</v>
      </c>
      <c r="G59" s="23" t="s">
        <v>97</v>
      </c>
    </row>
    <row r="60" customFormat="false" ht="15" hidden="false" customHeight="true" outlineLevel="0" collapsed="false">
      <c r="A60" s="21" t="s">
        <v>646</v>
      </c>
      <c r="B60" s="22" t="n">
        <v>1</v>
      </c>
      <c r="C60" s="21" t="s">
        <v>407</v>
      </c>
      <c r="D60" s="21" t="s">
        <v>647</v>
      </c>
      <c r="E60" s="21" t="s">
        <v>648</v>
      </c>
      <c r="F60" s="21" t="s">
        <v>649</v>
      </c>
      <c r="G60" s="21" t="s">
        <v>97</v>
      </c>
    </row>
    <row r="61" customFormat="false" ht="15" hidden="false" customHeight="true" outlineLevel="0" collapsed="false">
      <c r="A61" s="23" t="s">
        <v>650</v>
      </c>
      <c r="B61" s="24" t="n">
        <v>1</v>
      </c>
      <c r="C61" s="23" t="s">
        <v>413</v>
      </c>
      <c r="D61" s="23" t="s">
        <v>651</v>
      </c>
      <c r="E61" s="23" t="s">
        <v>652</v>
      </c>
      <c r="F61" s="23" t="s">
        <v>653</v>
      </c>
      <c r="G61" s="23" t="s">
        <v>97</v>
      </c>
    </row>
    <row r="62" customFormat="false" ht="15" hidden="false" customHeight="true" outlineLevel="0" collapsed="false">
      <c r="A62" s="23" t="s">
        <v>654</v>
      </c>
      <c r="B62" s="24" t="n">
        <v>1</v>
      </c>
      <c r="C62" s="23" t="s">
        <v>413</v>
      </c>
      <c r="D62" s="23" t="s">
        <v>655</v>
      </c>
      <c r="E62" s="23" t="s">
        <v>656</v>
      </c>
      <c r="F62" s="23" t="s">
        <v>657</v>
      </c>
      <c r="G62" s="23" t="s">
        <v>118</v>
      </c>
    </row>
    <row r="63" customFormat="false" ht="15" hidden="false" customHeight="true" outlineLevel="0" collapsed="false">
      <c r="A63" s="23" t="s">
        <v>658</v>
      </c>
      <c r="B63" s="24" t="n">
        <v>1</v>
      </c>
      <c r="C63" s="23" t="s">
        <v>413</v>
      </c>
      <c r="D63" s="23" t="s">
        <v>659</v>
      </c>
      <c r="E63" s="23" t="s">
        <v>660</v>
      </c>
      <c r="F63" s="23" t="s">
        <v>661</v>
      </c>
      <c r="G63" s="23" t="s">
        <v>97</v>
      </c>
    </row>
    <row r="64" customFormat="false" ht="15" hidden="false" customHeight="true" outlineLevel="0" collapsed="false">
      <c r="A64" s="23" t="s">
        <v>662</v>
      </c>
      <c r="B64" s="24" t="n">
        <v>1</v>
      </c>
      <c r="C64" s="23" t="s">
        <v>413</v>
      </c>
      <c r="D64" s="23" t="s">
        <v>663</v>
      </c>
      <c r="E64" s="23" t="s">
        <v>664</v>
      </c>
      <c r="F64" s="23" t="s">
        <v>665</v>
      </c>
      <c r="G64" s="23" t="s">
        <v>118</v>
      </c>
    </row>
    <row r="65" customFormat="false" ht="15" hidden="false" customHeight="true" outlineLevel="0" collapsed="false">
      <c r="A65" s="27" t="s">
        <v>666</v>
      </c>
      <c r="B65" s="28" t="n">
        <v>1</v>
      </c>
      <c r="C65" s="27" t="s">
        <v>667</v>
      </c>
      <c r="D65" s="27" t="s">
        <v>668</v>
      </c>
      <c r="E65" s="27" t="s">
        <v>669</v>
      </c>
      <c r="F65" s="27" t="s">
        <v>670</v>
      </c>
      <c r="G65" s="27" t="s">
        <v>162</v>
      </c>
    </row>
    <row r="66" customFormat="false" ht="15" hidden="false" customHeight="true" outlineLevel="0" collapsed="false">
      <c r="A66" s="23" t="s">
        <v>322</v>
      </c>
      <c r="B66" s="24" t="n">
        <v>1</v>
      </c>
      <c r="C66" s="23" t="s">
        <v>413</v>
      </c>
      <c r="D66" s="23" t="s">
        <v>319</v>
      </c>
      <c r="E66" s="23" t="s">
        <v>671</v>
      </c>
      <c r="F66" s="23" t="s">
        <v>672</v>
      </c>
      <c r="G66" s="23" t="s">
        <v>177</v>
      </c>
    </row>
    <row r="67" customFormat="false" ht="15" hidden="false" customHeight="true" outlineLevel="0" collapsed="false">
      <c r="A67" s="23" t="s">
        <v>673</v>
      </c>
      <c r="B67" s="24" t="n">
        <v>1</v>
      </c>
      <c r="C67" s="23" t="s">
        <v>413</v>
      </c>
      <c r="D67" s="23" t="s">
        <v>674</v>
      </c>
      <c r="E67" s="23" t="s">
        <v>675</v>
      </c>
      <c r="F67" s="23" t="s">
        <v>676</v>
      </c>
      <c r="G67" s="23" t="s">
        <v>153</v>
      </c>
    </row>
    <row r="68" customFormat="false" ht="15" hidden="false" customHeight="true" outlineLevel="0" collapsed="false">
      <c r="A68" s="23" t="s">
        <v>677</v>
      </c>
      <c r="B68" s="24" t="n">
        <v>1</v>
      </c>
      <c r="C68" s="23" t="s">
        <v>413</v>
      </c>
      <c r="D68" s="23" t="s">
        <v>678</v>
      </c>
      <c r="E68" s="23" t="s">
        <v>679</v>
      </c>
      <c r="F68" s="23" t="s">
        <v>680</v>
      </c>
      <c r="G68" s="23" t="s">
        <v>168</v>
      </c>
    </row>
    <row r="69" customFormat="false" ht="15" hidden="false" customHeight="true" outlineLevel="0" collapsed="false">
      <c r="A69" s="21" t="s">
        <v>681</v>
      </c>
      <c r="B69" s="22" t="n">
        <v>1</v>
      </c>
      <c r="C69" s="21" t="s">
        <v>407</v>
      </c>
      <c r="D69" s="21" t="s">
        <v>682</v>
      </c>
      <c r="E69" s="21" t="s">
        <v>683</v>
      </c>
      <c r="F69" s="21" t="s">
        <v>684</v>
      </c>
      <c r="G69" s="21" t="s">
        <v>177</v>
      </c>
    </row>
    <row r="70" customFormat="false" ht="15" hidden="false" customHeight="true" outlineLevel="0" collapsed="false">
      <c r="A70" s="23" t="s">
        <v>685</v>
      </c>
      <c r="B70" s="24" t="n">
        <v>1</v>
      </c>
      <c r="C70" s="23" t="s">
        <v>413</v>
      </c>
      <c r="D70" s="23" t="s">
        <v>686</v>
      </c>
      <c r="E70" s="23" t="s">
        <v>687</v>
      </c>
      <c r="F70" s="23" t="s">
        <v>688</v>
      </c>
      <c r="G70" s="23" t="s">
        <v>162</v>
      </c>
    </row>
    <row r="71" customFormat="false" ht="15" hidden="false" customHeight="true" outlineLevel="0" collapsed="false">
      <c r="A71" s="21" t="s">
        <v>689</v>
      </c>
      <c r="B71" s="22" t="n">
        <v>1</v>
      </c>
      <c r="C71" s="21" t="s">
        <v>407</v>
      </c>
      <c r="D71" s="21" t="s">
        <v>690</v>
      </c>
      <c r="E71" s="21" t="s">
        <v>648</v>
      </c>
      <c r="F71" s="21" t="s">
        <v>691</v>
      </c>
      <c r="G71" s="21" t="s">
        <v>159</v>
      </c>
    </row>
    <row r="72" customFormat="false" ht="15" hidden="false" customHeight="true" outlineLevel="0" collapsed="false">
      <c r="A72" s="21" t="s">
        <v>692</v>
      </c>
      <c r="B72" s="22" t="n">
        <v>1</v>
      </c>
      <c r="C72" s="21" t="s">
        <v>407</v>
      </c>
      <c r="D72" s="21" t="s">
        <v>693</v>
      </c>
      <c r="E72" s="21" t="s">
        <v>694</v>
      </c>
      <c r="F72" s="21" t="s">
        <v>695</v>
      </c>
      <c r="G72" s="21" t="s">
        <v>94</v>
      </c>
    </row>
    <row r="73" customFormat="false" ht="15" hidden="false" customHeight="true" outlineLevel="0" collapsed="false">
      <c r="A73" s="23" t="s">
        <v>696</v>
      </c>
      <c r="B73" s="24" t="n">
        <v>1</v>
      </c>
      <c r="C73" s="23" t="s">
        <v>413</v>
      </c>
      <c r="D73" s="23" t="s">
        <v>697</v>
      </c>
      <c r="E73" s="23" t="s">
        <v>698</v>
      </c>
      <c r="F73" s="23" t="s">
        <v>699</v>
      </c>
      <c r="G73" s="23" t="s">
        <v>100</v>
      </c>
    </row>
    <row r="74" customFormat="false" ht="15" hidden="false" customHeight="true" outlineLevel="0" collapsed="false">
      <c r="A74" s="23" t="s">
        <v>700</v>
      </c>
      <c r="B74" s="24" t="n">
        <v>1</v>
      </c>
      <c r="C74" s="23" t="s">
        <v>413</v>
      </c>
      <c r="D74" s="23" t="s">
        <v>701</v>
      </c>
      <c r="E74" s="23" t="s">
        <v>664</v>
      </c>
      <c r="F74" s="23" t="s">
        <v>702</v>
      </c>
      <c r="G74" s="23" t="s">
        <v>168</v>
      </c>
    </row>
    <row r="75" customFormat="false" ht="15" hidden="false" customHeight="true" outlineLevel="0" collapsed="false">
      <c r="A75" s="21" t="s">
        <v>703</v>
      </c>
      <c r="B75" s="22" t="n">
        <v>1</v>
      </c>
      <c r="C75" s="21" t="s">
        <v>407</v>
      </c>
      <c r="D75" s="21" t="s">
        <v>704</v>
      </c>
      <c r="E75" s="21" t="s">
        <v>648</v>
      </c>
      <c r="F75" s="21" t="s">
        <v>705</v>
      </c>
      <c r="G75" s="21" t="s">
        <v>124</v>
      </c>
    </row>
    <row r="76" customFormat="false" ht="15" hidden="false" customHeight="true" outlineLevel="0" collapsed="false">
      <c r="A76" s="23" t="s">
        <v>706</v>
      </c>
      <c r="B76" s="24" t="n">
        <v>1</v>
      </c>
      <c r="C76" s="23" t="s">
        <v>413</v>
      </c>
      <c r="D76" s="23" t="s">
        <v>707</v>
      </c>
      <c r="E76" s="23" t="s">
        <v>708</v>
      </c>
      <c r="F76" s="23" t="s">
        <v>709</v>
      </c>
      <c r="G76" s="23" t="s">
        <v>100</v>
      </c>
    </row>
    <row r="77" customFormat="false" ht="15" hidden="false" customHeight="true" outlineLevel="0" collapsed="false">
      <c r="A77" s="23" t="s">
        <v>710</v>
      </c>
      <c r="B77" s="24" t="n">
        <v>1</v>
      </c>
      <c r="C77" s="23" t="s">
        <v>413</v>
      </c>
      <c r="D77" s="23" t="s">
        <v>711</v>
      </c>
      <c r="E77" s="23" t="s">
        <v>712</v>
      </c>
      <c r="F77" s="23" t="s">
        <v>713</v>
      </c>
      <c r="G77" s="23" t="s">
        <v>100</v>
      </c>
    </row>
    <row r="78" customFormat="false" ht="15" hidden="false" customHeight="true" outlineLevel="0" collapsed="false">
      <c r="A78" s="21" t="s">
        <v>714</v>
      </c>
      <c r="B78" s="22" t="n">
        <v>1</v>
      </c>
      <c r="C78" s="21" t="s">
        <v>407</v>
      </c>
      <c r="D78" s="21" t="s">
        <v>715</v>
      </c>
      <c r="E78" s="21" t="s">
        <v>716</v>
      </c>
      <c r="F78" s="21" t="s">
        <v>717</v>
      </c>
      <c r="G78" s="21" t="s">
        <v>127</v>
      </c>
    </row>
    <row r="79" customFormat="false" ht="15" hidden="false" customHeight="true" outlineLevel="0" collapsed="false">
      <c r="A79" s="23" t="s">
        <v>718</v>
      </c>
      <c r="B79" s="24" t="n">
        <v>1</v>
      </c>
      <c r="C79" s="23" t="s">
        <v>413</v>
      </c>
      <c r="D79" s="23" t="s">
        <v>719</v>
      </c>
      <c r="E79" s="23" t="s">
        <v>720</v>
      </c>
      <c r="F79" s="23" t="s">
        <v>721</v>
      </c>
      <c r="G79" s="23" t="s">
        <v>118</v>
      </c>
    </row>
    <row r="80" customFormat="false" ht="15" hidden="false" customHeight="true" outlineLevel="0" collapsed="false">
      <c r="A80" s="23" t="s">
        <v>722</v>
      </c>
      <c r="B80" s="24" t="n">
        <v>1</v>
      </c>
      <c r="C80" s="23" t="s">
        <v>413</v>
      </c>
      <c r="D80" s="23" t="s">
        <v>723</v>
      </c>
      <c r="E80" s="23" t="s">
        <v>724</v>
      </c>
      <c r="F80" s="23" t="s">
        <v>725</v>
      </c>
      <c r="G80" s="23" t="s">
        <v>91</v>
      </c>
    </row>
    <row r="81" customFormat="false" ht="15" hidden="false" customHeight="true" outlineLevel="0" collapsed="false">
      <c r="A81" s="23" t="s">
        <v>726</v>
      </c>
      <c r="B81" s="24" t="n">
        <v>1</v>
      </c>
      <c r="C81" s="23" t="s">
        <v>413</v>
      </c>
      <c r="D81" s="23" t="s">
        <v>727</v>
      </c>
      <c r="E81" s="23" t="s">
        <v>728</v>
      </c>
      <c r="F81" s="23" t="s">
        <v>729</v>
      </c>
      <c r="G81" s="23" t="s">
        <v>142</v>
      </c>
    </row>
    <row r="82" customFormat="false" ht="15" hidden="false" customHeight="true" outlineLevel="0" collapsed="false">
      <c r="A82" s="23" t="s">
        <v>730</v>
      </c>
      <c r="B82" s="24" t="n">
        <v>1</v>
      </c>
      <c r="C82" s="23" t="s">
        <v>413</v>
      </c>
      <c r="D82" s="23" t="s">
        <v>731</v>
      </c>
      <c r="E82" s="23" t="s">
        <v>732</v>
      </c>
      <c r="F82" s="23" t="s">
        <v>733</v>
      </c>
      <c r="G82" s="23" t="s">
        <v>100</v>
      </c>
    </row>
    <row r="83" customFormat="false" ht="15" hidden="false" customHeight="true" outlineLevel="0" collapsed="false">
      <c r="A83" s="23" t="s">
        <v>734</v>
      </c>
      <c r="B83" s="24" t="n">
        <v>1</v>
      </c>
      <c r="C83" s="23" t="s">
        <v>413</v>
      </c>
      <c r="D83" s="23" t="s">
        <v>735</v>
      </c>
      <c r="E83" s="23" t="s">
        <v>736</v>
      </c>
      <c r="F83" s="23" t="s">
        <v>737</v>
      </c>
      <c r="G83" s="23" t="s">
        <v>153</v>
      </c>
    </row>
    <row r="84" customFormat="false" ht="15" hidden="false" customHeight="true" outlineLevel="0" collapsed="false">
      <c r="A84" s="23" t="s">
        <v>738</v>
      </c>
      <c r="B84" s="24" t="n">
        <v>1</v>
      </c>
      <c r="C84" s="23" t="s">
        <v>413</v>
      </c>
      <c r="D84" s="23" t="s">
        <v>739</v>
      </c>
      <c r="E84" s="23" t="s">
        <v>740</v>
      </c>
      <c r="F84" s="23" t="s">
        <v>741</v>
      </c>
      <c r="G84" s="23" t="s">
        <v>91</v>
      </c>
    </row>
    <row r="85" customFormat="false" ht="15" hidden="false" customHeight="true" outlineLevel="0" collapsed="false">
      <c r="A85" s="23" t="s">
        <v>742</v>
      </c>
      <c r="B85" s="24" t="n">
        <v>1</v>
      </c>
      <c r="C85" s="23" t="s">
        <v>413</v>
      </c>
      <c r="D85" s="23" t="s">
        <v>743</v>
      </c>
      <c r="E85" s="23" t="s">
        <v>744</v>
      </c>
      <c r="F85" s="23" t="s">
        <v>745</v>
      </c>
      <c r="G85" s="23" t="s">
        <v>142</v>
      </c>
    </row>
    <row r="86" customFormat="false" ht="15" hidden="false" customHeight="true" outlineLevel="0" collapsed="false">
      <c r="A86" s="23" t="s">
        <v>746</v>
      </c>
      <c r="B86" s="24" t="n">
        <v>1</v>
      </c>
      <c r="C86" s="23" t="s">
        <v>413</v>
      </c>
      <c r="D86" s="23" t="s">
        <v>747</v>
      </c>
      <c r="E86" s="23" t="s">
        <v>748</v>
      </c>
      <c r="F86" s="23" t="s">
        <v>749</v>
      </c>
      <c r="G86" s="23" t="s">
        <v>168</v>
      </c>
    </row>
    <row r="87" customFormat="false" ht="15" hidden="false" customHeight="true" outlineLevel="0" collapsed="false">
      <c r="A87" s="21" t="s">
        <v>750</v>
      </c>
      <c r="B87" s="22" t="n">
        <v>1</v>
      </c>
      <c r="C87" s="21" t="s">
        <v>407</v>
      </c>
      <c r="D87" s="21" t="s">
        <v>751</v>
      </c>
      <c r="E87" s="21" t="s">
        <v>752</v>
      </c>
      <c r="F87" s="21" t="s">
        <v>753</v>
      </c>
      <c r="G87" s="21" t="s">
        <v>150</v>
      </c>
    </row>
    <row r="88" customFormat="false" ht="15" hidden="false" customHeight="true" outlineLevel="0" collapsed="false">
      <c r="A88" s="21" t="s">
        <v>754</v>
      </c>
      <c r="B88" s="22" t="n">
        <v>1</v>
      </c>
      <c r="C88" s="21" t="s">
        <v>407</v>
      </c>
      <c r="D88" s="21" t="s">
        <v>755</v>
      </c>
      <c r="E88" s="21" t="s">
        <v>608</v>
      </c>
      <c r="F88" s="21" t="s">
        <v>756</v>
      </c>
      <c r="G88" s="21" t="s">
        <v>174</v>
      </c>
    </row>
    <row r="89" customFormat="false" ht="15" hidden="false" customHeight="true" outlineLevel="0" collapsed="false">
      <c r="A89" s="21" t="s">
        <v>757</v>
      </c>
      <c r="B89" s="22" t="n">
        <v>1</v>
      </c>
      <c r="C89" s="21" t="s">
        <v>407</v>
      </c>
      <c r="D89" s="21" t="s">
        <v>758</v>
      </c>
      <c r="E89" s="21" t="s">
        <v>759</v>
      </c>
      <c r="F89" s="21" t="s">
        <v>760</v>
      </c>
      <c r="G89" s="21" t="s">
        <v>153</v>
      </c>
    </row>
    <row r="90" customFormat="false" ht="15" hidden="false" customHeight="true" outlineLevel="0" collapsed="false">
      <c r="A90" s="21" t="s">
        <v>761</v>
      </c>
      <c r="B90" s="22" t="n">
        <v>1</v>
      </c>
      <c r="C90" s="21" t="s">
        <v>407</v>
      </c>
      <c r="D90" s="21" t="s">
        <v>762</v>
      </c>
      <c r="E90" s="21" t="s">
        <v>763</v>
      </c>
      <c r="F90" s="21" t="s">
        <v>764</v>
      </c>
      <c r="G90" s="21" t="s">
        <v>153</v>
      </c>
    </row>
    <row r="91" customFormat="false" ht="15" hidden="false" customHeight="true" outlineLevel="0" collapsed="false">
      <c r="A91" s="23" t="s">
        <v>765</v>
      </c>
      <c r="B91" s="24" t="n">
        <v>1</v>
      </c>
      <c r="C91" s="23" t="s">
        <v>413</v>
      </c>
      <c r="D91" s="23" t="s">
        <v>766</v>
      </c>
      <c r="E91" s="23" t="s">
        <v>767</v>
      </c>
      <c r="F91" s="23" t="s">
        <v>768</v>
      </c>
      <c r="G91" s="23" t="s">
        <v>171</v>
      </c>
    </row>
    <row r="92" customFormat="false" ht="15" hidden="false" customHeight="true" outlineLevel="0" collapsed="false">
      <c r="A92" s="23" t="s">
        <v>769</v>
      </c>
      <c r="B92" s="24" t="n">
        <v>1</v>
      </c>
      <c r="C92" s="23" t="s">
        <v>413</v>
      </c>
      <c r="D92" s="23" t="s">
        <v>770</v>
      </c>
      <c r="E92" s="23" t="s">
        <v>771</v>
      </c>
      <c r="F92" s="23" t="s">
        <v>772</v>
      </c>
      <c r="G92" s="23" t="s">
        <v>100</v>
      </c>
    </row>
    <row r="93" customFormat="false" ht="15" hidden="false" customHeight="true" outlineLevel="0" collapsed="false">
      <c r="A93" s="21" t="s">
        <v>773</v>
      </c>
      <c r="B93" s="22" t="n">
        <v>1</v>
      </c>
      <c r="C93" s="21" t="s">
        <v>407</v>
      </c>
      <c r="D93" s="21" t="s">
        <v>774</v>
      </c>
      <c r="E93" s="21" t="s">
        <v>648</v>
      </c>
      <c r="F93" s="21" t="s">
        <v>775</v>
      </c>
      <c r="G93" s="21" t="s">
        <v>100</v>
      </c>
    </row>
    <row r="94" customFormat="false" ht="15" hidden="false" customHeight="true" outlineLevel="0" collapsed="false">
      <c r="A94" s="23" t="s">
        <v>776</v>
      </c>
      <c r="B94" s="24" t="n">
        <v>1</v>
      </c>
      <c r="C94" s="23" t="s">
        <v>413</v>
      </c>
      <c r="D94" s="23" t="s">
        <v>777</v>
      </c>
      <c r="E94" s="23" t="s">
        <v>771</v>
      </c>
      <c r="F94" s="23" t="s">
        <v>778</v>
      </c>
      <c r="G94" s="23" t="s">
        <v>118</v>
      </c>
    </row>
    <row r="95" customFormat="false" ht="15" hidden="false" customHeight="true" outlineLevel="0" collapsed="false">
      <c r="A95" s="21" t="s">
        <v>779</v>
      </c>
      <c r="B95" s="22" t="n">
        <v>1</v>
      </c>
      <c r="C95" s="21" t="s">
        <v>407</v>
      </c>
      <c r="D95" s="21" t="s">
        <v>780</v>
      </c>
      <c r="E95" s="21" t="s">
        <v>781</v>
      </c>
      <c r="F95" s="21" t="s">
        <v>782</v>
      </c>
      <c r="G95" s="21" t="s">
        <v>174</v>
      </c>
    </row>
    <row r="96" customFormat="false" ht="15" hidden="false" customHeight="true" outlineLevel="0" collapsed="false">
      <c r="A96" s="21" t="s">
        <v>783</v>
      </c>
      <c r="B96" s="22" t="n">
        <v>1</v>
      </c>
      <c r="C96" s="21" t="s">
        <v>407</v>
      </c>
      <c r="D96" s="21" t="s">
        <v>784</v>
      </c>
      <c r="E96" s="21" t="s">
        <v>648</v>
      </c>
      <c r="F96" s="21" t="s">
        <v>785</v>
      </c>
      <c r="G96" s="21" t="s">
        <v>115</v>
      </c>
    </row>
    <row r="97" customFormat="false" ht="15" hidden="false" customHeight="true" outlineLevel="0" collapsed="false">
      <c r="A97" s="21" t="s">
        <v>786</v>
      </c>
      <c r="B97" s="22" t="n">
        <v>1</v>
      </c>
      <c r="C97" s="21" t="s">
        <v>407</v>
      </c>
      <c r="D97" s="21" t="s">
        <v>787</v>
      </c>
      <c r="E97" s="21" t="s">
        <v>788</v>
      </c>
      <c r="F97" s="21" t="s">
        <v>789</v>
      </c>
      <c r="G97" s="21" t="s">
        <v>174</v>
      </c>
    </row>
    <row r="98" customFormat="false" ht="15" hidden="false" customHeight="true" outlineLevel="0" collapsed="false">
      <c r="A98" s="21" t="s">
        <v>790</v>
      </c>
      <c r="B98" s="22" t="n">
        <v>1</v>
      </c>
      <c r="C98" s="21" t="s">
        <v>407</v>
      </c>
      <c r="D98" s="21" t="s">
        <v>791</v>
      </c>
      <c r="E98" s="21" t="s">
        <v>792</v>
      </c>
      <c r="F98" s="21" t="s">
        <v>793</v>
      </c>
      <c r="G98" s="21" t="s">
        <v>165</v>
      </c>
    </row>
    <row r="99" customFormat="false" ht="15" hidden="false" customHeight="true" outlineLevel="0" collapsed="false">
      <c r="A99" s="21" t="s">
        <v>794</v>
      </c>
      <c r="B99" s="22" t="n">
        <v>1</v>
      </c>
      <c r="C99" s="21" t="s">
        <v>407</v>
      </c>
      <c r="D99" s="21" t="s">
        <v>795</v>
      </c>
      <c r="E99" s="21" t="s">
        <v>796</v>
      </c>
      <c r="F99" s="21" t="s">
        <v>797</v>
      </c>
      <c r="G99" s="21" t="s">
        <v>165</v>
      </c>
    </row>
    <row r="100" customFormat="false" ht="15" hidden="false" customHeight="true" outlineLevel="0" collapsed="false">
      <c r="A100" s="21" t="s">
        <v>798</v>
      </c>
      <c r="B100" s="22" t="n">
        <v>1</v>
      </c>
      <c r="C100" s="21" t="s">
        <v>407</v>
      </c>
      <c r="D100" s="21" t="s">
        <v>799</v>
      </c>
      <c r="E100" s="21" t="s">
        <v>800</v>
      </c>
      <c r="F100" s="21" t="s">
        <v>801</v>
      </c>
      <c r="G100" s="21" t="s">
        <v>100</v>
      </c>
    </row>
    <row r="101" customFormat="false" ht="15" hidden="false" customHeight="true" outlineLevel="0" collapsed="false">
      <c r="A101" s="23" t="s">
        <v>802</v>
      </c>
      <c r="B101" s="24" t="n">
        <v>1</v>
      </c>
      <c r="C101" s="23" t="s">
        <v>413</v>
      </c>
      <c r="D101" s="23" t="s">
        <v>803</v>
      </c>
      <c r="E101" s="23" t="s">
        <v>804</v>
      </c>
      <c r="F101" s="23" t="s">
        <v>805</v>
      </c>
      <c r="G101" s="23" t="s">
        <v>91</v>
      </c>
    </row>
    <row r="102" customFormat="false" ht="15" hidden="false" customHeight="true" outlineLevel="0" collapsed="false">
      <c r="A102" s="21" t="s">
        <v>806</v>
      </c>
      <c r="B102" s="22" t="n">
        <v>1</v>
      </c>
      <c r="C102" s="21" t="s">
        <v>407</v>
      </c>
      <c r="D102" s="21" t="s">
        <v>807</v>
      </c>
      <c r="E102" s="21" t="s">
        <v>808</v>
      </c>
      <c r="F102" s="21" t="s">
        <v>809</v>
      </c>
      <c r="G102" s="21" t="s">
        <v>139</v>
      </c>
    </row>
    <row r="103" customFormat="false" ht="15" hidden="false" customHeight="true" outlineLevel="0" collapsed="false">
      <c r="A103" s="27" t="s">
        <v>810</v>
      </c>
      <c r="B103" s="28" t="n">
        <v>1</v>
      </c>
      <c r="C103" s="27" t="s">
        <v>667</v>
      </c>
      <c r="D103" s="27" t="s">
        <v>811</v>
      </c>
      <c r="E103" s="27" t="s">
        <v>812</v>
      </c>
      <c r="F103" s="27" t="s">
        <v>813</v>
      </c>
      <c r="G103" s="27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44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12" t="s">
        <v>814</v>
      </c>
    </row>
    <row r="2" customFormat="false" ht="15" hidden="false" customHeight="true" outlineLevel="0" collapsed="false">
      <c r="A2" s="5" t="s">
        <v>815</v>
      </c>
    </row>
    <row r="4" customFormat="false" ht="15" hidden="false" customHeight="true" outlineLevel="0" collapsed="false">
      <c r="A4" s="3" t="s">
        <v>816</v>
      </c>
    </row>
    <row r="5" customFormat="false" ht="15" hidden="false" customHeight="true" outlineLevel="0" collapsed="false">
      <c r="A5" s="13" t="s">
        <v>379</v>
      </c>
      <c r="B5" s="13" t="s">
        <v>817</v>
      </c>
      <c r="C5" s="13" t="s">
        <v>818</v>
      </c>
      <c r="D5" s="13" t="s">
        <v>819</v>
      </c>
    </row>
    <row r="6" customFormat="false" ht="15" hidden="false" customHeight="true" outlineLevel="0" collapsed="false">
      <c r="A6" s="8" t="s">
        <v>820</v>
      </c>
      <c r="B6" s="8" t="n">
        <v>27</v>
      </c>
      <c r="C6" s="11" t="n">
        <f aca="false">B6/SUM(B$6:B$11)</f>
        <v>0.421875</v>
      </c>
      <c r="D6" s="8" t="s">
        <v>821</v>
      </c>
    </row>
    <row r="7" customFormat="false" ht="15" hidden="false" customHeight="true" outlineLevel="0" collapsed="false">
      <c r="A7" s="8" t="s">
        <v>822</v>
      </c>
      <c r="B7" s="8" t="n">
        <v>11</v>
      </c>
      <c r="C7" s="11" t="n">
        <f aca="false">B7/SUM(B$6:B$11)</f>
        <v>0.171875</v>
      </c>
      <c r="D7" s="8" t="s">
        <v>823</v>
      </c>
    </row>
    <row r="8" customFormat="false" ht="15" hidden="false" customHeight="true" outlineLevel="0" collapsed="false">
      <c r="A8" s="8" t="s">
        <v>824</v>
      </c>
      <c r="B8" s="8" t="n">
        <v>15</v>
      </c>
      <c r="C8" s="11" t="n">
        <f aca="false">B8/SUM(B$6:B$11)</f>
        <v>0.234375</v>
      </c>
      <c r="D8" s="8" t="s">
        <v>825</v>
      </c>
    </row>
    <row r="9" customFormat="false" ht="15" hidden="false" customHeight="true" outlineLevel="0" collapsed="false">
      <c r="A9" s="8" t="s">
        <v>826</v>
      </c>
      <c r="B9" s="8" t="n">
        <v>7</v>
      </c>
      <c r="C9" s="11" t="n">
        <f aca="false">B9/SUM(B$6:B$11)</f>
        <v>0.109375</v>
      </c>
      <c r="D9" s="8" t="s">
        <v>827</v>
      </c>
    </row>
    <row r="10" customFormat="false" ht="15" hidden="false" customHeight="true" outlineLevel="0" collapsed="false">
      <c r="A10" s="8" t="s">
        <v>828</v>
      </c>
      <c r="B10" s="8" t="n">
        <v>3</v>
      </c>
      <c r="C10" s="11" t="n">
        <f aca="false">B10/SUM(B$6:B$11)</f>
        <v>0.046875</v>
      </c>
      <c r="D10" s="8" t="s">
        <v>829</v>
      </c>
    </row>
    <row r="11" customFormat="false" ht="15" hidden="false" customHeight="true" outlineLevel="0" collapsed="false">
      <c r="A11" s="8" t="s">
        <v>830</v>
      </c>
      <c r="B11" s="8" t="n">
        <v>1</v>
      </c>
      <c r="C11" s="11" t="n">
        <f aca="false">B11/SUM(B$6:B$11)</f>
        <v>0.015625</v>
      </c>
      <c r="D11" s="8" t="s">
        <v>831</v>
      </c>
    </row>
    <row r="12" customFormat="false" ht="15" hidden="false" customHeight="true" outlineLevel="0" collapsed="false">
      <c r="A12" s="15" t="s">
        <v>180</v>
      </c>
      <c r="B12" s="15" t="n">
        <f aca="false">SUM(B6:B11)</f>
        <v>64</v>
      </c>
      <c r="C12" s="15" t="s">
        <v>832</v>
      </c>
    </row>
    <row r="14" customFormat="false" ht="15" hidden="false" customHeight="true" outlineLevel="0" collapsed="false">
      <c r="A14" s="3" t="s">
        <v>833</v>
      </c>
    </row>
    <row r="15" customFormat="false" ht="15" hidden="false" customHeight="true" outlineLevel="0" collapsed="false">
      <c r="A15" s="13" t="s">
        <v>396</v>
      </c>
      <c r="B15" s="13" t="s">
        <v>397</v>
      </c>
      <c r="C15" s="13" t="s">
        <v>399</v>
      </c>
      <c r="D15" s="13" t="s">
        <v>374</v>
      </c>
    </row>
    <row r="16" customFormat="false" ht="15" hidden="false" customHeight="true" outlineLevel="0" collapsed="false">
      <c r="A16" s="8" t="s">
        <v>412</v>
      </c>
      <c r="B16" s="8" t="n">
        <v>20</v>
      </c>
      <c r="C16" s="8" t="s">
        <v>414</v>
      </c>
      <c r="D16" s="8" t="s">
        <v>415</v>
      </c>
    </row>
    <row r="17" customFormat="false" ht="15" hidden="false" customHeight="true" outlineLevel="0" collapsed="false">
      <c r="A17" s="8" t="s">
        <v>261</v>
      </c>
      <c r="B17" s="8" t="n">
        <v>17</v>
      </c>
      <c r="C17" s="8" t="s">
        <v>258</v>
      </c>
      <c r="D17" s="8" t="s">
        <v>422</v>
      </c>
    </row>
    <row r="18" customFormat="false" ht="15" hidden="false" customHeight="true" outlineLevel="0" collapsed="false">
      <c r="A18" s="8" t="s">
        <v>279</v>
      </c>
      <c r="B18" s="8" t="n">
        <v>16</v>
      </c>
      <c r="C18" s="8" t="s">
        <v>425</v>
      </c>
      <c r="D18" s="8" t="s">
        <v>426</v>
      </c>
    </row>
    <row r="19" customFormat="false" ht="15" hidden="false" customHeight="true" outlineLevel="0" collapsed="false">
      <c r="A19" s="8" t="s">
        <v>434</v>
      </c>
      <c r="B19" s="8" t="n">
        <v>14</v>
      </c>
      <c r="C19" s="8" t="s">
        <v>435</v>
      </c>
      <c r="D19" s="8" t="s">
        <v>436</v>
      </c>
    </row>
    <row r="20" customFormat="false" ht="15" hidden="false" customHeight="true" outlineLevel="0" collapsed="false">
      <c r="A20" s="8" t="s">
        <v>296</v>
      </c>
      <c r="B20" s="8" t="n">
        <v>12</v>
      </c>
      <c r="C20" s="8" t="s">
        <v>294</v>
      </c>
      <c r="D20" s="8" t="s">
        <v>439</v>
      </c>
    </row>
    <row r="21" customFormat="false" ht="15" hidden="false" customHeight="true" outlineLevel="0" collapsed="false">
      <c r="A21" s="8" t="s">
        <v>442</v>
      </c>
      <c r="B21" s="8" t="n">
        <v>12</v>
      </c>
      <c r="C21" s="8" t="s">
        <v>443</v>
      </c>
      <c r="D21" s="8" t="s">
        <v>444</v>
      </c>
    </row>
    <row r="22" customFormat="false" ht="15" hidden="false" customHeight="true" outlineLevel="0" collapsed="false">
      <c r="A22" s="8" t="s">
        <v>269</v>
      </c>
      <c r="B22" s="8" t="n">
        <v>10</v>
      </c>
      <c r="C22" s="8" t="s">
        <v>267</v>
      </c>
      <c r="D22" s="8" t="s">
        <v>447</v>
      </c>
    </row>
    <row r="23" customFormat="false" ht="15" hidden="false" customHeight="true" outlineLevel="0" collapsed="false">
      <c r="A23" s="8" t="s">
        <v>244</v>
      </c>
      <c r="B23" s="8" t="n">
        <v>9</v>
      </c>
      <c r="C23" s="8" t="s">
        <v>450</v>
      </c>
      <c r="D23" s="8" t="s">
        <v>451</v>
      </c>
    </row>
    <row r="24" customFormat="false" ht="15" hidden="false" customHeight="true" outlineLevel="0" collapsed="false">
      <c r="A24" s="8" t="s">
        <v>459</v>
      </c>
      <c r="B24" s="8" t="n">
        <v>8</v>
      </c>
      <c r="C24" s="8" t="s">
        <v>460</v>
      </c>
      <c r="D24" s="8" t="s">
        <v>461</v>
      </c>
    </row>
    <row r="25" customFormat="false" ht="15" hidden="false" customHeight="true" outlineLevel="0" collapsed="false">
      <c r="A25" s="8" t="s">
        <v>464</v>
      </c>
      <c r="B25" s="8" t="n">
        <v>7</v>
      </c>
      <c r="C25" s="8" t="s">
        <v>465</v>
      </c>
      <c r="D25" s="8" t="s">
        <v>466</v>
      </c>
    </row>
    <row r="26" customFormat="false" ht="15" hidden="false" customHeight="true" outlineLevel="0" collapsed="false">
      <c r="A26" s="8" t="s">
        <v>328</v>
      </c>
      <c r="B26" s="8" t="n">
        <v>7</v>
      </c>
      <c r="C26" s="8" t="s">
        <v>325</v>
      </c>
      <c r="D26" s="8" t="s">
        <v>469</v>
      </c>
    </row>
    <row r="27" customFormat="false" ht="15" hidden="false" customHeight="true" outlineLevel="0" collapsed="false">
      <c r="A27" s="8" t="s">
        <v>477</v>
      </c>
      <c r="B27" s="8" t="n">
        <v>6</v>
      </c>
      <c r="C27" s="8" t="s">
        <v>478</v>
      </c>
      <c r="D27" s="8" t="s">
        <v>479</v>
      </c>
    </row>
    <row r="28" customFormat="false" ht="15" hidden="false" customHeight="true" outlineLevel="0" collapsed="false">
      <c r="A28" s="8" t="s">
        <v>482</v>
      </c>
      <c r="B28" s="8" t="n">
        <v>6</v>
      </c>
      <c r="C28" s="8" t="s">
        <v>232</v>
      </c>
      <c r="D28" s="8" t="s">
        <v>483</v>
      </c>
    </row>
    <row r="29" customFormat="false" ht="15" hidden="false" customHeight="true" outlineLevel="0" collapsed="false">
      <c r="A29" s="8" t="s">
        <v>486</v>
      </c>
      <c r="B29" s="8" t="n">
        <v>6</v>
      </c>
      <c r="C29" s="8" t="s">
        <v>335</v>
      </c>
      <c r="D29" s="8" t="s">
        <v>487</v>
      </c>
    </row>
    <row r="30" customFormat="false" ht="15" hidden="false" customHeight="true" outlineLevel="0" collapsed="false">
      <c r="A30" s="8" t="s">
        <v>490</v>
      </c>
      <c r="B30" s="8" t="n">
        <v>6</v>
      </c>
      <c r="C30" s="8" t="s">
        <v>491</v>
      </c>
      <c r="D30" s="8" t="s">
        <v>492</v>
      </c>
    </row>
    <row r="31" customFormat="false" ht="15" hidden="false" customHeight="true" outlineLevel="0" collapsed="false">
      <c r="A31" s="8" t="s">
        <v>346</v>
      </c>
      <c r="B31" s="8" t="n">
        <v>6</v>
      </c>
      <c r="C31" s="8" t="s">
        <v>478</v>
      </c>
      <c r="D31" s="8" t="s">
        <v>495</v>
      </c>
    </row>
    <row r="32" customFormat="false" ht="15" hidden="false" customHeight="true" outlineLevel="0" collapsed="false">
      <c r="A32" s="8" t="s">
        <v>502</v>
      </c>
      <c r="B32" s="8" t="n">
        <v>6</v>
      </c>
      <c r="C32" s="8" t="s">
        <v>503</v>
      </c>
      <c r="D32" s="8" t="s">
        <v>504</v>
      </c>
    </row>
    <row r="33" customFormat="false" ht="15" hidden="false" customHeight="true" outlineLevel="0" collapsed="false">
      <c r="A33" s="8" t="s">
        <v>507</v>
      </c>
      <c r="B33" s="8" t="n">
        <v>6</v>
      </c>
      <c r="C33" s="8" t="s">
        <v>508</v>
      </c>
      <c r="D33" s="8" t="s">
        <v>509</v>
      </c>
    </row>
    <row r="34" customFormat="false" ht="15" hidden="false" customHeight="true" outlineLevel="0" collapsed="false">
      <c r="A34" s="8" t="s">
        <v>512</v>
      </c>
      <c r="B34" s="8" t="n">
        <v>6</v>
      </c>
      <c r="C34" s="8" t="s">
        <v>513</v>
      </c>
      <c r="D34" s="8" t="s">
        <v>514</v>
      </c>
    </row>
    <row r="35" customFormat="false" ht="15" hidden="false" customHeight="true" outlineLevel="0" collapsed="false">
      <c r="A35" s="8" t="s">
        <v>300</v>
      </c>
      <c r="B35" s="8" t="n">
        <v>6</v>
      </c>
      <c r="C35" s="8" t="s">
        <v>517</v>
      </c>
      <c r="D35" s="8" t="s">
        <v>518</v>
      </c>
    </row>
    <row r="36" customFormat="false" ht="15" hidden="false" customHeight="true" outlineLevel="0" collapsed="false">
      <c r="A36" s="8" t="s">
        <v>525</v>
      </c>
      <c r="B36" s="8" t="n">
        <v>5</v>
      </c>
      <c r="C36" s="8" t="s">
        <v>526</v>
      </c>
      <c r="D36" s="8" t="s">
        <v>527</v>
      </c>
    </row>
    <row r="37" customFormat="false" ht="15" hidden="false" customHeight="true" outlineLevel="0" collapsed="false">
      <c r="A37" s="8" t="s">
        <v>535</v>
      </c>
      <c r="B37" s="8" t="n">
        <v>5</v>
      </c>
      <c r="C37" s="8" t="s">
        <v>536</v>
      </c>
      <c r="D37" s="8" t="s">
        <v>537</v>
      </c>
    </row>
    <row r="38" customFormat="false" ht="15" hidden="false" customHeight="true" outlineLevel="0" collapsed="false">
      <c r="A38" s="8" t="s">
        <v>540</v>
      </c>
      <c r="B38" s="8" t="n">
        <v>4</v>
      </c>
      <c r="C38" s="8" t="s">
        <v>541</v>
      </c>
      <c r="D38" s="8" t="s">
        <v>542</v>
      </c>
    </row>
    <row r="39" customFormat="false" ht="15" hidden="false" customHeight="true" outlineLevel="0" collapsed="false">
      <c r="A39" s="8" t="s">
        <v>545</v>
      </c>
      <c r="B39" s="8" t="n">
        <v>4</v>
      </c>
      <c r="C39" s="8" t="s">
        <v>546</v>
      </c>
      <c r="D39" s="8" t="s">
        <v>547</v>
      </c>
    </row>
    <row r="40" customFormat="false" ht="15" hidden="false" customHeight="true" outlineLevel="0" collapsed="false">
      <c r="A40" s="8" t="s">
        <v>356</v>
      </c>
      <c r="B40" s="8" t="n">
        <v>4</v>
      </c>
      <c r="C40" s="8" t="s">
        <v>550</v>
      </c>
      <c r="D40" s="8" t="s">
        <v>551</v>
      </c>
    </row>
    <row r="43" customFormat="false" ht="15" hidden="false" customHeight="true" outlineLevel="0" collapsed="false">
      <c r="A43" s="3" t="s">
        <v>834</v>
      </c>
    </row>
    <row r="44" customFormat="false" ht="36" hidden="false" customHeight="true" outlineLevel="0" collapsed="false">
      <c r="A44" s="29" t="s">
        <v>835</v>
      </c>
      <c r="B44" s="29"/>
      <c r="C44" s="29"/>
      <c r="D44" s="29"/>
    </row>
    <row r="45" customFormat="false" ht="36" hidden="false" customHeight="true" outlineLevel="0" collapsed="false">
      <c r="A45" s="29" t="s">
        <v>836</v>
      </c>
      <c r="B45" s="29"/>
      <c r="C45" s="29"/>
      <c r="D45" s="29"/>
    </row>
    <row r="46" customFormat="false" ht="36" hidden="false" customHeight="true" outlineLevel="0" collapsed="false">
      <c r="A46" s="29" t="s">
        <v>837</v>
      </c>
      <c r="B46" s="29"/>
      <c r="C46" s="29"/>
      <c r="D46" s="29"/>
    </row>
    <row r="47" customFormat="false" ht="36" hidden="false" customHeight="true" outlineLevel="0" collapsed="false">
      <c r="A47" s="29" t="s">
        <v>838</v>
      </c>
      <c r="B47" s="29"/>
      <c r="C47" s="29"/>
      <c r="D47" s="29"/>
    </row>
    <row r="48" customFormat="false" ht="36" hidden="false" customHeight="true" outlineLevel="0" collapsed="false">
      <c r="A48" s="29" t="s">
        <v>839</v>
      </c>
      <c r="B48" s="29"/>
      <c r="C48" s="29"/>
      <c r="D48" s="29"/>
    </row>
    <row r="49" customFormat="false" ht="36" hidden="false" customHeight="true" outlineLevel="0" collapsed="false">
      <c r="A49" s="29" t="s">
        <v>840</v>
      </c>
      <c r="B49" s="29"/>
      <c r="C49" s="29"/>
      <c r="D49" s="29"/>
    </row>
    <row r="50" customFormat="false" ht="36" hidden="false" customHeight="true" outlineLevel="0" collapsed="false">
      <c r="A50" s="29" t="s">
        <v>841</v>
      </c>
      <c r="B50" s="29"/>
      <c r="C50" s="29"/>
      <c r="D50" s="29"/>
    </row>
    <row r="51" customFormat="false" ht="36" hidden="false" customHeight="true" outlineLevel="0" collapsed="false">
      <c r="A51" s="29" t="s">
        <v>842</v>
      </c>
      <c r="B51" s="29"/>
      <c r="C51" s="29"/>
      <c r="D51" s="29"/>
    </row>
  </sheetData>
  <mergeCells count="8">
    <mergeCell ref="A44:D44"/>
    <mergeCell ref="A45:D45"/>
    <mergeCell ref="A46:D46"/>
    <mergeCell ref="A47:D47"/>
    <mergeCell ref="A48:D48"/>
    <mergeCell ref="A49:D49"/>
    <mergeCell ref="A50:D50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30" t="s">
        <v>843</v>
      </c>
    </row>
    <row r="2" customFormat="false" ht="15" hidden="false" customHeight="false" outlineLevel="0" collapsed="false">
      <c r="A2" s="31" t="s">
        <v>844</v>
      </c>
    </row>
    <row r="3" customFormat="false" ht="15" hidden="false" customHeight="false" outlineLevel="0" collapsed="false">
      <c r="A3" s="32" t="s">
        <v>845</v>
      </c>
    </row>
    <row r="5" customFormat="false" ht="15" hidden="false" customHeight="false" outlineLevel="0" collapsed="false">
      <c r="A5" s="33" t="s">
        <v>396</v>
      </c>
      <c r="B5" s="33" t="s">
        <v>846</v>
      </c>
      <c r="C5" s="33" t="s">
        <v>397</v>
      </c>
      <c r="D5" s="33" t="s">
        <v>847</v>
      </c>
      <c r="E5" s="33" t="s">
        <v>848</v>
      </c>
      <c r="F5" s="33" t="s">
        <v>849</v>
      </c>
      <c r="G5" s="33" t="s">
        <v>850</v>
      </c>
      <c r="H5" s="33" t="s">
        <v>851</v>
      </c>
      <c r="I5" s="33" t="s">
        <v>374</v>
      </c>
    </row>
    <row r="6" customFormat="false" ht="15" hidden="false" customHeight="false" outlineLevel="0" collapsed="false">
      <c r="A6" s="34" t="s">
        <v>412</v>
      </c>
      <c r="B6" s="34" t="s">
        <v>414</v>
      </c>
      <c r="C6" s="34" t="n">
        <v>20</v>
      </c>
      <c r="D6" s="34" t="s">
        <v>53</v>
      </c>
      <c r="E6" s="34" t="n">
        <v>18</v>
      </c>
      <c r="F6" s="35" t="n">
        <v>1000</v>
      </c>
      <c r="G6" s="34" t="n">
        <v>1</v>
      </c>
      <c r="H6" s="35" t="n">
        <f aca="false">F6*G6</f>
        <v>1000</v>
      </c>
      <c r="I6" s="34" t="s">
        <v>852</v>
      </c>
    </row>
    <row r="7" customFormat="false" ht="15" hidden="false" customHeight="false" outlineLevel="0" collapsed="false">
      <c r="A7" s="34" t="s">
        <v>261</v>
      </c>
      <c r="B7" s="34" t="s">
        <v>258</v>
      </c>
      <c r="C7" s="34" t="n">
        <v>17</v>
      </c>
      <c r="D7" s="34" t="s">
        <v>50</v>
      </c>
      <c r="E7" s="34" t="n">
        <v>15</v>
      </c>
      <c r="F7" s="35" t="n">
        <v>600</v>
      </c>
      <c r="G7" s="34" t="n">
        <v>1</v>
      </c>
      <c r="H7" s="35" t="n">
        <f aca="false">F7*G7</f>
        <v>600</v>
      </c>
      <c r="I7" s="34" t="s">
        <v>853</v>
      </c>
    </row>
    <row r="8" customFormat="false" ht="15" hidden="false" customHeight="false" outlineLevel="0" collapsed="false">
      <c r="A8" s="34" t="s">
        <v>279</v>
      </c>
      <c r="B8" s="34" t="s">
        <v>425</v>
      </c>
      <c r="C8" s="34" t="n">
        <v>16</v>
      </c>
      <c r="D8" s="34" t="s">
        <v>68</v>
      </c>
      <c r="E8" s="34" t="n">
        <v>15</v>
      </c>
      <c r="F8" s="35" t="n">
        <v>2800</v>
      </c>
      <c r="G8" s="34" t="n">
        <v>2</v>
      </c>
      <c r="H8" s="35" t="n">
        <f aca="false">F8*G8</f>
        <v>5600</v>
      </c>
      <c r="I8" s="34" t="s">
        <v>854</v>
      </c>
    </row>
    <row r="9" customFormat="false" ht="15" hidden="false" customHeight="false" outlineLevel="0" collapsed="false">
      <c r="A9" s="34" t="s">
        <v>434</v>
      </c>
      <c r="B9" s="34" t="s">
        <v>435</v>
      </c>
      <c r="C9" s="34" t="n">
        <v>14</v>
      </c>
      <c r="D9" s="34" t="s">
        <v>62</v>
      </c>
      <c r="E9" s="34" t="n">
        <v>12</v>
      </c>
      <c r="F9" s="35" t="n">
        <v>1800</v>
      </c>
      <c r="G9" s="34" t="n">
        <v>1</v>
      </c>
      <c r="H9" s="35" t="n">
        <f aca="false">F9*G9</f>
        <v>1800</v>
      </c>
      <c r="I9" s="34" t="s">
        <v>855</v>
      </c>
    </row>
    <row r="10" customFormat="false" ht="15" hidden="false" customHeight="false" outlineLevel="0" collapsed="false">
      <c r="A10" s="34" t="s">
        <v>296</v>
      </c>
      <c r="B10" s="34" t="s">
        <v>294</v>
      </c>
      <c r="C10" s="34" t="n">
        <v>12</v>
      </c>
      <c r="D10" s="34" t="s">
        <v>68</v>
      </c>
      <c r="E10" s="34" t="n">
        <v>12</v>
      </c>
      <c r="F10" s="35" t="n">
        <v>2500</v>
      </c>
      <c r="G10" s="34" t="n">
        <v>1</v>
      </c>
      <c r="H10" s="35" t="n">
        <f aca="false">F10*G10</f>
        <v>2500</v>
      </c>
      <c r="I10" s="34" t="s">
        <v>856</v>
      </c>
    </row>
    <row r="11" customFormat="false" ht="15" hidden="false" customHeight="false" outlineLevel="0" collapsed="false">
      <c r="A11" s="34" t="s">
        <v>442</v>
      </c>
      <c r="B11" s="34" t="s">
        <v>443</v>
      </c>
      <c r="C11" s="34" t="n">
        <v>12</v>
      </c>
      <c r="D11" s="34" t="s">
        <v>53</v>
      </c>
      <c r="E11" s="34" t="n">
        <v>12</v>
      </c>
      <c r="F11" s="35" t="n">
        <v>800</v>
      </c>
      <c r="G11" s="34" t="n">
        <v>1</v>
      </c>
      <c r="H11" s="35" t="n">
        <f aca="false">F11*G11</f>
        <v>800</v>
      </c>
      <c r="I11" s="34" t="s">
        <v>857</v>
      </c>
    </row>
    <row r="12" customFormat="false" ht="15" hidden="false" customHeight="false" outlineLevel="0" collapsed="false">
      <c r="A12" s="34" t="s">
        <v>269</v>
      </c>
      <c r="B12" s="34" t="s">
        <v>267</v>
      </c>
      <c r="C12" s="34" t="n">
        <v>10</v>
      </c>
      <c r="D12" s="34" t="s">
        <v>59</v>
      </c>
      <c r="E12" s="34" t="n">
        <v>9</v>
      </c>
      <c r="F12" s="35" t="n">
        <v>1400</v>
      </c>
      <c r="G12" s="34" t="n">
        <v>1</v>
      </c>
      <c r="H12" s="35" t="n">
        <f aca="false">F12*G12</f>
        <v>1400</v>
      </c>
      <c r="I12" s="34" t="s">
        <v>267</v>
      </c>
    </row>
    <row r="13" customFormat="false" ht="15" hidden="false" customHeight="false" outlineLevel="0" collapsed="false">
      <c r="A13" s="34" t="s">
        <v>244</v>
      </c>
      <c r="B13" s="34" t="s">
        <v>450</v>
      </c>
      <c r="C13" s="34" t="n">
        <v>9</v>
      </c>
      <c r="D13" s="34" t="s">
        <v>59</v>
      </c>
      <c r="E13" s="34" t="n">
        <v>9</v>
      </c>
      <c r="F13" s="35" t="n">
        <v>1400</v>
      </c>
      <c r="G13" s="34" t="n">
        <v>1</v>
      </c>
      <c r="H13" s="35" t="n">
        <f aca="false">F13*G13</f>
        <v>1400</v>
      </c>
      <c r="I13" s="34" t="s">
        <v>858</v>
      </c>
    </row>
    <row r="14" customFormat="false" ht="15" hidden="false" customHeight="false" outlineLevel="0" collapsed="false">
      <c r="A14" s="34" t="s">
        <v>459</v>
      </c>
      <c r="B14" s="34" t="s">
        <v>460</v>
      </c>
      <c r="C14" s="34" t="n">
        <v>8</v>
      </c>
      <c r="D14" s="34" t="s">
        <v>53</v>
      </c>
      <c r="E14" s="34" t="n">
        <v>6</v>
      </c>
      <c r="F14" s="35" t="n">
        <v>560</v>
      </c>
      <c r="G14" s="34" t="n">
        <v>1</v>
      </c>
      <c r="H14" s="35" t="n">
        <f aca="false">F14*G14</f>
        <v>560</v>
      </c>
      <c r="I14" s="34" t="s">
        <v>859</v>
      </c>
    </row>
    <row r="15" customFormat="false" ht="15" hidden="false" customHeight="false" outlineLevel="0" collapsed="false">
      <c r="A15" s="34" t="s">
        <v>464</v>
      </c>
      <c r="B15" s="34" t="s">
        <v>465</v>
      </c>
      <c r="C15" s="34" t="n">
        <v>7</v>
      </c>
      <c r="D15" s="34" t="s">
        <v>53</v>
      </c>
      <c r="E15" s="34" t="n">
        <v>6</v>
      </c>
      <c r="F15" s="35" t="n">
        <v>560</v>
      </c>
      <c r="G15" s="34" t="n">
        <v>1</v>
      </c>
      <c r="H15" s="35" t="n">
        <f aca="false">F15*G15</f>
        <v>560</v>
      </c>
      <c r="I15" s="34" t="s">
        <v>860</v>
      </c>
    </row>
    <row r="16" customFormat="false" ht="15" hidden="false" customHeight="false" outlineLevel="0" collapsed="false">
      <c r="A16" s="34" t="s">
        <v>328</v>
      </c>
      <c r="B16" s="34" t="s">
        <v>325</v>
      </c>
      <c r="C16" s="34" t="n">
        <v>7</v>
      </c>
      <c r="D16" s="34" t="s">
        <v>56</v>
      </c>
      <c r="E16" s="34" t="n">
        <v>6</v>
      </c>
      <c r="F16" s="35" t="n">
        <v>1100</v>
      </c>
      <c r="G16" s="34" t="n">
        <v>1</v>
      </c>
      <c r="H16" s="35" t="n">
        <f aca="false">F16*G16</f>
        <v>1100</v>
      </c>
      <c r="I16" s="34" t="s">
        <v>326</v>
      </c>
    </row>
    <row r="17" customFormat="false" ht="15" hidden="false" customHeight="false" outlineLevel="0" collapsed="false">
      <c r="A17" s="34" t="s">
        <v>477</v>
      </c>
      <c r="B17" s="34" t="s">
        <v>478</v>
      </c>
      <c r="C17" s="34" t="n">
        <v>6</v>
      </c>
      <c r="D17" s="34" t="s">
        <v>53</v>
      </c>
      <c r="E17" s="34" t="n">
        <v>6</v>
      </c>
      <c r="F17" s="35" t="n">
        <v>560</v>
      </c>
      <c r="G17" s="34" t="n">
        <v>1</v>
      </c>
      <c r="H17" s="35" t="n">
        <f aca="false">F17*G17</f>
        <v>560</v>
      </c>
      <c r="I17" s="34" t="s">
        <v>861</v>
      </c>
    </row>
    <row r="18" customFormat="false" ht="15" hidden="false" customHeight="false" outlineLevel="0" collapsed="false">
      <c r="A18" s="34" t="s">
        <v>486</v>
      </c>
      <c r="B18" s="34" t="s">
        <v>335</v>
      </c>
      <c r="C18" s="34" t="n">
        <v>6</v>
      </c>
      <c r="D18" s="34" t="s">
        <v>53</v>
      </c>
      <c r="E18" s="34" t="n">
        <v>6</v>
      </c>
      <c r="F18" s="35" t="n">
        <v>560</v>
      </c>
      <c r="G18" s="34" t="n">
        <v>1</v>
      </c>
      <c r="H18" s="35" t="n">
        <f aca="false">F18*G18</f>
        <v>560</v>
      </c>
      <c r="I18" s="34" t="s">
        <v>862</v>
      </c>
    </row>
    <row r="19" customFormat="false" ht="15" hidden="false" customHeight="false" outlineLevel="0" collapsed="false">
      <c r="A19" s="34" t="s">
        <v>490</v>
      </c>
      <c r="B19" s="34" t="s">
        <v>491</v>
      </c>
      <c r="C19" s="34" t="n">
        <v>6</v>
      </c>
      <c r="D19" s="34" t="s">
        <v>53</v>
      </c>
      <c r="E19" s="34" t="n">
        <v>6</v>
      </c>
      <c r="F19" s="35" t="n">
        <v>560</v>
      </c>
      <c r="G19" s="34" t="n">
        <v>1</v>
      </c>
      <c r="H19" s="35" t="n">
        <f aca="false">F19*G19</f>
        <v>560</v>
      </c>
      <c r="I19" s="34" t="s">
        <v>863</v>
      </c>
    </row>
    <row r="20" customFormat="false" ht="15" hidden="false" customHeight="false" outlineLevel="0" collapsed="false">
      <c r="A20" s="34" t="s">
        <v>346</v>
      </c>
      <c r="B20" s="34" t="s">
        <v>478</v>
      </c>
      <c r="C20" s="34" t="n">
        <v>6</v>
      </c>
      <c r="D20" s="34" t="s">
        <v>53</v>
      </c>
      <c r="E20" s="34" t="n">
        <v>6</v>
      </c>
      <c r="F20" s="35" t="n">
        <v>560</v>
      </c>
      <c r="G20" s="34" t="n">
        <v>1</v>
      </c>
      <c r="H20" s="35" t="n">
        <f aca="false">F20*G20</f>
        <v>560</v>
      </c>
      <c r="I20" s="34" t="s">
        <v>864</v>
      </c>
    </row>
    <row r="21" customFormat="false" ht="15" hidden="false" customHeight="false" outlineLevel="0" collapsed="false">
      <c r="A21" s="34" t="s">
        <v>502</v>
      </c>
      <c r="B21" s="34" t="s">
        <v>503</v>
      </c>
      <c r="C21" s="34" t="n">
        <v>6</v>
      </c>
      <c r="D21" s="34" t="s">
        <v>53</v>
      </c>
      <c r="E21" s="34" t="n">
        <v>6</v>
      </c>
      <c r="F21" s="35" t="n">
        <v>560</v>
      </c>
      <c r="G21" s="34" t="n">
        <v>1</v>
      </c>
      <c r="H21" s="35" t="n">
        <f aca="false">F21*G21</f>
        <v>560</v>
      </c>
      <c r="I21" s="34" t="s">
        <v>865</v>
      </c>
    </row>
    <row r="22" customFormat="false" ht="15" hidden="false" customHeight="false" outlineLevel="0" collapsed="false">
      <c r="A22" s="34" t="s">
        <v>507</v>
      </c>
      <c r="B22" s="34" t="s">
        <v>508</v>
      </c>
      <c r="C22" s="34" t="n">
        <v>6</v>
      </c>
      <c r="D22" s="34" t="s">
        <v>53</v>
      </c>
      <c r="E22" s="34" t="n">
        <v>6</v>
      </c>
      <c r="F22" s="35" t="n">
        <v>560</v>
      </c>
      <c r="G22" s="34" t="n">
        <v>1</v>
      </c>
      <c r="H22" s="35" t="n">
        <f aca="false">F22*G22</f>
        <v>560</v>
      </c>
      <c r="I22" s="34" t="s">
        <v>866</v>
      </c>
    </row>
    <row r="23" customFormat="false" ht="15" hidden="false" customHeight="false" outlineLevel="0" collapsed="false">
      <c r="A23" s="34" t="s">
        <v>300</v>
      </c>
      <c r="B23" s="34" t="s">
        <v>517</v>
      </c>
      <c r="C23" s="34" t="n">
        <v>6</v>
      </c>
      <c r="D23" s="34" t="s">
        <v>59</v>
      </c>
      <c r="E23" s="34" t="n">
        <v>6</v>
      </c>
      <c r="F23" s="35" t="n">
        <v>1200</v>
      </c>
      <c r="G23" s="34" t="n">
        <v>1</v>
      </c>
      <c r="H23" s="35" t="n">
        <f aca="false">F23*G23</f>
        <v>1200</v>
      </c>
      <c r="I23" s="34" t="s">
        <v>867</v>
      </c>
    </row>
    <row r="24" customFormat="false" ht="15" hidden="false" customHeight="false" outlineLevel="0" collapsed="false">
      <c r="A24" s="34" t="s">
        <v>525</v>
      </c>
      <c r="B24" s="34" t="s">
        <v>526</v>
      </c>
      <c r="C24" s="34" t="n">
        <v>5</v>
      </c>
      <c r="D24" s="34" t="s">
        <v>50</v>
      </c>
      <c r="E24" s="34" t="n">
        <v>3</v>
      </c>
      <c r="F24" s="35" t="n">
        <v>260</v>
      </c>
      <c r="G24" s="34" t="n">
        <v>1</v>
      </c>
      <c r="H24" s="35" t="n">
        <f aca="false">F24*G24</f>
        <v>260</v>
      </c>
      <c r="I24" s="34" t="s">
        <v>868</v>
      </c>
    </row>
    <row r="25" customFormat="false" ht="15" hidden="false" customHeight="false" outlineLevel="0" collapsed="false">
      <c r="A25" s="34" t="s">
        <v>535</v>
      </c>
      <c r="B25" s="34" t="s">
        <v>536</v>
      </c>
      <c r="C25" s="34" t="n">
        <v>5</v>
      </c>
      <c r="D25" s="34" t="s">
        <v>53</v>
      </c>
      <c r="E25" s="34" t="n">
        <v>3</v>
      </c>
      <c r="F25" s="35" t="n">
        <v>360</v>
      </c>
      <c r="G25" s="34" t="n">
        <v>1</v>
      </c>
      <c r="H25" s="35" t="n">
        <f aca="false">F25*G25</f>
        <v>360</v>
      </c>
      <c r="I25" s="34" t="s">
        <v>869</v>
      </c>
    </row>
    <row r="26" customFormat="false" ht="15" hidden="false" customHeight="false" outlineLevel="0" collapsed="false">
      <c r="A26" s="34" t="s">
        <v>540</v>
      </c>
      <c r="B26" s="34" t="s">
        <v>541</v>
      </c>
      <c r="C26" s="34" t="n">
        <v>4</v>
      </c>
      <c r="D26" s="34" t="s">
        <v>53</v>
      </c>
      <c r="E26" s="34" t="n">
        <v>3</v>
      </c>
      <c r="F26" s="35" t="n">
        <v>360</v>
      </c>
      <c r="G26" s="34" t="n">
        <v>1</v>
      </c>
      <c r="H26" s="35" t="n">
        <f aca="false">F26*G26</f>
        <v>360</v>
      </c>
      <c r="I26" s="34" t="s">
        <v>870</v>
      </c>
    </row>
    <row r="27" customFormat="false" ht="15" hidden="false" customHeight="false" outlineLevel="0" collapsed="false">
      <c r="A27" s="34" t="s">
        <v>545</v>
      </c>
      <c r="B27" s="34" t="s">
        <v>546</v>
      </c>
      <c r="C27" s="34" t="n">
        <v>4</v>
      </c>
      <c r="D27" s="34" t="s">
        <v>53</v>
      </c>
      <c r="E27" s="34" t="n">
        <v>3</v>
      </c>
      <c r="F27" s="35" t="n">
        <v>360</v>
      </c>
      <c r="G27" s="34" t="n">
        <v>1</v>
      </c>
      <c r="H27" s="35" t="n">
        <f aca="false">F27*G27</f>
        <v>360</v>
      </c>
      <c r="I27" s="34" t="s">
        <v>871</v>
      </c>
    </row>
    <row r="28" customFormat="false" ht="15" hidden="false" customHeight="false" outlineLevel="0" collapsed="false">
      <c r="A28" s="34" t="s">
        <v>356</v>
      </c>
      <c r="B28" s="34" t="s">
        <v>550</v>
      </c>
      <c r="C28" s="34" t="n">
        <v>4</v>
      </c>
      <c r="D28" s="34" t="s">
        <v>62</v>
      </c>
      <c r="E28" s="34" t="n">
        <v>3</v>
      </c>
      <c r="F28" s="35" t="n">
        <v>860</v>
      </c>
      <c r="G28" s="34" t="n">
        <v>1</v>
      </c>
      <c r="H28" s="35" t="n">
        <f aca="false">F28*G28</f>
        <v>860</v>
      </c>
      <c r="I28" s="34" t="s">
        <v>872</v>
      </c>
    </row>
    <row r="29" customFormat="false" ht="15" hidden="false" customHeight="false" outlineLevel="0" collapsed="false">
      <c r="A29" s="34" t="s">
        <v>559</v>
      </c>
      <c r="B29" s="34" t="s">
        <v>560</v>
      </c>
      <c r="C29" s="34" t="n">
        <v>4</v>
      </c>
      <c r="D29" s="34" t="s">
        <v>53</v>
      </c>
      <c r="E29" s="34" t="n">
        <v>3</v>
      </c>
      <c r="F29" s="35" t="n">
        <v>360</v>
      </c>
      <c r="G29" s="34" t="n">
        <v>1</v>
      </c>
      <c r="H29" s="35" t="n">
        <f aca="false">F29*G29</f>
        <v>360</v>
      </c>
      <c r="I29" s="34" t="s">
        <v>873</v>
      </c>
    </row>
    <row r="30" customFormat="false" ht="15" hidden="false" customHeight="false" outlineLevel="0" collapsed="false">
      <c r="A30" s="34" t="s">
        <v>564</v>
      </c>
      <c r="B30" s="34" t="s">
        <v>565</v>
      </c>
      <c r="C30" s="34" t="n">
        <v>3</v>
      </c>
      <c r="D30" s="34" t="s">
        <v>53</v>
      </c>
      <c r="E30" s="34" t="n">
        <v>3</v>
      </c>
      <c r="F30" s="35" t="n">
        <v>360</v>
      </c>
      <c r="G30" s="34" t="n">
        <v>1</v>
      </c>
      <c r="H30" s="35" t="n">
        <f aca="false">F30*G30</f>
        <v>360</v>
      </c>
      <c r="I30" s="34" t="s">
        <v>874</v>
      </c>
    </row>
    <row r="31" customFormat="false" ht="15" hidden="false" customHeight="false" outlineLevel="0" collapsed="false">
      <c r="A31" s="34" t="s">
        <v>569</v>
      </c>
      <c r="B31" s="34" t="s">
        <v>570</v>
      </c>
      <c r="C31" s="34" t="n">
        <v>3</v>
      </c>
      <c r="D31" s="34" t="s">
        <v>53</v>
      </c>
      <c r="E31" s="34" t="n">
        <v>3</v>
      </c>
      <c r="F31" s="35" t="n">
        <v>360</v>
      </c>
      <c r="G31" s="34" t="n">
        <v>1</v>
      </c>
      <c r="H31" s="35" t="n">
        <f aca="false">F31*G31</f>
        <v>360</v>
      </c>
      <c r="I31" s="34" t="s">
        <v>875</v>
      </c>
    </row>
    <row r="32" customFormat="false" ht="15" hidden="false" customHeight="false" outlineLevel="0" collapsed="false">
      <c r="A32" s="34" t="s">
        <v>574</v>
      </c>
      <c r="B32" s="34" t="s">
        <v>575</v>
      </c>
      <c r="C32" s="34" t="n">
        <v>3</v>
      </c>
      <c r="D32" s="34" t="s">
        <v>50</v>
      </c>
      <c r="E32" s="34" t="n">
        <v>3</v>
      </c>
      <c r="F32" s="35" t="n">
        <v>260</v>
      </c>
      <c r="G32" s="34" t="n">
        <v>1</v>
      </c>
      <c r="H32" s="35" t="n">
        <f aca="false">F32*G32</f>
        <v>260</v>
      </c>
      <c r="I32" s="34" t="s">
        <v>876</v>
      </c>
    </row>
    <row r="33" customFormat="false" ht="15" hidden="false" customHeight="false" outlineLevel="0" collapsed="false">
      <c r="A33" s="34" t="s">
        <v>579</v>
      </c>
      <c r="B33" s="34" t="s">
        <v>580</v>
      </c>
      <c r="C33" s="34" t="n">
        <v>3</v>
      </c>
      <c r="D33" s="34" t="s">
        <v>50</v>
      </c>
      <c r="E33" s="34" t="n">
        <v>3</v>
      </c>
      <c r="F33" s="35" t="n">
        <v>260</v>
      </c>
      <c r="G33" s="34" t="n">
        <v>1</v>
      </c>
      <c r="H33" s="35" t="n">
        <f aca="false">F33*G33</f>
        <v>260</v>
      </c>
      <c r="I33" s="34" t="s">
        <v>877</v>
      </c>
    </row>
    <row r="34" customFormat="false" ht="15" hidden="false" customHeight="false" outlineLevel="0" collapsed="false">
      <c r="A34" s="34" t="s">
        <v>363</v>
      </c>
      <c r="B34" s="34" t="s">
        <v>360</v>
      </c>
      <c r="C34" s="34" t="n">
        <v>3</v>
      </c>
      <c r="D34" s="34" t="s">
        <v>74</v>
      </c>
      <c r="E34" s="34" t="n">
        <v>3</v>
      </c>
      <c r="F34" s="35" t="n">
        <v>1200</v>
      </c>
      <c r="G34" s="34" t="n">
        <v>1</v>
      </c>
      <c r="H34" s="35" t="n">
        <f aca="false">F34*G34</f>
        <v>1200</v>
      </c>
      <c r="I34" s="34" t="s">
        <v>878</v>
      </c>
    </row>
    <row r="35" customFormat="false" ht="15" hidden="false" customHeight="false" outlineLevel="0" collapsed="false">
      <c r="A35" s="34" t="s">
        <v>602</v>
      </c>
      <c r="B35" s="34" t="s">
        <v>603</v>
      </c>
      <c r="C35" s="34" t="n">
        <v>3</v>
      </c>
      <c r="D35" s="34" t="s">
        <v>53</v>
      </c>
      <c r="E35" s="34" t="n">
        <v>3</v>
      </c>
      <c r="F35" s="35" t="n">
        <v>360</v>
      </c>
      <c r="G35" s="34" t="n">
        <v>1</v>
      </c>
      <c r="H35" s="35" t="n">
        <f aca="false">F35*G35</f>
        <v>360</v>
      </c>
      <c r="I35" s="34" t="s">
        <v>879</v>
      </c>
    </row>
    <row r="36" customFormat="false" ht="15" hidden="false" customHeight="false" outlineLevel="0" collapsed="false">
      <c r="A36" s="34" t="s">
        <v>615</v>
      </c>
      <c r="B36" s="34" t="s">
        <v>616</v>
      </c>
      <c r="C36" s="34" t="n">
        <v>2</v>
      </c>
      <c r="D36" s="34" t="s">
        <v>53</v>
      </c>
      <c r="E36" s="34" t="n">
        <v>1</v>
      </c>
      <c r="F36" s="35" t="n">
        <v>150</v>
      </c>
      <c r="G36" s="34" t="n">
        <v>1</v>
      </c>
      <c r="H36" s="35" t="n">
        <f aca="false">F36*G36</f>
        <v>150</v>
      </c>
      <c r="I36" s="34" t="s">
        <v>880</v>
      </c>
    </row>
    <row r="37" customFormat="false" ht="15" hidden="false" customHeight="false" outlineLevel="0" collapsed="false">
      <c r="A37" s="34" t="s">
        <v>620</v>
      </c>
      <c r="B37" s="34" t="s">
        <v>621</v>
      </c>
      <c r="C37" s="34" t="n">
        <v>2</v>
      </c>
      <c r="D37" s="34" t="s">
        <v>53</v>
      </c>
      <c r="E37" s="34" t="n">
        <v>1</v>
      </c>
      <c r="F37" s="35" t="n">
        <v>150</v>
      </c>
      <c r="G37" s="34" t="n">
        <v>1</v>
      </c>
      <c r="H37" s="35" t="n">
        <f aca="false">F37*G37</f>
        <v>150</v>
      </c>
      <c r="I37" s="34" t="s">
        <v>881</v>
      </c>
    </row>
    <row r="38" customFormat="false" ht="15" hidden="false" customHeight="false" outlineLevel="0" collapsed="false">
      <c r="A38" s="34" t="s">
        <v>634</v>
      </c>
      <c r="B38" s="34" t="s">
        <v>635</v>
      </c>
      <c r="C38" s="34" t="n">
        <v>1</v>
      </c>
      <c r="D38" s="34" t="s">
        <v>53</v>
      </c>
      <c r="E38" s="34" t="n">
        <v>1</v>
      </c>
      <c r="F38" s="35" t="n">
        <v>150</v>
      </c>
      <c r="G38" s="34" t="n">
        <v>1</v>
      </c>
      <c r="H38" s="35" t="n">
        <f aca="false">F38*G38</f>
        <v>150</v>
      </c>
      <c r="I38" s="34" t="s">
        <v>882</v>
      </c>
    </row>
    <row r="39" customFormat="false" ht="15" hidden="false" customHeight="false" outlineLevel="0" collapsed="false">
      <c r="A39" s="34" t="s">
        <v>638</v>
      </c>
      <c r="B39" s="34" t="s">
        <v>639</v>
      </c>
      <c r="C39" s="34" t="n">
        <v>1</v>
      </c>
      <c r="D39" s="34" t="s">
        <v>53</v>
      </c>
      <c r="E39" s="34" t="n">
        <v>1</v>
      </c>
      <c r="F39" s="35" t="n">
        <v>150</v>
      </c>
      <c r="G39" s="34" t="n">
        <v>1</v>
      </c>
      <c r="H39" s="35" t="n">
        <f aca="false">F39*G39</f>
        <v>150</v>
      </c>
      <c r="I39" s="34" t="s">
        <v>883</v>
      </c>
    </row>
    <row r="40" customFormat="false" ht="15" hidden="false" customHeight="false" outlineLevel="0" collapsed="false">
      <c r="A40" s="34" t="s">
        <v>642</v>
      </c>
      <c r="B40" s="34" t="s">
        <v>643</v>
      </c>
      <c r="C40" s="34" t="n">
        <v>1</v>
      </c>
      <c r="D40" s="34" t="s">
        <v>53</v>
      </c>
      <c r="E40" s="34" t="n">
        <v>1</v>
      </c>
      <c r="F40" s="35" t="n">
        <v>150</v>
      </c>
      <c r="G40" s="34" t="n">
        <v>1</v>
      </c>
      <c r="H40" s="35" t="n">
        <f aca="false">F40*G40</f>
        <v>150</v>
      </c>
      <c r="I40" s="34" t="s">
        <v>884</v>
      </c>
    </row>
    <row r="41" customFormat="false" ht="15" hidden="false" customHeight="false" outlineLevel="0" collapsed="false">
      <c r="A41" s="34" t="s">
        <v>650</v>
      </c>
      <c r="B41" s="34" t="s">
        <v>651</v>
      </c>
      <c r="C41" s="34" t="n">
        <v>1</v>
      </c>
      <c r="D41" s="34" t="s">
        <v>53</v>
      </c>
      <c r="E41" s="34" t="n">
        <v>1</v>
      </c>
      <c r="F41" s="35" t="n">
        <v>150</v>
      </c>
      <c r="G41" s="34" t="n">
        <v>1</v>
      </c>
      <c r="H41" s="35" t="n">
        <f aca="false">F41*G41</f>
        <v>150</v>
      </c>
      <c r="I41" s="34" t="s">
        <v>885</v>
      </c>
    </row>
    <row r="42" customFormat="false" ht="15" hidden="false" customHeight="false" outlineLevel="0" collapsed="false">
      <c r="A42" s="34" t="s">
        <v>662</v>
      </c>
      <c r="B42" s="34" t="s">
        <v>663</v>
      </c>
      <c r="C42" s="34" t="n">
        <v>1</v>
      </c>
      <c r="D42" s="34" t="s">
        <v>53</v>
      </c>
      <c r="E42" s="34" t="n">
        <v>1</v>
      </c>
      <c r="F42" s="35" t="n">
        <v>150</v>
      </c>
      <c r="G42" s="34" t="n">
        <v>1</v>
      </c>
      <c r="H42" s="35" t="n">
        <f aca="false">F42*G42</f>
        <v>150</v>
      </c>
      <c r="I42" s="34" t="s">
        <v>886</v>
      </c>
    </row>
    <row r="43" customFormat="false" ht="15" hidden="false" customHeight="false" outlineLevel="0" collapsed="false">
      <c r="A43" s="34" t="s">
        <v>322</v>
      </c>
      <c r="B43" s="34" t="s">
        <v>319</v>
      </c>
      <c r="C43" s="34" t="n">
        <v>1</v>
      </c>
      <c r="D43" s="34" t="s">
        <v>62</v>
      </c>
      <c r="E43" s="34" t="n">
        <v>1</v>
      </c>
      <c r="F43" s="35" t="n">
        <v>360</v>
      </c>
      <c r="G43" s="34" t="n">
        <v>1</v>
      </c>
      <c r="H43" s="35" t="n">
        <f aca="false">F43*G43</f>
        <v>360</v>
      </c>
      <c r="I43" s="34" t="s">
        <v>887</v>
      </c>
    </row>
    <row r="44" customFormat="false" ht="15" hidden="false" customHeight="false" outlineLevel="0" collapsed="false">
      <c r="A44" s="34" t="s">
        <v>673</v>
      </c>
      <c r="B44" s="34" t="s">
        <v>674</v>
      </c>
      <c r="C44" s="34" t="n">
        <v>1</v>
      </c>
      <c r="D44" s="34" t="s">
        <v>53</v>
      </c>
      <c r="E44" s="34" t="n">
        <v>1</v>
      </c>
      <c r="F44" s="35" t="n">
        <v>150</v>
      </c>
      <c r="G44" s="34" t="n">
        <v>1</v>
      </c>
      <c r="H44" s="35" t="n">
        <f aca="false">F44*G44</f>
        <v>150</v>
      </c>
      <c r="I44" s="34" t="s">
        <v>888</v>
      </c>
    </row>
    <row r="45" customFormat="false" ht="15" hidden="false" customHeight="false" outlineLevel="0" collapsed="false">
      <c r="A45" s="34" t="s">
        <v>677</v>
      </c>
      <c r="B45" s="34" t="s">
        <v>678</v>
      </c>
      <c r="C45" s="34" t="n">
        <v>1</v>
      </c>
      <c r="D45" s="34" t="s">
        <v>53</v>
      </c>
      <c r="E45" s="34" t="n">
        <v>1</v>
      </c>
      <c r="F45" s="35" t="n">
        <v>150</v>
      </c>
      <c r="G45" s="34" t="n">
        <v>1</v>
      </c>
      <c r="H45" s="35" t="n">
        <f aca="false">F45*G45</f>
        <v>150</v>
      </c>
      <c r="I45" s="34" t="s">
        <v>889</v>
      </c>
    </row>
    <row r="46" customFormat="false" ht="15" hidden="false" customHeight="false" outlineLevel="0" collapsed="false">
      <c r="A46" s="34" t="s">
        <v>685</v>
      </c>
      <c r="B46" s="34" t="s">
        <v>686</v>
      </c>
      <c r="C46" s="34" t="n">
        <v>1</v>
      </c>
      <c r="D46" s="34" t="s">
        <v>53</v>
      </c>
      <c r="E46" s="34" t="n">
        <v>1</v>
      </c>
      <c r="F46" s="35" t="n">
        <v>150</v>
      </c>
      <c r="G46" s="34" t="n">
        <v>1</v>
      </c>
      <c r="H46" s="35" t="n">
        <f aca="false">F46*G46</f>
        <v>150</v>
      </c>
      <c r="I46" s="34" t="s">
        <v>890</v>
      </c>
    </row>
    <row r="47" customFormat="false" ht="15" hidden="false" customHeight="false" outlineLevel="0" collapsed="false">
      <c r="A47" s="34" t="s">
        <v>696</v>
      </c>
      <c r="B47" s="34" t="s">
        <v>697</v>
      </c>
      <c r="C47" s="34" t="n">
        <v>1</v>
      </c>
      <c r="D47" s="34" t="s">
        <v>53</v>
      </c>
      <c r="E47" s="34" t="n">
        <v>1</v>
      </c>
      <c r="F47" s="35" t="n">
        <v>150</v>
      </c>
      <c r="G47" s="34" t="n">
        <v>1</v>
      </c>
      <c r="H47" s="35" t="n">
        <f aca="false">F47*G47</f>
        <v>150</v>
      </c>
      <c r="I47" s="34" t="s">
        <v>891</v>
      </c>
    </row>
    <row r="48" customFormat="false" ht="15" hidden="false" customHeight="false" outlineLevel="0" collapsed="false">
      <c r="A48" s="34" t="s">
        <v>700</v>
      </c>
      <c r="B48" s="34" t="s">
        <v>701</v>
      </c>
      <c r="C48" s="34" t="n">
        <v>1</v>
      </c>
      <c r="D48" s="34" t="s">
        <v>53</v>
      </c>
      <c r="E48" s="34" t="n">
        <v>1</v>
      </c>
      <c r="F48" s="35" t="n">
        <v>150</v>
      </c>
      <c r="G48" s="34" t="n">
        <v>1</v>
      </c>
      <c r="H48" s="35" t="n">
        <f aca="false">F48*G48</f>
        <v>150</v>
      </c>
      <c r="I48" s="34" t="s">
        <v>892</v>
      </c>
    </row>
    <row r="49" customFormat="false" ht="15" hidden="false" customHeight="false" outlineLevel="0" collapsed="false">
      <c r="A49" s="34" t="s">
        <v>706</v>
      </c>
      <c r="B49" s="34" t="s">
        <v>707</v>
      </c>
      <c r="C49" s="34" t="n">
        <v>1</v>
      </c>
      <c r="D49" s="34" t="s">
        <v>53</v>
      </c>
      <c r="E49" s="34" t="n">
        <v>1</v>
      </c>
      <c r="F49" s="35" t="n">
        <v>150</v>
      </c>
      <c r="G49" s="34" t="n">
        <v>1</v>
      </c>
      <c r="H49" s="35" t="n">
        <f aca="false">F49*G49</f>
        <v>150</v>
      </c>
      <c r="I49" s="34" t="s">
        <v>893</v>
      </c>
    </row>
    <row r="50" customFormat="false" ht="15" hidden="false" customHeight="false" outlineLevel="0" collapsed="false">
      <c r="A50" s="34" t="s">
        <v>710</v>
      </c>
      <c r="B50" s="34" t="s">
        <v>711</v>
      </c>
      <c r="C50" s="34" t="n">
        <v>1</v>
      </c>
      <c r="D50" s="34" t="s">
        <v>53</v>
      </c>
      <c r="E50" s="34" t="n">
        <v>1</v>
      </c>
      <c r="F50" s="35" t="n">
        <v>150</v>
      </c>
      <c r="G50" s="34" t="n">
        <v>1</v>
      </c>
      <c r="H50" s="35" t="n">
        <f aca="false">F50*G50</f>
        <v>150</v>
      </c>
      <c r="I50" s="34" t="s">
        <v>894</v>
      </c>
    </row>
    <row r="51" customFormat="false" ht="15" hidden="false" customHeight="false" outlineLevel="0" collapsed="false">
      <c r="A51" s="34" t="s">
        <v>718</v>
      </c>
      <c r="B51" s="34" t="s">
        <v>719</v>
      </c>
      <c r="C51" s="34" t="n">
        <v>1</v>
      </c>
      <c r="D51" s="34" t="s">
        <v>53</v>
      </c>
      <c r="E51" s="34" t="n">
        <v>1</v>
      </c>
      <c r="F51" s="35" t="n">
        <v>150</v>
      </c>
      <c r="G51" s="34" t="n">
        <v>1</v>
      </c>
      <c r="H51" s="35" t="n">
        <f aca="false">F51*G51</f>
        <v>150</v>
      </c>
      <c r="I51" s="34" t="s">
        <v>895</v>
      </c>
    </row>
    <row r="52" customFormat="false" ht="15" hidden="false" customHeight="false" outlineLevel="0" collapsed="false">
      <c r="A52" s="34" t="s">
        <v>722</v>
      </c>
      <c r="B52" s="34" t="s">
        <v>723</v>
      </c>
      <c r="C52" s="34" t="n">
        <v>1</v>
      </c>
      <c r="D52" s="34" t="s">
        <v>53</v>
      </c>
      <c r="E52" s="34" t="n">
        <v>1</v>
      </c>
      <c r="F52" s="35" t="n">
        <v>150</v>
      </c>
      <c r="G52" s="34" t="n">
        <v>1</v>
      </c>
      <c r="H52" s="35" t="n">
        <f aca="false">F52*G52</f>
        <v>150</v>
      </c>
      <c r="I52" s="34" t="s">
        <v>896</v>
      </c>
    </row>
    <row r="53" customFormat="false" ht="15" hidden="false" customHeight="false" outlineLevel="0" collapsed="false">
      <c r="A53" s="34" t="s">
        <v>726</v>
      </c>
      <c r="B53" s="34" t="s">
        <v>727</v>
      </c>
      <c r="C53" s="34" t="n">
        <v>1</v>
      </c>
      <c r="D53" s="34" t="s">
        <v>53</v>
      </c>
      <c r="E53" s="34" t="n">
        <v>1</v>
      </c>
      <c r="F53" s="35" t="n">
        <v>150</v>
      </c>
      <c r="G53" s="34" t="n">
        <v>1</v>
      </c>
      <c r="H53" s="35" t="n">
        <f aca="false">F53*G53</f>
        <v>150</v>
      </c>
      <c r="I53" s="34" t="s">
        <v>897</v>
      </c>
    </row>
    <row r="54" customFormat="false" ht="15" hidden="false" customHeight="false" outlineLevel="0" collapsed="false">
      <c r="A54" s="34" t="s">
        <v>730</v>
      </c>
      <c r="B54" s="34" t="s">
        <v>731</v>
      </c>
      <c r="C54" s="34" t="n">
        <v>1</v>
      </c>
      <c r="D54" s="34" t="s">
        <v>53</v>
      </c>
      <c r="E54" s="34" t="n">
        <v>1</v>
      </c>
      <c r="F54" s="35" t="n">
        <v>150</v>
      </c>
      <c r="G54" s="34" t="n">
        <v>1</v>
      </c>
      <c r="H54" s="35" t="n">
        <f aca="false">F54*G54</f>
        <v>150</v>
      </c>
      <c r="I54" s="34" t="s">
        <v>898</v>
      </c>
    </row>
    <row r="55" customFormat="false" ht="15" hidden="false" customHeight="false" outlineLevel="0" collapsed="false">
      <c r="A55" s="34" t="s">
        <v>734</v>
      </c>
      <c r="B55" s="34" t="s">
        <v>735</v>
      </c>
      <c r="C55" s="34" t="n">
        <v>1</v>
      </c>
      <c r="D55" s="34" t="s">
        <v>53</v>
      </c>
      <c r="E55" s="34" t="n">
        <v>1</v>
      </c>
      <c r="F55" s="35" t="n">
        <v>150</v>
      </c>
      <c r="G55" s="34" t="n">
        <v>1</v>
      </c>
      <c r="H55" s="35" t="n">
        <f aca="false">F55*G55</f>
        <v>150</v>
      </c>
      <c r="I55" s="34" t="s">
        <v>899</v>
      </c>
    </row>
    <row r="56" customFormat="false" ht="15" hidden="false" customHeight="false" outlineLevel="0" collapsed="false">
      <c r="A56" s="34" t="s">
        <v>738</v>
      </c>
      <c r="B56" s="34" t="s">
        <v>739</v>
      </c>
      <c r="C56" s="34" t="n">
        <v>1</v>
      </c>
      <c r="D56" s="34" t="s">
        <v>53</v>
      </c>
      <c r="E56" s="34" t="n">
        <v>1</v>
      </c>
      <c r="F56" s="35" t="n">
        <v>150</v>
      </c>
      <c r="G56" s="34" t="n">
        <v>1</v>
      </c>
      <c r="H56" s="35" t="n">
        <f aca="false">F56*G56</f>
        <v>150</v>
      </c>
      <c r="I56" s="34" t="s">
        <v>900</v>
      </c>
    </row>
    <row r="57" customFormat="false" ht="15" hidden="false" customHeight="false" outlineLevel="0" collapsed="false">
      <c r="A57" s="34" t="s">
        <v>742</v>
      </c>
      <c r="B57" s="34" t="s">
        <v>743</v>
      </c>
      <c r="C57" s="34" t="n">
        <v>1</v>
      </c>
      <c r="D57" s="34" t="s">
        <v>53</v>
      </c>
      <c r="E57" s="34" t="n">
        <v>1</v>
      </c>
      <c r="F57" s="35" t="n">
        <v>150</v>
      </c>
      <c r="G57" s="34" t="n">
        <v>1</v>
      </c>
      <c r="H57" s="35" t="n">
        <f aca="false">F57*G57</f>
        <v>150</v>
      </c>
      <c r="I57" s="34" t="s">
        <v>901</v>
      </c>
    </row>
    <row r="58" customFormat="false" ht="15" hidden="false" customHeight="false" outlineLevel="0" collapsed="false">
      <c r="A58" s="34" t="s">
        <v>765</v>
      </c>
      <c r="B58" s="34" t="s">
        <v>766</v>
      </c>
      <c r="C58" s="34" t="n">
        <v>1</v>
      </c>
      <c r="D58" s="34" t="s">
        <v>53</v>
      </c>
      <c r="E58" s="34" t="n">
        <v>1</v>
      </c>
      <c r="F58" s="35" t="n">
        <v>150</v>
      </c>
      <c r="G58" s="34" t="n">
        <v>1</v>
      </c>
      <c r="H58" s="35" t="n">
        <f aca="false">F58*G58</f>
        <v>150</v>
      </c>
      <c r="I58" s="34" t="s">
        <v>902</v>
      </c>
    </row>
    <row r="59" customFormat="false" ht="15" hidden="false" customHeight="false" outlineLevel="0" collapsed="false">
      <c r="A59" s="34" t="s">
        <v>802</v>
      </c>
      <c r="B59" s="34" t="s">
        <v>803</v>
      </c>
      <c r="C59" s="34" t="n">
        <v>1</v>
      </c>
      <c r="D59" s="34" t="s">
        <v>53</v>
      </c>
      <c r="E59" s="34" t="n">
        <v>1</v>
      </c>
      <c r="F59" s="35" t="n">
        <v>150</v>
      </c>
      <c r="G59" s="34" t="n">
        <v>1</v>
      </c>
      <c r="H59" s="35" t="n">
        <f aca="false">F59*G59</f>
        <v>150</v>
      </c>
      <c r="I59" s="34" t="s">
        <v>903</v>
      </c>
    </row>
    <row r="60" customFormat="false" ht="15" hidden="false" customHeight="false" outlineLevel="0" collapsed="false">
      <c r="B60" s="36" t="s">
        <v>904</v>
      </c>
      <c r="H60" s="37" t="n">
        <f aca="false">SUM(H6:H59)</f>
        <v>31050</v>
      </c>
    </row>
    <row r="62" customFormat="false" ht="15" hidden="false" customHeight="false" outlineLevel="0" collapsed="false">
      <c r="B62" s="36" t="s">
        <v>905</v>
      </c>
      <c r="H62" s="37" t="n">
        <v>70000</v>
      </c>
    </row>
    <row r="63" customFormat="false" ht="15" hidden="false" customHeight="false" outlineLevel="0" collapsed="false">
      <c r="B63" s="38" t="s">
        <v>906</v>
      </c>
      <c r="H63" s="39" t="n">
        <f aca="false">H62-H60</f>
        <v>38950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2026-04-29T13:54:51Z</dcterms:created>
  <dc:creator>openpyxl</dc:creator>
  <dc:description/>
  <dc:language>en-US</dc:language>
  <cp:lastModifiedBy/>
  <dcterms:modified xsi:type="dcterms:W3CDTF">2026-04-29T17:51:54Z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